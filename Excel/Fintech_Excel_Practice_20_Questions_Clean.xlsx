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REYANSHI JAISWAL\Downloads\"/>
    </mc:Choice>
  </mc:AlternateContent>
  <xr:revisionPtr revIDLastSave="0" documentId="13_ncr:1_{5CA8252E-A203-4938-A244-ADD8CBF6C823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Questions" sheetId="1" r:id="rId1"/>
    <sheet name="Sheet1" sheetId="7" r:id="rId2"/>
    <sheet name="Transactions" sheetId="2" r:id="rId3"/>
    <sheet name="Customers" sheetId="3" r:id="rId4"/>
    <sheet name="Merchants" sheetId="4" r:id="rId5"/>
    <sheet name="Loans" sheetId="5" r:id="rId6"/>
    <sheet name="Cards" sheetId="6" r:id="rId7"/>
  </sheets>
  <definedNames>
    <definedName name="_xlnm._FilterDatabase" localSheetId="6" hidden="1">Cards!$A$1:$G$251</definedName>
    <definedName name="_xlnm._FilterDatabase" localSheetId="3" hidden="1">Customers!$A$1:$L$181</definedName>
    <definedName name="_xlnm._FilterDatabase" localSheetId="5" hidden="1">Loans!$A$1:$J$301</definedName>
    <definedName name="_xlnm._FilterDatabase" localSheetId="4" hidden="1">Merchants!$A$1:$E$46</definedName>
    <definedName name="_xlnm._FilterDatabase" localSheetId="0" hidden="1">Questions!$A$1:$B$21</definedName>
    <definedName name="_xlnm._FilterDatabase" localSheetId="2" hidden="1">Transactions!$A$1:$O$1001</definedName>
  </definedNames>
  <calcPr calcId="191029"/>
  <pivotCaches>
    <pivotCache cacheId="10" r:id="rId8"/>
  </pivotCaches>
</workbook>
</file>

<file path=xl/calcChain.xml><?xml version="1.0" encoding="utf-8"?>
<calcChain xmlns="http://schemas.openxmlformats.org/spreadsheetml/2006/main">
  <c r="C21" i="1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2" i="3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3" i="7"/>
  <c r="C1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2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2" i="2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<sst xmlns="http://schemas.openxmlformats.org/spreadsheetml/2006/main" count="14441" uniqueCount="2127">
  <si>
    <t>Question No.</t>
  </si>
  <si>
    <t>Practice Question</t>
  </si>
  <si>
    <t>01</t>
  </si>
  <si>
    <t>Calculate the total transaction amount across all transaction records.</t>
  </si>
  <si>
    <t>02</t>
  </si>
  <si>
    <t>Calculate the average transaction amount for successful transactions only.</t>
  </si>
  <si>
    <t>03</t>
  </si>
  <si>
    <t>Count the number of transactions that were reversed.</t>
  </si>
  <si>
    <t>04</t>
  </si>
  <si>
    <t>Calculate total transaction fees collected from transactions made through the Mobile App that were successful.</t>
  </si>
  <si>
    <t>05</t>
  </si>
  <si>
    <t>Count transactions that were both international and made using UPI.</t>
  </si>
  <si>
    <t>06</t>
  </si>
  <si>
    <t>Calculate the average transaction amount for international transactions made through the Website.</t>
  </si>
  <si>
    <t>07</t>
  </si>
  <si>
    <t>Add a column to Transactions that labels each transaction as 'High Value' when its amount is at least ₹25,000 and 'Standard' otherwise.</t>
  </si>
  <si>
    <t>08</t>
  </si>
  <si>
    <t>Add a column to Transactions showing the calendar month and year of each transaction.</t>
  </si>
  <si>
    <t>09</t>
  </si>
  <si>
    <t>Calculate the number of days between each customer's signup date and 9 October 2026.</t>
  </si>
  <si>
    <t>10</t>
  </si>
  <si>
    <t>Create a clean customer-name column that removes leading/trailing spaces and repeated spaces, if any.</t>
  </si>
  <si>
    <t>11</t>
  </si>
  <si>
    <t>Add the merchant category to each transaction using its Merchant_ID.</t>
  </si>
  <si>
    <t>12</t>
  </si>
  <si>
    <t>Add each transaction customer's annual income to Transactions using Customer_ID.</t>
  </si>
  <si>
    <t>13</t>
  </si>
  <si>
    <t>For each transaction, return the merchant name; if the Merchant_ID cannot be found, display 'Not Found' instead of an error.</t>
  </si>
  <si>
    <t>14</t>
  </si>
  <si>
    <t>For each customer, calculate their total successful transaction amount.</t>
  </si>
  <si>
    <t>15</t>
  </si>
  <si>
    <t>Identify each customer's most recent transaction date.</t>
  </si>
  <si>
    <t>16</t>
  </si>
  <si>
    <t>Calculate the total loan amount for approved Business loans with a tenure of at least 36 months.</t>
  </si>
  <si>
    <t>17</t>
  </si>
  <si>
    <t>Rank customers from highest to lowest by total successful transaction amount, with the highest total receiving rank 1.</t>
  </si>
  <si>
    <t>18</t>
  </si>
  <si>
    <t>Flag any repeated Customer_ID in the Customers sheet; mark the first occurrence 'First' and later occurrences 'Duplicate'.</t>
  </si>
  <si>
    <t>19</t>
  </si>
  <si>
    <t>Find the merchant category with the highest total successful transaction amount.</t>
  </si>
  <si>
    <t>20</t>
  </si>
  <si>
    <t>Calculate the approval rate for loan applications, defined as Approved applications divided by all loan applications.</t>
  </si>
  <si>
    <t>Transaction_ID</t>
  </si>
  <si>
    <t>Transaction_Timestamp</t>
  </si>
  <si>
    <t>Customer_ID</t>
  </si>
  <si>
    <t>Card_ID</t>
  </si>
  <si>
    <t>Merchant_ID</t>
  </si>
  <si>
    <t>Transaction_Amount</t>
  </si>
  <si>
    <t>Fee_Amount</t>
  </si>
  <si>
    <t>Payment_Method</t>
  </si>
  <si>
    <t>Transaction_Status</t>
  </si>
  <si>
    <t>Channel</t>
  </si>
  <si>
    <t>Transaction_Type</t>
  </si>
  <si>
    <t>Transaction_Purpose</t>
  </si>
  <si>
    <t>TXN00001</t>
  </si>
  <si>
    <t>CUST0053</t>
  </si>
  <si>
    <t>CARD0209</t>
  </si>
  <si>
    <t>MER014</t>
  </si>
  <si>
    <t>UPI</t>
  </si>
  <si>
    <t>Successful</t>
  </si>
  <si>
    <t>POS</t>
  </si>
  <si>
    <t>International</t>
  </si>
  <si>
    <t>Bill Payment</t>
  </si>
  <si>
    <t>TXN00002</t>
  </si>
  <si>
    <t>CUST0035</t>
  </si>
  <si>
    <t>CARD0247</t>
  </si>
  <si>
    <t>MER027</t>
  </si>
  <si>
    <t>Domestic</t>
  </si>
  <si>
    <t>TXN00003</t>
  </si>
  <si>
    <t>CUST0126</t>
  </si>
  <si>
    <t>CARD0037</t>
  </si>
  <si>
    <t>MER037</t>
  </si>
  <si>
    <t>Debit Card</t>
  </si>
  <si>
    <t>Reversed</t>
  </si>
  <si>
    <t>Branch</t>
  </si>
  <si>
    <t>Cash Withdrawal</t>
  </si>
  <si>
    <t>TXN00004</t>
  </si>
  <si>
    <t>CUST0132</t>
  </si>
  <si>
    <t>CARD0192</t>
  </si>
  <si>
    <t>MER018</t>
  </si>
  <si>
    <t>Failed</t>
  </si>
  <si>
    <t>Transfer</t>
  </si>
  <si>
    <t>TXN00005</t>
  </si>
  <si>
    <t>CUST0118</t>
  </si>
  <si>
    <t>CARD0163</t>
  </si>
  <si>
    <t>MER043</t>
  </si>
  <si>
    <t>Mobile App</t>
  </si>
  <si>
    <t>TXN00006</t>
  </si>
  <si>
    <t>CUST0087</t>
  </si>
  <si>
    <t>CARD0141</t>
  </si>
  <si>
    <t>Credit Card</t>
  </si>
  <si>
    <t>Retail Purchase</t>
  </si>
  <si>
    <t>TXN00007</t>
  </si>
  <si>
    <t>CUST0032</t>
  </si>
  <si>
    <t>CARD0238</t>
  </si>
  <si>
    <t>MER011</t>
  </si>
  <si>
    <t>Net Banking</t>
  </si>
  <si>
    <t>TXN00008</t>
  </si>
  <si>
    <t>CUST0024</t>
  </si>
  <si>
    <t>CARD0168</t>
  </si>
  <si>
    <t>MER024</t>
  </si>
  <si>
    <t>TXN00009</t>
  </si>
  <si>
    <t>CUST0110</t>
  </si>
  <si>
    <t>MER006</t>
  </si>
  <si>
    <t>TXN00010</t>
  </si>
  <si>
    <t>CUST0003</t>
  </si>
  <si>
    <t>CARD0003</t>
  </si>
  <si>
    <t>MER045</t>
  </si>
  <si>
    <t>TXN00011</t>
  </si>
  <si>
    <t>CUST0027</t>
  </si>
  <si>
    <t>CARD0081</t>
  </si>
  <si>
    <t>Website</t>
  </si>
  <si>
    <t>TXN00012</t>
  </si>
  <si>
    <t>CUST0113</t>
  </si>
  <si>
    <t>CARD0090</t>
  </si>
  <si>
    <t>TXN00013</t>
  </si>
  <si>
    <t>CUST0090</t>
  </si>
  <si>
    <t>MER028</t>
  </si>
  <si>
    <t>TXN00014</t>
  </si>
  <si>
    <t>CUST0177</t>
  </si>
  <si>
    <t>CARD0007</t>
  </si>
  <si>
    <t>TXN00015</t>
  </si>
  <si>
    <t>CUST0127</t>
  </si>
  <si>
    <t>CARD0099</t>
  </si>
  <si>
    <t>MER008</t>
  </si>
  <si>
    <t>TXN00016</t>
  </si>
  <si>
    <t>CUST0094</t>
  </si>
  <si>
    <t>CARD0140</t>
  </si>
  <si>
    <t>MER044</t>
  </si>
  <si>
    <t>TXN00017</t>
  </si>
  <si>
    <t>CUST0102</t>
  </si>
  <si>
    <t>CARD0130</t>
  </si>
  <si>
    <t>MER019</t>
  </si>
  <si>
    <t>Wallet</t>
  </si>
  <si>
    <t>TXN00018</t>
  </si>
  <si>
    <t>CUST0022</t>
  </si>
  <si>
    <t>CARD0080</t>
  </si>
  <si>
    <t>TXN00019</t>
  </si>
  <si>
    <t>CUST0080</t>
  </si>
  <si>
    <t>CARD0179</t>
  </si>
  <si>
    <t>TXN00020</t>
  </si>
  <si>
    <t>CUST0171</t>
  </si>
  <si>
    <t>CARD0190</t>
  </si>
  <si>
    <t>TXN00021</t>
  </si>
  <si>
    <t>CUST0043</t>
  </si>
  <si>
    <t>CARD0096</t>
  </si>
  <si>
    <t>MER009</t>
  </si>
  <si>
    <t>TXN00022</t>
  </si>
  <si>
    <t>CUST0128</t>
  </si>
  <si>
    <t>CARD0117</t>
  </si>
  <si>
    <t>MER033</t>
  </si>
  <si>
    <t>TXN00023</t>
  </si>
  <si>
    <t>CUST0059</t>
  </si>
  <si>
    <t>TXN00024</t>
  </si>
  <si>
    <t>CUST0010</t>
  </si>
  <si>
    <t>CARD0142</t>
  </si>
  <si>
    <t>MER042</t>
  </si>
  <si>
    <t>Pending</t>
  </si>
  <si>
    <t>TXN00025</t>
  </si>
  <si>
    <t>CUST0031</t>
  </si>
  <si>
    <t>CARD0129</t>
  </si>
  <si>
    <t>TXN00026</t>
  </si>
  <si>
    <t>CUST0084</t>
  </si>
  <si>
    <t>CARD0023</t>
  </si>
  <si>
    <t>MER036</t>
  </si>
  <si>
    <t>TXN00027</t>
  </si>
  <si>
    <t>CUST0119</t>
  </si>
  <si>
    <t>CARD0095</t>
  </si>
  <si>
    <t>MER038</t>
  </si>
  <si>
    <t>TXN00028</t>
  </si>
  <si>
    <t>CUST0086</t>
  </si>
  <si>
    <t>CARD0001</t>
  </si>
  <si>
    <t>TXN00029</t>
  </si>
  <si>
    <t>CUST0072</t>
  </si>
  <si>
    <t>CARD0024</t>
  </si>
  <si>
    <t>MER003</t>
  </si>
  <si>
    <t>TXN00030</t>
  </si>
  <si>
    <t>CUST0020</t>
  </si>
  <si>
    <t>CARD0152</t>
  </si>
  <si>
    <t>TXN00031</t>
  </si>
  <si>
    <t>CUST0180</t>
  </si>
  <si>
    <t>CARD0213</t>
  </si>
  <si>
    <t>MER021</t>
  </si>
  <si>
    <t>TXN00032</t>
  </si>
  <si>
    <t>CUST0040</t>
  </si>
  <si>
    <t>CARD0028</t>
  </si>
  <si>
    <t>TXN00033</t>
  </si>
  <si>
    <t>CUST0079</t>
  </si>
  <si>
    <t>CARD0119</t>
  </si>
  <si>
    <t>MER017</t>
  </si>
  <si>
    <t>TXN00034</t>
  </si>
  <si>
    <t>CARD0183</t>
  </si>
  <si>
    <t>MER016</t>
  </si>
  <si>
    <t>TXN00035</t>
  </si>
  <si>
    <t>CUST0143</t>
  </si>
  <si>
    <t>TXN00036</t>
  </si>
  <si>
    <t>CUST0034</t>
  </si>
  <si>
    <t>CARD0051</t>
  </si>
  <si>
    <t>MER026</t>
  </si>
  <si>
    <t>TXN00037</t>
  </si>
  <si>
    <t>CARD0232</t>
  </si>
  <si>
    <t>MER022</t>
  </si>
  <si>
    <t>TXN00038</t>
  </si>
  <si>
    <t>CUST0008</t>
  </si>
  <si>
    <t>CARD0098</t>
  </si>
  <si>
    <t>TXN00039</t>
  </si>
  <si>
    <t>CUST0158</t>
  </si>
  <si>
    <t>CARD0159</t>
  </si>
  <si>
    <t>MER040</t>
  </si>
  <si>
    <t>TXN00040</t>
  </si>
  <si>
    <t>CUST0108</t>
  </si>
  <si>
    <t>CARD0052</t>
  </si>
  <si>
    <t>TXN00041</t>
  </si>
  <si>
    <t>CUST0100</t>
  </si>
  <si>
    <t>CARD0070</t>
  </si>
  <si>
    <t>MER012</t>
  </si>
  <si>
    <t>TXN00042</t>
  </si>
  <si>
    <t>CUST0150</t>
  </si>
  <si>
    <t>CARD0060</t>
  </si>
  <si>
    <t>TXN00043</t>
  </si>
  <si>
    <t>CUST0091</t>
  </si>
  <si>
    <t>CARD0240</t>
  </si>
  <si>
    <t>TXN00044</t>
  </si>
  <si>
    <t>CUST0145</t>
  </si>
  <si>
    <t>CARD0243</t>
  </si>
  <si>
    <t>MER013</t>
  </si>
  <si>
    <t>TXN00045</t>
  </si>
  <si>
    <t>CUST0135</t>
  </si>
  <si>
    <t>CARD0123</t>
  </si>
  <si>
    <t>MER001</t>
  </si>
  <si>
    <t>TXN00046</t>
  </si>
  <si>
    <t>CUST0029</t>
  </si>
  <si>
    <t>CARD0217</t>
  </si>
  <si>
    <t>MER034</t>
  </si>
  <si>
    <t>TXN00047</t>
  </si>
  <si>
    <t>CUST0112</t>
  </si>
  <si>
    <t>CARD0203</t>
  </si>
  <si>
    <t>MER041</t>
  </si>
  <si>
    <t>TXN00048</t>
  </si>
  <si>
    <t>CUST0033</t>
  </si>
  <si>
    <t>CARD0046</t>
  </si>
  <si>
    <t>TXN00049</t>
  </si>
  <si>
    <t>CUST0164</t>
  </si>
  <si>
    <t>CARD0145</t>
  </si>
  <si>
    <t>MER007</t>
  </si>
  <si>
    <t>TXN00050</t>
  </si>
  <si>
    <t>CUST0172</t>
  </si>
  <si>
    <t>CARD0164</t>
  </si>
  <si>
    <t>TXN00051</t>
  </si>
  <si>
    <t>CUST0013</t>
  </si>
  <si>
    <t>MER029</t>
  </si>
  <si>
    <t>TXN00052</t>
  </si>
  <si>
    <t>CUST0148</t>
  </si>
  <si>
    <t>CARD0167</t>
  </si>
  <si>
    <t>TXN00053</t>
  </si>
  <si>
    <t>CUST0019</t>
  </si>
  <si>
    <t>CARD0088</t>
  </si>
  <si>
    <t>TXN00054</t>
  </si>
  <si>
    <t>CUST0111</t>
  </si>
  <si>
    <t>CARD0242</t>
  </si>
  <si>
    <t>TXN00055</t>
  </si>
  <si>
    <t>CUST0170</t>
  </si>
  <si>
    <t>CARD0073</t>
  </si>
  <si>
    <t>MER020</t>
  </si>
  <si>
    <t>TXN00056</t>
  </si>
  <si>
    <t>CUST0001</t>
  </si>
  <si>
    <t>CARD0110</t>
  </si>
  <si>
    <t>TXN00057</t>
  </si>
  <si>
    <t>CUST0122</t>
  </si>
  <si>
    <t>TXN00058</t>
  </si>
  <si>
    <t>CUST0098</t>
  </si>
  <si>
    <t>TXN00059</t>
  </si>
  <si>
    <t>CUST0039</t>
  </si>
  <si>
    <t>CARD0193</t>
  </si>
  <si>
    <t>TXN00060</t>
  </si>
  <si>
    <t>CUST0138</t>
  </si>
  <si>
    <t>CARD0176</t>
  </si>
  <si>
    <t>MER031</t>
  </si>
  <si>
    <t>TXN00061</t>
  </si>
  <si>
    <t>CARD0244</t>
  </si>
  <si>
    <t>TXN00062</t>
  </si>
  <si>
    <t>CUST0052</t>
  </si>
  <si>
    <t>CARD0211</t>
  </si>
  <si>
    <t>TXN00063</t>
  </si>
  <si>
    <t>CUST0134</t>
  </si>
  <si>
    <t>CARD0118</t>
  </si>
  <si>
    <t>TXN00064</t>
  </si>
  <si>
    <t>CUST0028</t>
  </si>
  <si>
    <t>TXN00065</t>
  </si>
  <si>
    <t>CUST0045</t>
  </si>
  <si>
    <t>CARD0071</t>
  </si>
  <si>
    <t>TXN00066</t>
  </si>
  <si>
    <t>CUST0096</t>
  </si>
  <si>
    <t>CARD0006</t>
  </si>
  <si>
    <t>TXN00067</t>
  </si>
  <si>
    <t>CUST0083</t>
  </si>
  <si>
    <t>CARD0069</t>
  </si>
  <si>
    <t>TXN00068</t>
  </si>
  <si>
    <t>CUST0015</t>
  </si>
  <si>
    <t>CARD0132</t>
  </si>
  <si>
    <t>TXN00069</t>
  </si>
  <si>
    <t>CARD0064</t>
  </si>
  <si>
    <t>TXN00070</t>
  </si>
  <si>
    <t>CUST0175</t>
  </si>
  <si>
    <t>CARD0008</t>
  </si>
  <si>
    <t>TXN00071</t>
  </si>
  <si>
    <t>TXN00072</t>
  </si>
  <si>
    <t>CUST0069</t>
  </si>
  <si>
    <t>TXN00073</t>
  </si>
  <si>
    <t>CUST0065</t>
  </si>
  <si>
    <t>CARD0156</t>
  </si>
  <si>
    <t>TXN00074</t>
  </si>
  <si>
    <t>CARD0027</t>
  </si>
  <si>
    <t>TXN00075</t>
  </si>
  <si>
    <t>CUST0071</t>
  </si>
  <si>
    <t>CARD0067</t>
  </si>
  <si>
    <t>TXN00076</t>
  </si>
  <si>
    <t>CUST0007</t>
  </si>
  <si>
    <t>MER032</t>
  </si>
  <si>
    <t>TXN00077</t>
  </si>
  <si>
    <t>CUST0088</t>
  </si>
  <si>
    <t>CARD0186</t>
  </si>
  <si>
    <t>MER015</t>
  </si>
  <si>
    <t>TXN00078</t>
  </si>
  <si>
    <t>CUST0121</t>
  </si>
  <si>
    <t>CARD0033</t>
  </si>
  <si>
    <t>TXN00079</t>
  </si>
  <si>
    <t>CUST0085</t>
  </si>
  <si>
    <t>TXN00080</t>
  </si>
  <si>
    <t>CARD0228</t>
  </si>
  <si>
    <t>TXN00081</t>
  </si>
  <si>
    <t>CARD0105</t>
  </si>
  <si>
    <t>TXN00082</t>
  </si>
  <si>
    <t>CUST0163</t>
  </si>
  <si>
    <t>CARD0015</t>
  </si>
  <si>
    <t>TXN00083</t>
  </si>
  <si>
    <t>CARD0158</t>
  </si>
  <si>
    <t>TXN00084</t>
  </si>
  <si>
    <t>CUST0004</t>
  </si>
  <si>
    <t>CARD0229</t>
  </si>
  <si>
    <t>TXN00085</t>
  </si>
  <si>
    <t>TXN00086</t>
  </si>
  <si>
    <t>TXN00087</t>
  </si>
  <si>
    <t>CUST0005</t>
  </si>
  <si>
    <t>CARD0059</t>
  </si>
  <si>
    <t>TXN00088</t>
  </si>
  <si>
    <t>CARD0066</t>
  </si>
  <si>
    <t>MER035</t>
  </si>
  <si>
    <t>TXN00089</t>
  </si>
  <si>
    <t>TXN00090</t>
  </si>
  <si>
    <t>CUST0160</t>
  </si>
  <si>
    <t>TXN00091</t>
  </si>
  <si>
    <t>CUST0068</t>
  </si>
  <si>
    <t>TXN00092</t>
  </si>
  <si>
    <t>CARD0061</t>
  </si>
  <si>
    <t>TXN00093</t>
  </si>
  <si>
    <t>CUST0066</t>
  </si>
  <si>
    <t>CARD0165</t>
  </si>
  <si>
    <t>TXN00094</t>
  </si>
  <si>
    <t>CUST0093</t>
  </si>
  <si>
    <t>CARD0206</t>
  </si>
  <si>
    <t>TXN00095</t>
  </si>
  <si>
    <t>CARD0092</t>
  </si>
  <si>
    <t>TXN00096</t>
  </si>
  <si>
    <t>CUST0070</t>
  </si>
  <si>
    <t>CARD0214</t>
  </si>
  <si>
    <t>MER025</t>
  </si>
  <si>
    <t>TXN00097</t>
  </si>
  <si>
    <t>CUST0107</t>
  </si>
  <si>
    <t>CARD0234</t>
  </si>
  <si>
    <t>TXN00098</t>
  </si>
  <si>
    <t>CUST0124</t>
  </si>
  <si>
    <t>CARD0236</t>
  </si>
  <si>
    <t>TXN00099</t>
  </si>
  <si>
    <t>CARD0224</t>
  </si>
  <si>
    <t>TXN00100</t>
  </si>
  <si>
    <t>TXN00101</t>
  </si>
  <si>
    <t>CARD0249</t>
  </si>
  <si>
    <t>TXN00102</t>
  </si>
  <si>
    <t>CUST0023</t>
  </si>
  <si>
    <t>CARD0220</t>
  </si>
  <si>
    <t>TXN00103</t>
  </si>
  <si>
    <t>MER039</t>
  </si>
  <si>
    <t>TXN00104</t>
  </si>
  <si>
    <t>CARD0144</t>
  </si>
  <si>
    <t>TXN00105</t>
  </si>
  <si>
    <t>TXN00106</t>
  </si>
  <si>
    <t>TXN00107</t>
  </si>
  <si>
    <t>CARD0194</t>
  </si>
  <si>
    <t>TXN00108</t>
  </si>
  <si>
    <t>CUST0142</t>
  </si>
  <si>
    <t>TXN00109</t>
  </si>
  <si>
    <t>CUST0130</t>
  </si>
  <si>
    <t>CARD0226</t>
  </si>
  <si>
    <t>TXN00110</t>
  </si>
  <si>
    <t>CUST0155</t>
  </si>
  <si>
    <t>CARD0180</t>
  </si>
  <si>
    <t>TXN00111</t>
  </si>
  <si>
    <t>CUST0167</t>
  </si>
  <si>
    <t>CARD0250</t>
  </si>
  <si>
    <t>TXN00112</t>
  </si>
  <si>
    <t>CUST0173</t>
  </si>
  <si>
    <t>TXN00113</t>
  </si>
  <si>
    <t>TXN00114</t>
  </si>
  <si>
    <t>TXN00115</t>
  </si>
  <si>
    <t>CARD0107</t>
  </si>
  <si>
    <t>TXN00116</t>
  </si>
  <si>
    <t>CUST0058</t>
  </si>
  <si>
    <t>TXN00117</t>
  </si>
  <si>
    <t>CARD0031</t>
  </si>
  <si>
    <t>TXN00118</t>
  </si>
  <si>
    <t>CUST0120</t>
  </si>
  <si>
    <t>CARD0182</t>
  </si>
  <si>
    <t>MER010</t>
  </si>
  <si>
    <t>TXN00119</t>
  </si>
  <si>
    <t>CARD0201</t>
  </si>
  <si>
    <t>TXN00120</t>
  </si>
  <si>
    <t>CARD0057</t>
  </si>
  <si>
    <t>TXN00121</t>
  </si>
  <si>
    <t>CUST0030</t>
  </si>
  <si>
    <t>CARD0172</t>
  </si>
  <si>
    <t>MER023</t>
  </si>
  <si>
    <t>TXN00122</t>
  </si>
  <si>
    <t>CARD0139</t>
  </si>
  <si>
    <t>TXN00123</t>
  </si>
  <si>
    <t>CUST0025</t>
  </si>
  <si>
    <t>CARD0043</t>
  </si>
  <si>
    <t>TXN00124</t>
  </si>
  <si>
    <t>CUST0166</t>
  </si>
  <si>
    <t>CARD0210</t>
  </si>
  <si>
    <t>MER005</t>
  </si>
  <si>
    <t>TXN00125</t>
  </si>
  <si>
    <t>CARD0019</t>
  </si>
  <si>
    <t>TXN00126</t>
  </si>
  <si>
    <t>TXN00127</t>
  </si>
  <si>
    <t>CUST0156</t>
  </si>
  <si>
    <t>TXN00128</t>
  </si>
  <si>
    <t>CUST0140</t>
  </si>
  <si>
    <t>CARD0076</t>
  </si>
  <si>
    <t>TXN00129</t>
  </si>
  <si>
    <t>TXN00130</t>
  </si>
  <si>
    <t>CUST0057</t>
  </si>
  <si>
    <t>TXN00131</t>
  </si>
  <si>
    <t>CARD0026</t>
  </si>
  <si>
    <t>TXN00132</t>
  </si>
  <si>
    <t>CUST0050</t>
  </si>
  <si>
    <t>CARD0082</t>
  </si>
  <si>
    <t>TXN00133</t>
  </si>
  <si>
    <t>CUST0044</t>
  </si>
  <si>
    <t>CARD0002</t>
  </si>
  <si>
    <t>TXN00134</t>
  </si>
  <si>
    <t>CARD0115</t>
  </si>
  <si>
    <t>TXN00135</t>
  </si>
  <si>
    <t>TXN00136</t>
  </si>
  <si>
    <t>TXN00137</t>
  </si>
  <si>
    <t>TXN00138</t>
  </si>
  <si>
    <t>CARD0036</t>
  </si>
  <si>
    <t>TXN00139</t>
  </si>
  <si>
    <t>TXN00140</t>
  </si>
  <si>
    <t>CARD0181</t>
  </si>
  <si>
    <t>TXN00141</t>
  </si>
  <si>
    <t>CUST0133</t>
  </si>
  <si>
    <t>CARD0065</t>
  </si>
  <si>
    <t>TXN00142</t>
  </si>
  <si>
    <t>TXN00143</t>
  </si>
  <si>
    <t>TXN00144</t>
  </si>
  <si>
    <t>CUST0006</t>
  </si>
  <si>
    <t>CARD0063</t>
  </si>
  <si>
    <t>TXN00145</t>
  </si>
  <si>
    <t>CARD0246</t>
  </si>
  <si>
    <t>TXN00146</t>
  </si>
  <si>
    <t>TXN00147</t>
  </si>
  <si>
    <t>CARD0097</t>
  </si>
  <si>
    <t>TXN00148</t>
  </si>
  <si>
    <t>CUST0046</t>
  </si>
  <si>
    <t>CARD0122</t>
  </si>
  <si>
    <t>TXN00149</t>
  </si>
  <si>
    <t>CUST0174</t>
  </si>
  <si>
    <t>TXN00150</t>
  </si>
  <si>
    <t>CARD0151</t>
  </si>
  <si>
    <t>TXN00151</t>
  </si>
  <si>
    <t>CUST0073</t>
  </si>
  <si>
    <t>CARD0154</t>
  </si>
  <si>
    <t>TXN00152</t>
  </si>
  <si>
    <t>CUST0168</t>
  </si>
  <si>
    <t>CARD0053</t>
  </si>
  <si>
    <t>TXN00153</t>
  </si>
  <si>
    <t>CARD0094</t>
  </si>
  <si>
    <t>TXN00154</t>
  </si>
  <si>
    <t>CARD0079</t>
  </si>
  <si>
    <t>TXN00155</t>
  </si>
  <si>
    <t>CUST0055</t>
  </si>
  <si>
    <t>CARD0131</t>
  </si>
  <si>
    <t>TXN00156</t>
  </si>
  <si>
    <t>CARD0017</t>
  </si>
  <si>
    <t>TXN00157</t>
  </si>
  <si>
    <t>TXN00158</t>
  </si>
  <si>
    <t>CARD0044</t>
  </si>
  <si>
    <t>TXN00159</t>
  </si>
  <si>
    <t>CARD0102</t>
  </si>
  <si>
    <t>TXN00160</t>
  </si>
  <si>
    <t>CUST0089</t>
  </si>
  <si>
    <t>TXN00161</t>
  </si>
  <si>
    <t>CUST0144</t>
  </si>
  <si>
    <t>TXN00162</t>
  </si>
  <si>
    <t>CARD0124</t>
  </si>
  <si>
    <t>TXN00163</t>
  </si>
  <si>
    <t>TXN00164</t>
  </si>
  <si>
    <t>TXN00165</t>
  </si>
  <si>
    <t>CARD0189</t>
  </si>
  <si>
    <t>TXN00166</t>
  </si>
  <si>
    <t>CARD0200</t>
  </si>
  <si>
    <t>TXN00167</t>
  </si>
  <si>
    <t>CARD0230</t>
  </si>
  <si>
    <t>TXN00168</t>
  </si>
  <si>
    <t>CUST0123</t>
  </si>
  <si>
    <t>CARD0241</t>
  </si>
  <si>
    <t>TXN00169</t>
  </si>
  <si>
    <t>CARD0173</t>
  </si>
  <si>
    <t>TXN00170</t>
  </si>
  <si>
    <t>TXN00171</t>
  </si>
  <si>
    <t>CUST0103</t>
  </si>
  <si>
    <t>CARD0072</t>
  </si>
  <si>
    <t>TXN00172</t>
  </si>
  <si>
    <t>CUST0038</t>
  </si>
  <si>
    <t>CARD0205</t>
  </si>
  <si>
    <t>TXN00173</t>
  </si>
  <si>
    <t>CUST0125</t>
  </si>
  <si>
    <t>CARD0077</t>
  </si>
  <si>
    <t>TXN00174</t>
  </si>
  <si>
    <t>CUST0116</t>
  </si>
  <si>
    <t>CARD0191</t>
  </si>
  <si>
    <t>TXN00175</t>
  </si>
  <si>
    <t>CARD0148</t>
  </si>
  <si>
    <t>TXN00176</t>
  </si>
  <si>
    <t>TXN00177</t>
  </si>
  <si>
    <t>CUST0021</t>
  </si>
  <si>
    <t>CARD0042</t>
  </si>
  <si>
    <t>TXN00178</t>
  </si>
  <si>
    <t>TXN00179</t>
  </si>
  <si>
    <t>TXN00180</t>
  </si>
  <si>
    <t>CARD0198</t>
  </si>
  <si>
    <t>TXN00181</t>
  </si>
  <si>
    <t>TXN00182</t>
  </si>
  <si>
    <t>CARD0120</t>
  </si>
  <si>
    <t>TXN00183</t>
  </si>
  <si>
    <t>TXN00184</t>
  </si>
  <si>
    <t>CUST0106</t>
  </si>
  <si>
    <t>TXN00185</t>
  </si>
  <si>
    <t>TXN00186</t>
  </si>
  <si>
    <t>TXN00187</t>
  </si>
  <si>
    <t>TXN00188</t>
  </si>
  <si>
    <t>TXN00189</t>
  </si>
  <si>
    <t>TXN00190</t>
  </si>
  <si>
    <t>MER030</t>
  </si>
  <si>
    <t>TXN00191</t>
  </si>
  <si>
    <t>CUST0047</t>
  </si>
  <si>
    <t>CARD0050</t>
  </si>
  <si>
    <t>TXN00192</t>
  </si>
  <si>
    <t>TXN00193</t>
  </si>
  <si>
    <t>TXN00194</t>
  </si>
  <si>
    <t>CARD0204</t>
  </si>
  <si>
    <t>TXN00195</t>
  </si>
  <si>
    <t>TXN00196</t>
  </si>
  <si>
    <t>CUST0016</t>
  </si>
  <si>
    <t>TXN00197</t>
  </si>
  <si>
    <t>CARD0188</t>
  </si>
  <si>
    <t>TXN00198</t>
  </si>
  <si>
    <t>CUST0139</t>
  </si>
  <si>
    <t>TXN00199</t>
  </si>
  <si>
    <t>CUST0018</t>
  </si>
  <si>
    <t>CARD0136</t>
  </si>
  <si>
    <t>TXN00200</t>
  </si>
  <si>
    <t>TXN00201</t>
  </si>
  <si>
    <t>CUST0157</t>
  </si>
  <si>
    <t>TXN00202</t>
  </si>
  <si>
    <t>TXN00203</t>
  </si>
  <si>
    <t>CARD0160</t>
  </si>
  <si>
    <t>TXN00204</t>
  </si>
  <si>
    <t>CARD0126</t>
  </si>
  <si>
    <t>TXN00205</t>
  </si>
  <si>
    <t>TXN00206</t>
  </si>
  <si>
    <t>CUST0146</t>
  </si>
  <si>
    <t>CARD0161</t>
  </si>
  <si>
    <t>TXN00207</t>
  </si>
  <si>
    <t>CUST0141</t>
  </si>
  <si>
    <t>CARD0103</t>
  </si>
  <si>
    <t>TXN00208</t>
  </si>
  <si>
    <t>CARD0196</t>
  </si>
  <si>
    <t>TXN00209</t>
  </si>
  <si>
    <t>CUST0115</t>
  </si>
  <si>
    <t>TXN00210</t>
  </si>
  <si>
    <t>CARD0055</t>
  </si>
  <si>
    <t>TXN00211</t>
  </si>
  <si>
    <t>TXN00212</t>
  </si>
  <si>
    <t>CARD0125</t>
  </si>
  <si>
    <t>TXN00213</t>
  </si>
  <si>
    <t>TXN00214</t>
  </si>
  <si>
    <t>TXN00215</t>
  </si>
  <si>
    <t>CUST0075</t>
  </si>
  <si>
    <t>CARD0202</t>
  </si>
  <si>
    <t>TXN00216</t>
  </si>
  <si>
    <t>TXN00217</t>
  </si>
  <si>
    <t>TXN00218</t>
  </si>
  <si>
    <t>CARD0106</t>
  </si>
  <si>
    <t>TXN00219</t>
  </si>
  <si>
    <t>TXN00220</t>
  </si>
  <si>
    <t>MER004</t>
  </si>
  <si>
    <t>TXN00221</t>
  </si>
  <si>
    <t>CUST0054</t>
  </si>
  <si>
    <t>TXN00222</t>
  </si>
  <si>
    <t>TXN00223</t>
  </si>
  <si>
    <t>CUST0014</t>
  </si>
  <si>
    <t>TXN00224</t>
  </si>
  <si>
    <t>CUST0060</t>
  </si>
  <si>
    <t>TXN00225</t>
  </si>
  <si>
    <t>CUST0011</t>
  </si>
  <si>
    <t>TXN00226</t>
  </si>
  <si>
    <t>CUST0061</t>
  </si>
  <si>
    <t>TXN00227</t>
  </si>
  <si>
    <t>CUST0169</t>
  </si>
  <si>
    <t>TXN00228</t>
  </si>
  <si>
    <t>TXN00229</t>
  </si>
  <si>
    <t>CARD0239</t>
  </si>
  <si>
    <t>TXN00230</t>
  </si>
  <si>
    <t>CUST0082</t>
  </si>
  <si>
    <t>TXN00231</t>
  </si>
  <si>
    <t>CARD0146</t>
  </si>
  <si>
    <t>TXN00232</t>
  </si>
  <si>
    <t>TXN00233</t>
  </si>
  <si>
    <t>TXN00234</t>
  </si>
  <si>
    <t>TXN00235</t>
  </si>
  <si>
    <t>TXN00236</t>
  </si>
  <si>
    <t>CUST0049</t>
  </si>
  <si>
    <t>CARD0075</t>
  </si>
  <si>
    <t>TXN00237</t>
  </si>
  <si>
    <t>TXN00238</t>
  </si>
  <si>
    <t>TXN00239</t>
  </si>
  <si>
    <t>TXN00240</t>
  </si>
  <si>
    <t>CUST0012</t>
  </si>
  <si>
    <t>CARD0197</t>
  </si>
  <si>
    <t>TXN00241</t>
  </si>
  <si>
    <t>CUST0074</t>
  </si>
  <si>
    <t>TXN00242</t>
  </si>
  <si>
    <t>CARD0207</t>
  </si>
  <si>
    <t>TXN00243</t>
  </si>
  <si>
    <t>CUST0063</t>
  </si>
  <si>
    <t>TXN00244</t>
  </si>
  <si>
    <t>TXN00245</t>
  </si>
  <si>
    <t>CARD0170</t>
  </si>
  <si>
    <t>TXN00246</t>
  </si>
  <si>
    <t>CARD0195</t>
  </si>
  <si>
    <t>TXN00247</t>
  </si>
  <si>
    <t>CARD0054</t>
  </si>
  <si>
    <t>TXN00248</t>
  </si>
  <si>
    <t>TXN00249</t>
  </si>
  <si>
    <t>TXN00250</t>
  </si>
  <si>
    <t>TXN00251</t>
  </si>
  <si>
    <t>CUST0002</t>
  </si>
  <si>
    <t>CARD0030</t>
  </si>
  <si>
    <t>TXN00252</t>
  </si>
  <si>
    <t>TXN00253</t>
  </si>
  <si>
    <t>TXN00254</t>
  </si>
  <si>
    <t>TXN00255</t>
  </si>
  <si>
    <t>CUST0009</t>
  </si>
  <si>
    <t>TXN00256</t>
  </si>
  <si>
    <t>TXN00257</t>
  </si>
  <si>
    <t>TXN00258</t>
  </si>
  <si>
    <t>TXN00259</t>
  </si>
  <si>
    <t>TXN00260</t>
  </si>
  <si>
    <t>CARD0039</t>
  </si>
  <si>
    <t>TXN00261</t>
  </si>
  <si>
    <t>CARD0147</t>
  </si>
  <si>
    <t>TXN00262</t>
  </si>
  <si>
    <t>TXN00263</t>
  </si>
  <si>
    <t>TXN00264</t>
  </si>
  <si>
    <t>TXN00265</t>
  </si>
  <si>
    <t>CARD0235</t>
  </si>
  <si>
    <t>TXN00266</t>
  </si>
  <si>
    <t>TXN00267</t>
  </si>
  <si>
    <t>CUST0137</t>
  </si>
  <si>
    <t>TXN00268</t>
  </si>
  <si>
    <t>TXN00269</t>
  </si>
  <si>
    <t>TXN00270</t>
  </si>
  <si>
    <t>CUST0176</t>
  </si>
  <si>
    <t>TXN00271</t>
  </si>
  <si>
    <t>TXN00272</t>
  </si>
  <si>
    <t>CARD0184</t>
  </si>
  <si>
    <t>TXN00273</t>
  </si>
  <si>
    <t>TXN00274</t>
  </si>
  <si>
    <t>CARD0104</t>
  </si>
  <si>
    <t>TXN00275</t>
  </si>
  <si>
    <t>CARD0040</t>
  </si>
  <si>
    <t>TXN00276</t>
  </si>
  <si>
    <t>CARD0022</t>
  </si>
  <si>
    <t>TXN00277</t>
  </si>
  <si>
    <t>CARD0058</t>
  </si>
  <si>
    <t>TXN00278</t>
  </si>
  <si>
    <t>CARD0010</t>
  </si>
  <si>
    <t>TXN00279</t>
  </si>
  <si>
    <t>CARD0133</t>
  </si>
  <si>
    <t>TXN00280</t>
  </si>
  <si>
    <t>CARD0137</t>
  </si>
  <si>
    <t>TXN00281</t>
  </si>
  <si>
    <t>TXN00282</t>
  </si>
  <si>
    <t>TXN00283</t>
  </si>
  <si>
    <t>TXN00284</t>
  </si>
  <si>
    <t>TXN00285</t>
  </si>
  <si>
    <t>CUST0099</t>
  </si>
  <si>
    <t>TXN00286</t>
  </si>
  <si>
    <t>TXN00287</t>
  </si>
  <si>
    <t>CARD0074</t>
  </si>
  <si>
    <t>TXN00288</t>
  </si>
  <si>
    <t>TXN00289</t>
  </si>
  <si>
    <t>CUST0081</t>
  </si>
  <si>
    <t>TXN00290</t>
  </si>
  <si>
    <t>TXN00291</t>
  </si>
  <si>
    <t>TXN00292</t>
  </si>
  <si>
    <t>TXN00293</t>
  </si>
  <si>
    <t>TXN00294</t>
  </si>
  <si>
    <t>CUST0037</t>
  </si>
  <si>
    <t>TXN00295</t>
  </si>
  <si>
    <t>CARD0005</t>
  </si>
  <si>
    <t>TXN00296</t>
  </si>
  <si>
    <t>TXN00297</t>
  </si>
  <si>
    <t>TXN00298</t>
  </si>
  <si>
    <t>CARD0219</t>
  </si>
  <si>
    <t>TXN00299</t>
  </si>
  <si>
    <t>CUST0077</t>
  </si>
  <si>
    <t>TXN00300</t>
  </si>
  <si>
    <t>CARD0100</t>
  </si>
  <si>
    <t>TXN00301</t>
  </si>
  <si>
    <t>CUST0104</t>
  </si>
  <si>
    <t>TXN00302</t>
  </si>
  <si>
    <t>CARD0233</t>
  </si>
  <si>
    <t>TXN00303</t>
  </si>
  <si>
    <t>CUST0117</t>
  </si>
  <si>
    <t>CARD0157</t>
  </si>
  <si>
    <t>TXN00304</t>
  </si>
  <si>
    <t>CARD0087</t>
  </si>
  <si>
    <t>TXN00305</t>
  </si>
  <si>
    <t>CUST0017</t>
  </si>
  <si>
    <t>TXN00306</t>
  </si>
  <si>
    <t>TXN00307</t>
  </si>
  <si>
    <t>TXN00308</t>
  </si>
  <si>
    <t>TXN00309</t>
  </si>
  <si>
    <t>TXN00310</t>
  </si>
  <si>
    <t>TXN00311</t>
  </si>
  <si>
    <t>TXN00312</t>
  </si>
  <si>
    <t>CUST0114</t>
  </si>
  <si>
    <t>TXN00313</t>
  </si>
  <si>
    <t>TXN00314</t>
  </si>
  <si>
    <t>TXN00315</t>
  </si>
  <si>
    <t>CARD0035</t>
  </si>
  <si>
    <t>TXN00316</t>
  </si>
  <si>
    <t>TXN00317</t>
  </si>
  <si>
    <t>TXN00318</t>
  </si>
  <si>
    <t>CARD0011</t>
  </si>
  <si>
    <t>TXN00319</t>
  </si>
  <si>
    <t>CUST0178</t>
  </si>
  <si>
    <t>TXN00320</t>
  </si>
  <si>
    <t>CUST0042</t>
  </si>
  <si>
    <t>TXN00321</t>
  </si>
  <si>
    <t>TXN00322</t>
  </si>
  <si>
    <t>CARD0021</t>
  </si>
  <si>
    <t>TXN00323</t>
  </si>
  <si>
    <t>CARD0045</t>
  </si>
  <si>
    <t>TXN00324</t>
  </si>
  <si>
    <t>CARD0083</t>
  </si>
  <si>
    <t>TXN00325</t>
  </si>
  <si>
    <t>TXN00326</t>
  </si>
  <si>
    <t>CUST0101</t>
  </si>
  <si>
    <t>TXN00327</t>
  </si>
  <si>
    <t>TXN00328</t>
  </si>
  <si>
    <t>CARD0049</t>
  </si>
  <si>
    <t>TXN00329</t>
  </si>
  <si>
    <t>CUST0152</t>
  </si>
  <si>
    <t>CARD0171</t>
  </si>
  <si>
    <t>TXN00330</t>
  </si>
  <si>
    <t>TXN00331</t>
  </si>
  <si>
    <t>TXN00332</t>
  </si>
  <si>
    <t>CUST0067</t>
  </si>
  <si>
    <t>TXN00333</t>
  </si>
  <si>
    <t>MER002</t>
  </si>
  <si>
    <t>TXN00334</t>
  </si>
  <si>
    <t>TXN00335</t>
  </si>
  <si>
    <t>TXN00336</t>
  </si>
  <si>
    <t>CARD0135</t>
  </si>
  <si>
    <t>TXN00337</t>
  </si>
  <si>
    <t>TXN00338</t>
  </si>
  <si>
    <t>TXN00339</t>
  </si>
  <si>
    <t>TXN00340</t>
  </si>
  <si>
    <t>TXN00341</t>
  </si>
  <si>
    <t>CARD0048</t>
  </si>
  <si>
    <t>TXN00342</t>
  </si>
  <si>
    <t>TXN00343</t>
  </si>
  <si>
    <t>TXN00344</t>
  </si>
  <si>
    <t>CARD0112</t>
  </si>
  <si>
    <t>TXN00345</t>
  </si>
  <si>
    <t>TXN00346</t>
  </si>
  <si>
    <t>TXN00347</t>
  </si>
  <si>
    <t>TXN00348</t>
  </si>
  <si>
    <t>TXN00349</t>
  </si>
  <si>
    <t>TXN00350</t>
  </si>
  <si>
    <t>CUST0153</t>
  </si>
  <si>
    <t>CARD0134</t>
  </si>
  <si>
    <t>TXN00351</t>
  </si>
  <si>
    <t>TXN00352</t>
  </si>
  <si>
    <t>CUST0051</t>
  </si>
  <si>
    <t>TXN00353</t>
  </si>
  <si>
    <t>TXN00354</t>
  </si>
  <si>
    <t>CUST0149</t>
  </si>
  <si>
    <t>TXN00355</t>
  </si>
  <si>
    <t>CARD0231</t>
  </si>
  <si>
    <t>TXN00356</t>
  </si>
  <si>
    <t>TXN00357</t>
  </si>
  <si>
    <t>TXN00358</t>
  </si>
  <si>
    <t>CUST0154</t>
  </si>
  <si>
    <t>TXN00359</t>
  </si>
  <si>
    <t>TXN00360</t>
  </si>
  <si>
    <t>TXN00361</t>
  </si>
  <si>
    <t>TXN00362</t>
  </si>
  <si>
    <t>CUST0131</t>
  </si>
  <si>
    <t>TXN00363</t>
  </si>
  <si>
    <t>CUST0026</t>
  </si>
  <si>
    <t>TXN00364</t>
  </si>
  <si>
    <t>TXN00365</t>
  </si>
  <si>
    <t>CARD0111</t>
  </si>
  <si>
    <t>TXN00366</t>
  </si>
  <si>
    <t>TXN00367</t>
  </si>
  <si>
    <t>TXN00368</t>
  </si>
  <si>
    <t>TXN00369</t>
  </si>
  <si>
    <t>CARD0025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</si>
  <si>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</si>
  <si>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</si>
  <si>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</si>
  <si>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</si>
  <si>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</si>
  <si>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</si>
  <si>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</si>
  <si>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</si>
  <si>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CARD0187</t>
  </si>
  <si>
    <t>TXN00378</t>
  </si>
  <si>
    <t>TXN00379</t>
  </si>
  <si>
    <t>CARD0062</t>
  </si>
  <si>
    <t>TXN00380</t>
  </si>
  <si>
    <t>TXN00381</t>
  </si>
  <si>
    <t>CUST0165</t>
  </si>
  <si>
    <t>TXN00382</t>
  </si>
  <si>
    <t>TXN00383</t>
  </si>
  <si>
    <t>CARD0227</t>
  </si>
  <si>
    <t>TXN00384</t>
  </si>
  <si>
    <t>CUST0056</t>
  </si>
  <si>
    <t>TXN00385</t>
  </si>
  <si>
    <t>TXN00386</t>
  </si>
  <si>
    <t>CARD0166</t>
  </si>
  <si>
    <t>TXN00387</t>
  </si>
  <si>
    <t>CARD0032</t>
  </si>
  <si>
    <t>TXN00388</t>
  </si>
  <si>
    <t>TXN00389</t>
  </si>
  <si>
    <t>TXN00390</t>
  </si>
  <si>
    <t>CARD0178</t>
  </si>
  <si>
    <t>TXN00391</t>
  </si>
  <si>
    <t>CARD0041</t>
  </si>
  <si>
    <t>TXN00392</t>
  </si>
  <si>
    <t>TXN00393</t>
  </si>
  <si>
    <t>TXN00394</t>
  </si>
  <si>
    <t>CUST0159</t>
  </si>
  <si>
    <t>TXN00395</t>
  </si>
  <si>
    <t>CARD0212</t>
  </si>
  <si>
    <t>TXN00396</t>
  </si>
  <si>
    <t>TXN00397</t>
  </si>
  <si>
    <t>TXN00398</t>
  </si>
  <si>
    <t>TXN00399</t>
  </si>
  <si>
    <t>TXN00400</t>
  </si>
  <si>
    <t>CARD0248</t>
  </si>
  <si>
    <t>TXN00401</t>
  </si>
  <si>
    <t>TXN00402</t>
  </si>
  <si>
    <t>TXN00403</t>
  </si>
  <si>
    <t>TXN00404</t>
  </si>
  <si>
    <t>TXN00405</t>
  </si>
  <si>
    <t>TXN00406</t>
  </si>
  <si>
    <t>TXN00407</t>
  </si>
  <si>
    <t>CARD0175</t>
  </si>
  <si>
    <t>TXN00408</t>
  </si>
  <si>
    <t>TXN00409</t>
  </si>
  <si>
    <t>CARD0221</t>
  </si>
  <si>
    <t>TXN00410</t>
  </si>
  <si>
    <t>CUST0062</t>
  </si>
  <si>
    <t>TXN00411</t>
  </si>
  <si>
    <t>TXN00412</t>
  </si>
  <si>
    <t>TXN00413</t>
  </si>
  <si>
    <t>TXN00414</t>
  </si>
  <si>
    <t>TXN00415</t>
  </si>
  <si>
    <t>TXN00416</t>
  </si>
  <si>
    <t>CUST0129</t>
  </si>
  <si>
    <t>TXN00417</t>
  </si>
  <si>
    <t>CUST0151</t>
  </si>
  <si>
    <t>TXN00418</t>
  </si>
  <si>
    <t>TXN00419</t>
  </si>
  <si>
    <t>TXN00420</t>
  </si>
  <si>
    <t>TXN00421</t>
  </si>
  <si>
    <t>CARD0078</t>
  </si>
  <si>
    <t>TXN00422</t>
  </si>
  <si>
    <t>CARD0121</t>
  </si>
  <si>
    <t>TXN00423</t>
  </si>
  <si>
    <t>CARD0218</t>
  </si>
  <si>
    <t>TXN00424</t>
  </si>
  <si>
    <t>TXN00425</t>
  </si>
  <si>
    <t>CARD0127</t>
  </si>
  <si>
    <t>TXN00426</t>
  </si>
  <si>
    <t>TXN00427</t>
  </si>
  <si>
    <t>TXN00428</t>
  </si>
  <si>
    <t>TXN00429</t>
  </si>
  <si>
    <t>CUST0092</t>
  </si>
  <si>
    <t>CARD0174</t>
  </si>
  <si>
    <t>TXN00430</t>
  </si>
  <si>
    <t>TXN00431</t>
  </si>
  <si>
    <t>TXN00432</t>
  </si>
  <si>
    <t>CUST0041</t>
  </si>
  <si>
    <t>TXN00433</t>
  </si>
  <si>
    <t>TXN00434</t>
  </si>
  <si>
    <t>CARD0162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</si>
  <si>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</si>
  <si>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</si>
  <si>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</si>
  <si>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</si>
  <si>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</si>
  <si>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</si>
  <si>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</si>
  <si>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</si>
  <si>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</si>
  <si>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</si>
  <si>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</si>
  <si>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</si>
  <si>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</si>
  <si>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</si>
  <si>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</si>
  <si>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</si>
  <si>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</si>
  <si>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</si>
  <si>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</si>
  <si>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</si>
  <si>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</si>
  <si>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</si>
  <si>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</si>
  <si>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</si>
  <si>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</si>
  <si>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CUST0078</t>
  </si>
  <si>
    <t>TXN00460</t>
  </si>
  <si>
    <t>CARD0116</t>
  </si>
  <si>
    <t>TXN00461</t>
  </si>
  <si>
    <t>TXN00462</t>
  </si>
  <si>
    <t>CUST0036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</si>
  <si>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</si>
  <si>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</si>
  <si>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</si>
  <si>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</si>
  <si>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</si>
  <si>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</si>
  <si>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</si>
  <si>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</si>
  <si>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</si>
  <si>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CARD0093</t>
  </si>
  <si>
    <t>TXN00472</t>
  </si>
  <si>
    <t>TXN00473</t>
  </si>
  <si>
    <t>TXN00474</t>
  </si>
  <si>
    <t>TXN00475</t>
  </si>
  <si>
    <t>CUST0097</t>
  </si>
  <si>
    <t>TXN00476</t>
  </si>
  <si>
    <t>TXN00477</t>
  </si>
  <si>
    <t>TXN00478</t>
  </si>
  <si>
    <t>CARD0153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</si>
  <si>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</si>
  <si>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</si>
  <si>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</si>
  <si>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</si>
  <si>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</si>
  <si>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</si>
  <si>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</si>
  <si>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</si>
  <si>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</si>
  <si>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</si>
  <si>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</si>
  <si>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</si>
  <si>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</si>
  <si>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</si>
  <si>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</si>
  <si>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</si>
  <si>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</si>
  <si>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</si>
  <si>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</si>
  <si>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</si>
  <si>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</si>
  <si>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</si>
  <si>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</si>
  <si>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</si>
  <si>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</si>
  <si>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</si>
  <si>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</si>
  <si>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</si>
  <si>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</si>
  <si>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CARD0155</t>
  </si>
  <si>
    <t>TXN00508</t>
  </si>
  <si>
    <t>TXN00509</t>
  </si>
  <si>
    <t>CUST0179</t>
  </si>
  <si>
    <t>TXN00510</t>
  </si>
  <si>
    <t>TXN00511</t>
  </si>
  <si>
    <t>TXN00512</t>
  </si>
  <si>
    <t>TXN00513</t>
  </si>
  <si>
    <t>TXN00514</t>
  </si>
  <si>
    <t>TXN00515</t>
  </si>
  <si>
    <t>CARD0056</t>
  </si>
  <si>
    <t>TXN00516</t>
  </si>
  <si>
    <t>CARD0177</t>
  </si>
  <si>
    <t>TXN00517</t>
  </si>
  <si>
    <t>TXN00518</t>
  </si>
  <si>
    <t>CARD0012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</si>
  <si>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</si>
  <si>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</si>
  <si>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</si>
  <si>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</si>
  <si>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</si>
  <si>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</si>
  <si>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</si>
  <si>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</si>
  <si>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</si>
  <si>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CARD0245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</si>
  <si>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</si>
  <si>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</si>
  <si>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</si>
  <si>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</si>
  <si>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</si>
  <si>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</si>
  <si>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</si>
  <si>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</si>
  <si>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</si>
  <si>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</si>
  <si>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</si>
  <si>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</si>
  <si>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</si>
  <si>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</si>
  <si>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</si>
  <si>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</si>
  <si>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</si>
  <si>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</si>
  <si>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</si>
  <si>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</si>
  <si>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</si>
  <si>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</si>
  <si>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CARD0128</t>
  </si>
  <si>
    <t>TXN00550</t>
  </si>
  <si>
    <t>TXN00551</t>
  </si>
  <si>
    <t>TXN00552</t>
  </si>
  <si>
    <t>TXN00553</t>
  </si>
  <si>
    <t>TXN00554</t>
  </si>
  <si>
    <t>CARD0109</t>
  </si>
  <si>
    <t>TXN00555</t>
  </si>
  <si>
    <t>CUST0076</t>
  </si>
  <si>
    <t>CARD0215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</si>
  <si>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</si>
  <si>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</si>
  <si>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</si>
  <si>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</si>
  <si>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</si>
  <si>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</si>
  <si>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</si>
  <si>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</si>
  <si>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</si>
  <si>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CARD0047</t>
  </si>
  <si>
    <t>TXN00565</t>
  </si>
  <si>
    <t>TXN00566</t>
  </si>
  <si>
    <t>TXN00567</t>
  </si>
  <si>
    <t>TXN00568</t>
  </si>
  <si>
    <t>CUST0109</t>
  </si>
  <si>
    <t>TXN00569</t>
  </si>
  <si>
    <t>TXN00570</t>
  </si>
  <si>
    <t>TXN00571</t>
  </si>
  <si>
    <t>TXN00572</t>
  </si>
  <si>
    <t>TXN00573</t>
  </si>
  <si>
    <t>TXN00574</t>
  </si>
  <si>
    <t>CARD0038</t>
  </si>
  <si>
    <t>TXN00575</t>
  </si>
  <si>
    <t>TXN00576</t>
  </si>
  <si>
    <t>TXN00577</t>
  </si>
  <si>
    <t>TXN00578</t>
  </si>
  <si>
    <t>TXN00579</t>
  </si>
  <si>
    <t>CUST0105</t>
  </si>
  <si>
    <t>TXN00580</t>
  </si>
  <si>
    <t>TXN00581</t>
  </si>
  <si>
    <t>CARD0004</t>
  </si>
  <si>
    <t>TXN00582</t>
  </si>
  <si>
    <t>TXN00583</t>
  </si>
  <si>
    <t>TXN00584</t>
  </si>
  <si>
    <t>CUST0162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</si>
  <si>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</si>
  <si>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</si>
  <si>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</si>
  <si>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</si>
  <si>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</si>
  <si>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</si>
  <si>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</si>
  <si>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</si>
  <si>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CUST0064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</si>
  <si>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</si>
  <si>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</si>
  <si>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</si>
  <si>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</si>
  <si>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</si>
  <si>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</si>
  <si>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</si>
  <si>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</si>
  <si>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</si>
  <si>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</si>
  <si>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</si>
  <si>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CARD0113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</si>
  <si>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</si>
  <si>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</si>
  <si>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</si>
  <si>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</si>
  <si>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</si>
  <si>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</si>
  <si>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</si>
  <si>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</si>
  <si>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</si>
  <si>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</si>
  <si>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CUST0161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</si>
  <si>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</si>
  <si>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</si>
  <si>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</si>
  <si>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</si>
  <si>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</si>
  <si>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</si>
  <si>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</si>
  <si>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</si>
  <si>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</si>
  <si>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</si>
  <si>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</si>
  <si>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</si>
  <si>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</si>
  <si>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</si>
  <si>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</si>
  <si>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</si>
  <si>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</si>
  <si>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</si>
  <si>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</si>
  <si>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</si>
  <si>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CARD0013</t>
  </si>
  <si>
    <t>TXN00634</t>
  </si>
  <si>
    <t>TXN00635</t>
  </si>
  <si>
    <t>CARD0223</t>
  </si>
  <si>
    <t>TXN00636</t>
  </si>
  <si>
    <t>TXN00637</t>
  </si>
  <si>
    <t>TXN00638</t>
  </si>
  <si>
    <t>TXN00639</t>
  </si>
  <si>
    <t>TXN00640</t>
  </si>
  <si>
    <t>CARD0237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</si>
  <si>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</si>
  <si>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</si>
  <si>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</si>
  <si>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</si>
  <si>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</si>
  <si>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</si>
  <si>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</si>
  <si>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</si>
  <si>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</si>
  <si>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</si>
  <si>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</si>
  <si>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</si>
  <si>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</si>
  <si>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CUST0095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</si>
  <si>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</si>
  <si>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</si>
  <si>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</si>
  <si>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</si>
  <si>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</si>
  <si>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</si>
  <si>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</si>
  <si>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</si>
  <si>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</si>
  <si>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</si>
  <si>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CUST0048</t>
  </si>
  <si>
    <t>TXN00664</t>
  </si>
  <si>
    <t>TXN00665</t>
  </si>
  <si>
    <t>CARD0020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</si>
  <si>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</si>
  <si>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</si>
  <si>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</si>
  <si>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</si>
  <si>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</si>
  <si>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</si>
  <si>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</si>
  <si>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</si>
  <si>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</si>
  <si>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</si>
  <si>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</si>
  <si>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</si>
  <si>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</si>
  <si>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</si>
  <si>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</si>
  <si>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CARD0199</t>
  </si>
  <si>
    <t>TXN00681</t>
  </si>
  <si>
    <t>TXN00682</t>
  </si>
  <si>
    <t>TXN00683</t>
  </si>
  <si>
    <t>CARD0085</t>
  </si>
  <si>
    <t>TXN00684</t>
  </si>
  <si>
    <t>TXN00685</t>
  </si>
  <si>
    <t>CARD0068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</si>
  <si>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</si>
  <si>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</si>
  <si>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</si>
  <si>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</si>
  <si>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</si>
  <si>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</si>
  <si>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</si>
  <si>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</si>
  <si>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</si>
  <si>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</si>
  <si>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</si>
  <si>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CARD0086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</si>
  <si>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</si>
  <si>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</si>
  <si>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</si>
  <si>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</si>
  <si>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</si>
  <si>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</si>
  <si>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</si>
  <si>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</si>
  <si>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</si>
  <si>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</si>
  <si>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</si>
  <si>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CARD0009</t>
  </si>
  <si>
    <t>TXN00708</t>
  </si>
  <si>
    <t>TXN00709</t>
  </si>
  <si>
    <t>TXN00710</t>
  </si>
  <si>
    <t>CARD0091</t>
  </si>
  <si>
    <t>TXN00711</t>
  </si>
  <si>
    <t>TXN00712</t>
  </si>
  <si>
    <t>TXN00713</t>
  </si>
  <si>
    <t>TXN00714</t>
  </si>
  <si>
    <t>TXN00715</t>
  </si>
  <si>
    <t>TXN00716</t>
  </si>
  <si>
    <t>CARD0216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</si>
  <si>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</si>
  <si>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</si>
  <si>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</si>
  <si>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</si>
  <si>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</si>
  <si>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</si>
  <si>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</si>
  <si>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</si>
  <si>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</si>
  <si>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</si>
  <si>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</si>
  <si>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CARD0150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</si>
  <si>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</si>
  <si>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</si>
  <si>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</si>
  <si>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</si>
  <si>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</si>
  <si>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</si>
  <si>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</si>
  <si>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</si>
  <si>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</si>
  <si>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</si>
  <si>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</si>
  <si>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</si>
  <si>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CARD0034</t>
  </si>
  <si>
    <t>TXN00740</t>
  </si>
  <si>
    <t>CARD0114</t>
  </si>
  <si>
    <t>TXN00741</t>
  </si>
  <si>
    <t>TXN00742</t>
  </si>
  <si>
    <t>TXN00743</t>
  </si>
  <si>
    <t>CARD0016</t>
  </si>
  <si>
    <t>TXN00744</t>
  </si>
  <si>
    <t>CARD0169</t>
  </si>
  <si>
    <t>TXN00745</t>
  </si>
  <si>
    <t>CARD0208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</si>
  <si>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</si>
  <si>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</si>
  <si>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</si>
  <si>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</si>
  <si>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</si>
  <si>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</si>
  <si>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</si>
  <si>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</si>
  <si>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</si>
  <si>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</si>
  <si>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</si>
  <si>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</si>
  <si>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</si>
  <si>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</si>
  <si>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</si>
  <si>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</si>
  <si>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</si>
  <si>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</si>
  <si>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</si>
  <si>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</si>
  <si>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</si>
  <si>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</si>
  <si>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CARD0089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</si>
  <si>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</si>
  <si>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</si>
  <si>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</si>
  <si>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</si>
  <si>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</si>
  <si>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</si>
  <si>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</si>
  <si>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</si>
  <si>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CARD0108</t>
  </si>
  <si>
    <t>TXN00776</t>
  </si>
  <si>
    <t>CARD0225</t>
  </si>
  <si>
    <t>TXN00777</t>
  </si>
  <si>
    <t>TXN00778</t>
  </si>
  <si>
    <t>TXN00779</t>
  </si>
  <si>
    <t>TXN00780</t>
  </si>
  <si>
    <t>TXN00781</t>
  </si>
  <si>
    <t>CARD0029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</si>
  <si>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</si>
  <si>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</si>
  <si>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</si>
  <si>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</si>
  <si>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</si>
  <si>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</si>
  <si>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</si>
  <si>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</si>
  <si>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</si>
  <si>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</si>
  <si>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</si>
  <si>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</si>
  <si>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</si>
  <si>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</si>
  <si>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</si>
  <si>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</si>
  <si>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</si>
  <si>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</si>
  <si>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</si>
  <si>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</si>
  <si>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</si>
  <si>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</si>
  <si>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</si>
  <si>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</si>
  <si>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CUST0136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</si>
  <si>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</si>
  <si>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</si>
  <si>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</si>
  <si>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</si>
  <si>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</si>
  <si>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</si>
  <si>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</si>
  <si>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</si>
  <si>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</si>
  <si>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</si>
  <si>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</si>
  <si>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</si>
  <si>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</si>
  <si>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</si>
  <si>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</si>
  <si>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</si>
  <si>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</si>
  <si>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</si>
  <si>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</si>
  <si>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</si>
  <si>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</si>
  <si>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</si>
  <si>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</si>
  <si>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</si>
  <si>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</si>
  <si>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</si>
  <si>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</si>
  <si>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</si>
  <si>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</si>
  <si>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</si>
  <si>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</si>
  <si>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</si>
  <si>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</si>
  <si>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</si>
  <si>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</si>
  <si>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</si>
  <si>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</si>
  <si>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</si>
  <si>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</si>
  <si>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</si>
  <si>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</si>
  <si>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</si>
  <si>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</si>
  <si>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</si>
  <si>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</si>
  <si>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</si>
  <si>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CARD0222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</si>
  <si>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</si>
  <si>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</si>
  <si>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</si>
  <si>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</si>
  <si>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</si>
  <si>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</si>
  <si>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</si>
  <si>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</si>
  <si>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</si>
  <si>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</si>
  <si>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</si>
  <si>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</si>
  <si>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</si>
  <si>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</si>
  <si>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</si>
  <si>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</si>
  <si>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</si>
  <si>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</si>
  <si>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</si>
  <si>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</si>
  <si>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</si>
  <si>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CARD0138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</si>
  <si>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</si>
  <si>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</si>
  <si>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</si>
  <si>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</si>
  <si>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</si>
  <si>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</si>
  <si>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</si>
  <si>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</si>
  <si>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</si>
  <si>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</si>
  <si>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</si>
  <si>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</si>
  <si>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</si>
  <si>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</si>
  <si>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</si>
  <si>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</si>
  <si>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</si>
  <si>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</si>
  <si>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</si>
  <si>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</si>
  <si>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</si>
  <si>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</si>
  <si>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</si>
  <si>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</si>
  <si>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</si>
  <si>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</si>
  <si>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</si>
  <si>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</si>
  <si>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</si>
  <si>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</si>
  <si>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</si>
  <si>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</si>
  <si>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</si>
  <si>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</si>
  <si>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</si>
  <si>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</si>
  <si>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</si>
  <si>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</si>
  <si>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</si>
  <si>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</si>
  <si>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</si>
  <si>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</si>
  <si>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</si>
  <si>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</si>
  <si>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</si>
  <si>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</si>
  <si>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</si>
  <si>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</si>
  <si>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</si>
  <si>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</si>
  <si>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</si>
  <si>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</si>
  <si>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</si>
  <si>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</si>
  <si>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</si>
  <si>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</si>
  <si>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</si>
  <si>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</si>
  <si>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</si>
  <si>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</si>
  <si>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</si>
  <si>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</si>
  <si>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</si>
  <si>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</si>
  <si>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</si>
  <si>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</si>
  <si>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</si>
  <si>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</si>
  <si>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</si>
  <si>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</si>
  <si>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</si>
  <si>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</si>
  <si>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</si>
  <si>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</si>
  <si>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</si>
  <si>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</si>
  <si>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</si>
  <si>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CARD0084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</si>
  <si>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</si>
  <si>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</si>
  <si>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</si>
  <si>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</si>
  <si>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</si>
  <si>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</si>
  <si>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</si>
  <si>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</si>
  <si>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</si>
  <si>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</si>
  <si>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</si>
  <si>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</si>
  <si>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</si>
  <si>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</si>
  <si>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</si>
  <si>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</si>
  <si>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</si>
  <si>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</si>
  <si>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</si>
  <si>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</si>
  <si>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</si>
  <si>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</si>
  <si>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</si>
  <si>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</si>
  <si>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</si>
  <si>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</si>
  <si>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</si>
  <si>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</si>
  <si>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</si>
  <si>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</si>
  <si>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</si>
  <si>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</si>
  <si>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</si>
  <si>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</si>
  <si>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</si>
  <si>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</si>
  <si>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</si>
  <si>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</si>
  <si>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</si>
  <si>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</si>
  <si>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</si>
  <si>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</si>
  <si>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</si>
  <si>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</si>
  <si>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</si>
  <si>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</si>
  <si>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</si>
  <si>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</si>
  <si>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</si>
  <si>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</si>
  <si>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</si>
  <si>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Customer_Name</t>
  </si>
  <si>
    <t>City</t>
  </si>
  <si>
    <t>Region</t>
  </si>
  <si>
    <t>DOB</t>
  </si>
  <si>
    <t>Employment_Type</t>
  </si>
  <si>
    <t>Annual_Income</t>
  </si>
  <si>
    <t>Income_Band</t>
  </si>
  <si>
    <t>Risk_Band</t>
  </si>
  <si>
    <t>Customer_Since</t>
  </si>
  <si>
    <t>Aanya Gupta</t>
  </si>
  <si>
    <t>Delhi</t>
  </si>
  <si>
    <t>North</t>
  </si>
  <si>
    <t>Salaried</t>
  </si>
  <si>
    <t>Below 5L</t>
  </si>
  <si>
    <t>High</t>
  </si>
  <si>
    <t>Aarav Verma</t>
  </si>
  <si>
    <t>Lucknow</t>
  </si>
  <si>
    <t>Self-employed</t>
  </si>
  <si>
    <t>5L-10L</t>
  </si>
  <si>
    <t>Low</t>
  </si>
  <si>
    <t>Reyansh Mehta</t>
  </si>
  <si>
    <t>Student</t>
  </si>
  <si>
    <t>20L+</t>
  </si>
  <si>
    <t>Sai Mehta</t>
  </si>
  <si>
    <t>Jaipur</t>
  </si>
  <si>
    <t>Medium</t>
  </si>
  <si>
    <t>Vihaan Verma</t>
  </si>
  <si>
    <t>Pune</t>
  </si>
  <si>
    <t>West</t>
  </si>
  <si>
    <t>Riya Das</t>
  </si>
  <si>
    <t>Chennai</t>
  </si>
  <si>
    <t>South</t>
  </si>
  <si>
    <t>10L-20L</t>
  </si>
  <si>
    <t>Navya Singh</t>
  </si>
  <si>
    <t>Aanya Roy</t>
  </si>
  <si>
    <t>Hyderabad</t>
  </si>
  <si>
    <t>Myra Patel</t>
  </si>
  <si>
    <t>Ishaan Mehta</t>
  </si>
  <si>
    <t>Aanya Joshi</t>
  </si>
  <si>
    <t>Business Owner</t>
  </si>
  <si>
    <t>Diya Verma</t>
  </si>
  <si>
    <t>Riya Gupta</t>
  </si>
  <si>
    <t>Diya Mehta</t>
  </si>
  <si>
    <t>Kabir Nair</t>
  </si>
  <si>
    <t>Kolkata</t>
  </si>
  <si>
    <t>East</t>
  </si>
  <si>
    <t>Tara Verma</t>
  </si>
  <si>
    <t>Ishaan Roy</t>
  </si>
  <si>
    <t>Ahmedabad</t>
  </si>
  <si>
    <t>Ira Verma</t>
  </si>
  <si>
    <t>Kabir Iyer</t>
  </si>
  <si>
    <t>Bengaluru</t>
  </si>
  <si>
    <t>Tara Singh</t>
  </si>
  <si>
    <t>Tara Patel</t>
  </si>
  <si>
    <t>Vivaan Singh</t>
  </si>
  <si>
    <t>Arjun Joshi</t>
  </si>
  <si>
    <t>Reyansh Mishra</t>
  </si>
  <si>
    <t>Navya Das</t>
  </si>
  <si>
    <t>Aanya Verma</t>
  </si>
  <si>
    <t>Meera Singh</t>
  </si>
  <si>
    <t>Meera Iyer</t>
  </si>
  <si>
    <t>Saanvi Reddy</t>
  </si>
  <si>
    <t>Kiara Mehta</t>
  </si>
  <si>
    <t>Mumbai</t>
  </si>
  <si>
    <t>Riya Iyer</t>
  </si>
  <si>
    <t>Sai Reddy</t>
  </si>
  <si>
    <t>Kiara Sharma</t>
  </si>
  <si>
    <t>Meera Gupta</t>
  </si>
  <si>
    <t>Vivaan Mehta</t>
  </si>
  <si>
    <t>Kabir Gupta</t>
  </si>
  <si>
    <t>Aditya Joshi</t>
  </si>
  <si>
    <t>Tara Sharma</t>
  </si>
  <si>
    <t>Diya Singh</t>
  </si>
  <si>
    <t>Riya Patel</t>
  </si>
  <si>
    <t>Aditya Das</t>
  </si>
  <si>
    <t>Aanya Patel</t>
  </si>
  <si>
    <t>Aarav Joshi</t>
  </si>
  <si>
    <t>Vihaan Mehta</t>
  </si>
  <si>
    <t>Reyansh Joshi</t>
  </si>
  <si>
    <t>Saanvi Roy</t>
  </si>
  <si>
    <t>Aditya Mishra</t>
  </si>
  <si>
    <t>Saanvi Gupta</t>
  </si>
  <si>
    <t>Sai Iyer</t>
  </si>
  <si>
    <t>Aanya Jain</t>
  </si>
  <si>
    <t>Aanya Singh</t>
  </si>
  <si>
    <t>Reyansh Reddy</t>
  </si>
  <si>
    <t>Kabir Reddy</t>
  </si>
  <si>
    <t>Diya Sharma</t>
  </si>
  <si>
    <t>Tara Das</t>
  </si>
  <si>
    <t>Saanvi Sharma</t>
  </si>
  <si>
    <t>Sai Khan</t>
  </si>
  <si>
    <t>Aditya Roy</t>
  </si>
  <si>
    <t>Aarav Sharma</t>
  </si>
  <si>
    <t>Saanvi Mishra</t>
  </si>
  <si>
    <t>Riya Sharma</t>
  </si>
  <si>
    <t>Ishaan Khan</t>
  </si>
  <si>
    <t>Ishaan Nair</t>
  </si>
  <si>
    <t>Diya Iyer</t>
  </si>
  <si>
    <t>Ananya Singh</t>
  </si>
  <si>
    <t>Arjun Singh</t>
  </si>
  <si>
    <t>Ananya Iyer</t>
  </si>
  <si>
    <t>Kiara Khan</t>
  </si>
  <si>
    <t>Vivaan Jain</t>
  </si>
  <si>
    <t>Kiara Jain</t>
  </si>
  <si>
    <t>Vivaan Patel</t>
  </si>
  <si>
    <t>Vihaan Khan</t>
  </si>
  <si>
    <t>Tara Khan</t>
  </si>
  <si>
    <t>Ananya Khan</t>
  </si>
  <si>
    <t>Ananya Roy</t>
  </si>
  <si>
    <t>Myra Verma</t>
  </si>
  <si>
    <t>Myra Joshi</t>
  </si>
  <si>
    <t>Diya Khan</t>
  </si>
  <si>
    <t>Tara Joshi</t>
  </si>
  <si>
    <t>Aarav Das</t>
  </si>
  <si>
    <t>Ishaan Iyer</t>
  </si>
  <si>
    <t>Navya Patel</t>
  </si>
  <si>
    <t>Ira Patel</t>
  </si>
  <si>
    <t>Reyansh Patel</t>
  </si>
  <si>
    <t>Ananya Verma</t>
  </si>
  <si>
    <t>Aarav Mehta</t>
  </si>
  <si>
    <t>Meera Nair</t>
  </si>
  <si>
    <t>Aditya Reddy</t>
  </si>
  <si>
    <t>Arjun Iyer</t>
  </si>
  <si>
    <t>Navya Reddy</t>
  </si>
  <si>
    <t>Reyansh Jain</t>
  </si>
  <si>
    <t>Sai Sharma</t>
  </si>
  <si>
    <t>Navya Joshi</t>
  </si>
  <si>
    <t>Diya Roy</t>
  </si>
  <si>
    <t>Navya Mishra</t>
  </si>
  <si>
    <t>Diya Das</t>
  </si>
  <si>
    <t>Ira Khan</t>
  </si>
  <si>
    <t>Aarav Iyer</t>
  </si>
  <si>
    <t>Kabir Joshi</t>
  </si>
  <si>
    <t>Aditya Nair</t>
  </si>
  <si>
    <t>Ira Reddy</t>
  </si>
  <si>
    <t>Riya Verma</t>
  </si>
  <si>
    <t>Tara Iyer</t>
  </si>
  <si>
    <t>Ishaan Reddy</t>
  </si>
  <si>
    <t>Meera Mishra</t>
  </si>
  <si>
    <t>Aanya Nair</t>
  </si>
  <si>
    <t>Aditya Jain</t>
  </si>
  <si>
    <t>Ira Das</t>
  </si>
  <si>
    <t>Kiara Singh</t>
  </si>
  <si>
    <t>Kiara Joshi</t>
  </si>
  <si>
    <t>Ira Roy</t>
  </si>
  <si>
    <t>Arjun Reddy</t>
  </si>
  <si>
    <t>Tara Mehta</t>
  </si>
  <si>
    <t>Ira Joshi</t>
  </si>
  <si>
    <t>Sai Gupta</t>
  </si>
  <si>
    <t>Navya Gupta</t>
  </si>
  <si>
    <t>Riya Mishra</t>
  </si>
  <si>
    <t>Myra Khan</t>
  </si>
  <si>
    <t>CUST0147</t>
  </si>
  <si>
    <t>Aarav Khan</t>
  </si>
  <si>
    <t>Ananya Patel</t>
  </si>
  <si>
    <t>Kabir Das</t>
  </si>
  <si>
    <t>Vihaan Nair</t>
  </si>
  <si>
    <t>Kiara Nair</t>
  </si>
  <si>
    <t>Vihaan Roy</t>
  </si>
  <si>
    <t>Reyansh Nair</t>
  </si>
  <si>
    <t>Myra Sharma</t>
  </si>
  <si>
    <t>Reyansh Verma</t>
  </si>
  <si>
    <t>Vihaan Joshi</t>
  </si>
  <si>
    <t>Ira Sharma</t>
  </si>
  <si>
    <t>Navya Verma</t>
  </si>
  <si>
    <t>Ananya Nair</t>
  </si>
  <si>
    <t>Meera Mehta</t>
  </si>
  <si>
    <t>Arjun Jain</t>
  </si>
  <si>
    <t>Kabir Khan</t>
  </si>
  <si>
    <t>Saanvi Nair</t>
  </si>
  <si>
    <t>Vihaan Patel</t>
  </si>
  <si>
    <t>Aditya Verma</t>
  </si>
  <si>
    <t>Ishaan Sharma</t>
  </si>
  <si>
    <t>Merchant_Name</t>
  </si>
  <si>
    <t>Merchant_Category</t>
  </si>
  <si>
    <t>Operating_Model</t>
  </si>
  <si>
    <t>Urban Services</t>
  </si>
  <si>
    <t>Fashion</t>
  </si>
  <si>
    <t>Online</t>
  </si>
  <si>
    <t>Daily Stores</t>
  </si>
  <si>
    <t>Entertainment</t>
  </si>
  <si>
    <t>Omnichannel</t>
  </si>
  <si>
    <t>Fresh Mart</t>
  </si>
  <si>
    <t>Electronics</t>
  </si>
  <si>
    <t>Daily Digital</t>
  </si>
  <si>
    <t>Healthcare</t>
  </si>
  <si>
    <t>Prime Foods</t>
  </si>
  <si>
    <t>Nova Pay</t>
  </si>
  <si>
    <t>Offline</t>
  </si>
  <si>
    <t>Blue Hub</t>
  </si>
  <si>
    <t>Daily Services</t>
  </si>
  <si>
    <t>Food &amp; Dining</t>
  </si>
  <si>
    <t>Prime Mart</t>
  </si>
  <si>
    <t>Utilities</t>
  </si>
  <si>
    <t>Quick Pay</t>
  </si>
  <si>
    <t>Daily Hub</t>
  </si>
  <si>
    <t>Quick Retail</t>
  </si>
  <si>
    <t>Grocery</t>
  </si>
  <si>
    <t>Travel</t>
  </si>
  <si>
    <t>Metro Pay</t>
  </si>
  <si>
    <t>Blue Foods</t>
  </si>
  <si>
    <t>Quick Services</t>
  </si>
  <si>
    <t>Nova Retail</t>
  </si>
  <si>
    <t>Metro Retail</t>
  </si>
  <si>
    <t>Urban Retail</t>
  </si>
  <si>
    <t>Fresh Hub</t>
  </si>
  <si>
    <t>Urban Stores</t>
  </si>
  <si>
    <t>Smart Pay</t>
  </si>
  <si>
    <t>Metro Stores</t>
  </si>
  <si>
    <t>Metro Services</t>
  </si>
  <si>
    <t>Prime Digital</t>
  </si>
  <si>
    <t>Fuel</t>
  </si>
  <si>
    <t>Prime Pay</t>
  </si>
  <si>
    <t>Green Pay</t>
  </si>
  <si>
    <t>Urban Digital</t>
  </si>
  <si>
    <t>Nova Services</t>
  </si>
  <si>
    <t>Nova Hub</t>
  </si>
  <si>
    <t>Green Foods</t>
  </si>
  <si>
    <t>Quick Hub</t>
  </si>
  <si>
    <t>Fresh Foods</t>
  </si>
  <si>
    <t>Blue Retail</t>
  </si>
  <si>
    <t>Blue Digital</t>
  </si>
  <si>
    <t>Blue Services</t>
  </si>
  <si>
    <t>Loan_ID</t>
  </si>
  <si>
    <t>Application_Date</t>
  </si>
  <si>
    <t>Loan_Type</t>
  </si>
  <si>
    <t>Loan_Purpose</t>
  </si>
  <si>
    <t>Loan_Amount</t>
  </si>
  <si>
    <t>Interest_Rate</t>
  </si>
  <si>
    <t>Tenure_Months</t>
  </si>
  <si>
    <t>Loan_Status</t>
  </si>
  <si>
    <t>Application_Channel</t>
  </si>
  <si>
    <t>LOAN0001</t>
  </si>
  <si>
    <t>Business</t>
  </si>
  <si>
    <t>Home Improvement</t>
  </si>
  <si>
    <t>Rejected</t>
  </si>
  <si>
    <t>Partner</t>
  </si>
  <si>
    <t>LOAN0002</t>
  </si>
  <si>
    <t>Vehicle</t>
  </si>
  <si>
    <t>LOAN0003</t>
  </si>
  <si>
    <t>Closed</t>
  </si>
  <si>
    <t>LOAN0004</t>
  </si>
  <si>
    <t>Personal</t>
  </si>
  <si>
    <t>Medical</t>
  </si>
  <si>
    <t>Approved</t>
  </si>
  <si>
    <t>LOAN0005</t>
  </si>
  <si>
    <t>Home</t>
  </si>
  <si>
    <t>Expansion</t>
  </si>
  <si>
    <t>Under Review</t>
  </si>
  <si>
    <t>LOAN0006</t>
  </si>
  <si>
    <t>LOAN0007</t>
  </si>
  <si>
    <t>Working Capital</t>
  </si>
  <si>
    <t>LOAN0008</t>
  </si>
  <si>
    <t>LOAN0009</t>
  </si>
  <si>
    <t>LOAN0010</t>
  </si>
  <si>
    <t>Education</t>
  </si>
  <si>
    <t>Debt Consolidation</t>
  </si>
  <si>
    <t>LOAN0011</t>
  </si>
  <si>
    <t>Defaulted</t>
  </si>
  <si>
    <t>LOAN0012</t>
  </si>
  <si>
    <t>LOAN0013</t>
  </si>
  <si>
    <t>LOAN0014</t>
  </si>
  <si>
    <t>LOAN0015</t>
  </si>
  <si>
    <t>LOAN0016</t>
  </si>
  <si>
    <t>LOAN0017</t>
  </si>
  <si>
    <t>LOAN0018</t>
  </si>
  <si>
    <t>LOAN0019</t>
  </si>
  <si>
    <t>LOAN0020</t>
  </si>
  <si>
    <t>LOAN0021</t>
  </si>
  <si>
    <t>LOAN0022</t>
  </si>
  <si>
    <t>LOAN0023</t>
  </si>
  <si>
    <t>LOAN0024</t>
  </si>
  <si>
    <t>LOAN0025</t>
  </si>
  <si>
    <t>LOAN0026</t>
  </si>
  <si>
    <t>LOAN0027</t>
  </si>
  <si>
    <t>LOAN0028</t>
  </si>
  <si>
    <t>LOAN0029</t>
  </si>
  <si>
    <t>LOAN0030</t>
  </si>
  <si>
    <t>LOAN0031</t>
  </si>
  <si>
    <t>LOAN0032</t>
  </si>
  <si>
    <t>LOAN0033</t>
  </si>
  <si>
    <t>LOAN0034</t>
  </si>
  <si>
    <t>LOAN0035</t>
  </si>
  <si>
    <t>LOAN0036</t>
  </si>
  <si>
    <t>LOAN0037</t>
  </si>
  <si>
    <t>LOAN0038</t>
  </si>
  <si>
    <t>LOAN0039</t>
  </si>
  <si>
    <t>LOAN0040</t>
  </si>
  <si>
    <t>LOAN0041</t>
  </si>
  <si>
    <t>LOAN0042</t>
  </si>
  <si>
    <t>LOAN0043</t>
  </si>
  <si>
    <t>LOAN0044</t>
  </si>
  <si>
    <t>LOAN0045</t>
  </si>
  <si>
    <t>LOAN0046</t>
  </si>
  <si>
    <t>LOAN0047</t>
  </si>
  <si>
    <t>LOAN0048</t>
  </si>
  <si>
    <t>LOAN0049</t>
  </si>
  <si>
    <t>LOAN0050</t>
  </si>
  <si>
    <t>LOAN0051</t>
  </si>
  <si>
    <t>LOAN0052</t>
  </si>
  <si>
    <t>LOAN0053</t>
  </si>
  <si>
    <t>LOAN0054</t>
  </si>
  <si>
    <t>LOAN0055</t>
  </si>
  <si>
    <t>LOAN0056</t>
  </si>
  <si>
    <t>LOAN0057</t>
  </si>
  <si>
    <t>LOAN0058</t>
  </si>
  <si>
    <t>LOAN0059</t>
  </si>
  <si>
    <t>LOAN0060</t>
  </si>
  <si>
    <t>LOAN0061</t>
  </si>
  <si>
    <t>LOAN0062</t>
  </si>
  <si>
    <t>LOAN0063</t>
  </si>
  <si>
    <t>LOAN0064</t>
  </si>
  <si>
    <t>LOAN0065</t>
  </si>
  <si>
    <t>LOAN0066</t>
  </si>
  <si>
    <t>LOAN0067</t>
  </si>
  <si>
    <t>LOAN0068</t>
  </si>
  <si>
    <t>LOAN0069</t>
  </si>
  <si>
    <t>LOAN0070</t>
  </si>
  <si>
    <t>LOAN0071</t>
  </si>
  <si>
    <t>LOAN0072</t>
  </si>
  <si>
    <t>LOAN0073</t>
  </si>
  <si>
    <t>LOAN0074</t>
  </si>
  <si>
    <t>LOAN0075</t>
  </si>
  <si>
    <t>LOAN0076</t>
  </si>
  <si>
    <t>LOAN0077</t>
  </si>
  <si>
    <t>LOAN0078</t>
  </si>
  <si>
    <t>LOAN0079</t>
  </si>
  <si>
    <t>LOAN0080</t>
  </si>
  <si>
    <t>LOAN0081</t>
  </si>
  <si>
    <t>LOAN0082</t>
  </si>
  <si>
    <t>LOAN0083</t>
  </si>
  <si>
    <t>LOAN0084</t>
  </si>
  <si>
    <t>LOAN0085</t>
  </si>
  <si>
    <t>LOAN0086</t>
  </si>
  <si>
    <t>LOAN0087</t>
  </si>
  <si>
    <t>LOAN0088</t>
  </si>
  <si>
    <t>LOAN0089</t>
  </si>
  <si>
    <t>LOAN0090</t>
  </si>
  <si>
    <t>LOAN0091</t>
  </si>
  <si>
    <t>LOAN0092</t>
  </si>
  <si>
    <t>LOAN0093</t>
  </si>
  <si>
    <t>LOAN0094</t>
  </si>
  <si>
    <t>LOAN0095</t>
  </si>
  <si>
    <t>LOAN0096</t>
  </si>
  <si>
    <t>LOAN0097</t>
  </si>
  <si>
    <t>LOAN0098</t>
  </si>
  <si>
    <t>LOAN0099</t>
  </si>
  <si>
    <t>LOAN0100</t>
  </si>
  <si>
    <t>LOAN0101</t>
  </si>
  <si>
    <t>LOAN0102</t>
  </si>
  <si>
    <t>LOAN0103</t>
  </si>
  <si>
    <t>LOAN0104</t>
  </si>
  <si>
    <t>LOAN0105</t>
  </si>
  <si>
    <t>LOAN0106</t>
  </si>
  <si>
    <t>LOAN0107</t>
  </si>
  <si>
    <t>LOAN0108</t>
  </si>
  <si>
    <t>LOAN0109</t>
  </si>
  <si>
    <t>LOAN0110</t>
  </si>
  <si>
    <t>LOAN0111</t>
  </si>
  <si>
    <t>LOAN0112</t>
  </si>
  <si>
    <t>LOAN0113</t>
  </si>
  <si>
    <t>LOAN0114</t>
  </si>
  <si>
    <t>LOAN0115</t>
  </si>
  <si>
    <t>LOAN0116</t>
  </si>
  <si>
    <t>LOAN0117</t>
  </si>
  <si>
    <t>LOAN0118</t>
  </si>
  <si>
    <t>LOAN0119</t>
  </si>
  <si>
    <t>LOAN0120</t>
  </si>
  <si>
    <t>LOAN0121</t>
  </si>
  <si>
    <t>LOAN0122</t>
  </si>
  <si>
    <t>LOAN0123</t>
  </si>
  <si>
    <t>LOAN0124</t>
  </si>
  <si>
    <t>LOAN0125</t>
  </si>
  <si>
    <t>LOAN0126</t>
  </si>
  <si>
    <t>LOAN0127</t>
  </si>
  <si>
    <t>LOAN0128</t>
  </si>
  <si>
    <t>LOAN0129</t>
  </si>
  <si>
    <t>LOAN0130</t>
  </si>
  <si>
    <t>LOAN0131</t>
  </si>
  <si>
    <t>LOAN0132</t>
  </si>
  <si>
    <t>LOAN0133</t>
  </si>
  <si>
    <t>LOAN0134</t>
  </si>
  <si>
    <t>LOAN0135</t>
  </si>
  <si>
    <t>LOAN0136</t>
  </si>
  <si>
    <t>LOAN0137</t>
  </si>
  <si>
    <t>LOAN0138</t>
  </si>
  <si>
    <t>LOAN0139</t>
  </si>
  <si>
    <t>LOAN0140</t>
  </si>
  <si>
    <t>LOAN0141</t>
  </si>
  <si>
    <t>LOAN0142</t>
  </si>
  <si>
    <t>LOAN0143</t>
  </si>
  <si>
    <t>LOAN0144</t>
  </si>
  <si>
    <t>LOAN0145</t>
  </si>
  <si>
    <t>LOAN0146</t>
  </si>
  <si>
    <t>LOAN0147</t>
  </si>
  <si>
    <t>LOAN0148</t>
  </si>
  <si>
    <t>LOAN0149</t>
  </si>
  <si>
    <t>LOAN0150</t>
  </si>
  <si>
    <t>LOAN0151</t>
  </si>
  <si>
    <t>LOAN0152</t>
  </si>
  <si>
    <t>LOAN0153</t>
  </si>
  <si>
    <t>LOAN0154</t>
  </si>
  <si>
    <t>LOAN0155</t>
  </si>
  <si>
    <t>LOAN0156</t>
  </si>
  <si>
    <t>LOAN0157</t>
  </si>
  <si>
    <t>LOAN0158</t>
  </si>
  <si>
    <t>LOAN0159</t>
  </si>
  <si>
    <t>LOAN0160</t>
  </si>
  <si>
    <t>LOAN0161</t>
  </si>
  <si>
    <t>LOAN0162</t>
  </si>
  <si>
    <t>LOAN0163</t>
  </si>
  <si>
    <t>LOAN0164</t>
  </si>
  <si>
    <t>LOAN0165</t>
  </si>
  <si>
    <t>LOAN0166</t>
  </si>
  <si>
    <t>LOAN0167</t>
  </si>
  <si>
    <t>LOAN0168</t>
  </si>
  <si>
    <t>LOAN0169</t>
  </si>
  <si>
    <t>LOAN0170</t>
  </si>
  <si>
    <t>LOAN0171</t>
  </si>
  <si>
    <t>LOAN0172</t>
  </si>
  <si>
    <t>LOAN0173</t>
  </si>
  <si>
    <t>LOAN0174</t>
  </si>
  <si>
    <t>LOAN0175</t>
  </si>
  <si>
    <t>LOAN0176</t>
  </si>
  <si>
    <t>LOAN0177</t>
  </si>
  <si>
    <t>LOAN0178</t>
  </si>
  <si>
    <t>LOAN0179</t>
  </si>
  <si>
    <t>LOAN0180</t>
  </si>
  <si>
    <t>LOAN0181</t>
  </si>
  <si>
    <t>LOAN0182</t>
  </si>
  <si>
    <t>LOAN0183</t>
  </si>
  <si>
    <t>LOAN0184</t>
  </si>
  <si>
    <t>LOAN0185</t>
  </si>
  <si>
    <t>LOAN0186</t>
  </si>
  <si>
    <t>LOAN0187</t>
  </si>
  <si>
    <t>LOAN0188</t>
  </si>
  <si>
    <t>LOAN0189</t>
  </si>
  <si>
    <t>LOAN0190</t>
  </si>
  <si>
    <t>LOAN0191</t>
  </si>
  <si>
    <t>LOAN0192</t>
  </si>
  <si>
    <t>LOAN0193</t>
  </si>
  <si>
    <t>LOAN0194</t>
  </si>
  <si>
    <t>LOAN0195</t>
  </si>
  <si>
    <t>LOAN0196</t>
  </si>
  <si>
    <t>LOAN0197</t>
  </si>
  <si>
    <t>LOAN0198</t>
  </si>
  <si>
    <t>LOAN0199</t>
  </si>
  <si>
    <t>LOAN0200</t>
  </si>
  <si>
    <t>LOAN0201</t>
  </si>
  <si>
    <t>LOAN0202</t>
  </si>
  <si>
    <t>LOAN0203</t>
  </si>
  <si>
    <t>LOAN0204</t>
  </si>
  <si>
    <t>LOAN0205</t>
  </si>
  <si>
    <t>LOAN0206</t>
  </si>
  <si>
    <t>LOAN0207</t>
  </si>
  <si>
    <t>LOAN0208</t>
  </si>
  <si>
    <t>LOAN0209</t>
  </si>
  <si>
    <t>LOAN0210</t>
  </si>
  <si>
    <t>LOAN0211</t>
  </si>
  <si>
    <t>LOAN0212</t>
  </si>
  <si>
    <t>LOAN0213</t>
  </si>
  <si>
    <t>LOAN0214</t>
  </si>
  <si>
    <t>LOAN0215</t>
  </si>
  <si>
    <t>LOAN0216</t>
  </si>
  <si>
    <t>LOAN0217</t>
  </si>
  <si>
    <t>LOAN0218</t>
  </si>
  <si>
    <t>LOAN0219</t>
  </si>
  <si>
    <t>LOAN0220</t>
  </si>
  <si>
    <t>LOAN0221</t>
  </si>
  <si>
    <t>LOAN0222</t>
  </si>
  <si>
    <t>LOAN0223</t>
  </si>
  <si>
    <t>LOAN0224</t>
  </si>
  <si>
    <t>LOAN0225</t>
  </si>
  <si>
    <t>LOAN0226</t>
  </si>
  <si>
    <t>LOAN0227</t>
  </si>
  <si>
    <t>LOAN0228</t>
  </si>
  <si>
    <t>LOAN0229</t>
  </si>
  <si>
    <t>LOAN0230</t>
  </si>
  <si>
    <t>LOAN0231</t>
  </si>
  <si>
    <t>LOAN0232</t>
  </si>
  <si>
    <t>LOAN0233</t>
  </si>
  <si>
    <t>LOAN0234</t>
  </si>
  <si>
    <t>LOAN0235</t>
  </si>
  <si>
    <t>LOAN0236</t>
  </si>
  <si>
    <t>LOAN0237</t>
  </si>
  <si>
    <t>LOAN0238</t>
  </si>
  <si>
    <t>LOAN0239</t>
  </si>
  <si>
    <t>LOAN0240</t>
  </si>
  <si>
    <t>LOAN0241</t>
  </si>
  <si>
    <t>LOAN0242</t>
  </si>
  <si>
    <t>LOAN0243</t>
  </si>
  <si>
    <t>LOAN0244</t>
  </si>
  <si>
    <t>LOAN0245</t>
  </si>
  <si>
    <t>LOAN0246</t>
  </si>
  <si>
    <t>LOAN0247</t>
  </si>
  <si>
    <t>LOAN0248</t>
  </si>
  <si>
    <t>LOAN0249</t>
  </si>
  <si>
    <t>LOAN0250</t>
  </si>
  <si>
    <t>LOAN0251</t>
  </si>
  <si>
    <t>LOAN0252</t>
  </si>
  <si>
    <t>LOAN0253</t>
  </si>
  <si>
    <t>LOAN0254</t>
  </si>
  <si>
    <t>LOAN0255</t>
  </si>
  <si>
    <t>LOAN0256</t>
  </si>
  <si>
    <t>LOAN0257</t>
  </si>
  <si>
    <t>LOAN0258</t>
  </si>
  <si>
    <t>LOAN0259</t>
  </si>
  <si>
    <t>LOAN0260</t>
  </si>
  <si>
    <t>LOAN0261</t>
  </si>
  <si>
    <t>LOAN0262</t>
  </si>
  <si>
    <t>LOAN0263</t>
  </si>
  <si>
    <t>LOAN0264</t>
  </si>
  <si>
    <t>LOAN0265</t>
  </si>
  <si>
    <t>LOAN0266</t>
  </si>
  <si>
    <t>LOAN0267</t>
  </si>
  <si>
    <t>LOAN0268</t>
  </si>
  <si>
    <t>LOAN0269</t>
  </si>
  <si>
    <t>LOAN0270</t>
  </si>
  <si>
    <t>LOAN0271</t>
  </si>
  <si>
    <t>LOAN0272</t>
  </si>
  <si>
    <t>LOAN0273</t>
  </si>
  <si>
    <t>LOAN0274</t>
  </si>
  <si>
    <t>LOAN0275</t>
  </si>
  <si>
    <t>LOAN0276</t>
  </si>
  <si>
    <t>LOAN0277</t>
  </si>
  <si>
    <t>LOAN0278</t>
  </si>
  <si>
    <t>LOAN0279</t>
  </si>
  <si>
    <t>LOAN0280</t>
  </si>
  <si>
    <t>LOAN0281</t>
  </si>
  <si>
    <t>LOAN0282</t>
  </si>
  <si>
    <t>LOAN0283</t>
  </si>
  <si>
    <t>LOAN0284</t>
  </si>
  <si>
    <t>LOAN0285</t>
  </si>
  <si>
    <t>LOAN0286</t>
  </si>
  <si>
    <t>LOAN0287</t>
  </si>
  <si>
    <t>LOAN0288</t>
  </si>
  <si>
    <t>LOAN0289</t>
  </si>
  <si>
    <t>LOAN0290</t>
  </si>
  <si>
    <t>LOAN0291</t>
  </si>
  <si>
    <t>LOAN0292</t>
  </si>
  <si>
    <t>LOAN0293</t>
  </si>
  <si>
    <t>LOAN0294</t>
  </si>
  <si>
    <t>LOAN0295</t>
  </si>
  <si>
    <t>LOAN0296</t>
  </si>
  <si>
    <t>LOAN0297</t>
  </si>
  <si>
    <t>LOAN0298</t>
  </si>
  <si>
    <t>LOAN0299</t>
  </si>
  <si>
    <t>LOAN0300</t>
  </si>
  <si>
    <t>Card_Type</t>
  </si>
  <si>
    <t>Issue_Date</t>
  </si>
  <si>
    <t>Card_Status</t>
  </si>
  <si>
    <t>Network</t>
  </si>
  <si>
    <t>Card_Tier</t>
  </si>
  <si>
    <t>Debit</t>
  </si>
  <si>
    <t>Active</t>
  </si>
  <si>
    <t>Mastercard</t>
  </si>
  <si>
    <t>Classic</t>
  </si>
  <si>
    <t>Visa</t>
  </si>
  <si>
    <t>Credit</t>
  </si>
  <si>
    <t>RuPay</t>
  </si>
  <si>
    <t>Platinum</t>
  </si>
  <si>
    <t>Prepaid</t>
  </si>
  <si>
    <t>Gold</t>
  </si>
  <si>
    <t>Blocked</t>
  </si>
  <si>
    <t>CARD0014</t>
  </si>
  <si>
    <t>CARD0018</t>
  </si>
  <si>
    <t>CARD0101</t>
  </si>
  <si>
    <t>CARD0143</t>
  </si>
  <si>
    <t>CARD0149</t>
  </si>
  <si>
    <t>CARD0185</t>
  </si>
  <si>
    <t>New column</t>
  </si>
  <si>
    <t>Created</t>
  </si>
  <si>
    <t>month&amp;year</t>
  </si>
  <si>
    <t>daysdiff</t>
  </si>
  <si>
    <t>Done</t>
  </si>
  <si>
    <t>Already Cleaned</t>
  </si>
  <si>
    <t>Merchant Category</t>
  </si>
  <si>
    <t>Annual Income</t>
  </si>
  <si>
    <t>Merchant Name</t>
  </si>
  <si>
    <t>Row Labels</t>
  </si>
  <si>
    <t>Grand Total</t>
  </si>
  <si>
    <t>Sum of Transaction_Amount</t>
  </si>
  <si>
    <t>Max of Transaction_Timestamp</t>
  </si>
  <si>
    <t>Answers</t>
  </si>
  <si>
    <t>Rank</t>
  </si>
  <si>
    <t>Repeated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</si>
</sst>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m\-yyyy\ hh:mm"/>
    <numFmt numFmtId="167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1" fontId="0" fillId="0" borderId="0" xfId="0" applyNumberFormat="1"/>
    <xf numFmtId="0" fontId="1" fillId="2" borderId="0" xfId="0" applyFont="1" applyFill="1" applyBorder="1" applyAlignment="1">
      <alignment vertical="center" wrapText="1"/>
    </xf>
    <xf numFmtId="4" fontId="0" fillId="0" borderId="0" xfId="0" applyNumberFormat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3" xfId="0" applyFont="1" applyFill="1" applyBorder="1"/>
    <xf numFmtId="14" fontId="0" fillId="0" borderId="0" xfId="0" applyNumberFormat="1"/>
    <xf numFmtId="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NSHI JAISWAL" refreshedDate="46313.869819097221" createdVersion="6" refreshedVersion="6" minRefreshableVersion="3" recordCount="1000" xr:uid="{B5A00E57-2DBC-4BD2-9915-0D402CD6925C}">
  <cacheSource type="worksheet">
    <worksheetSource ref="A1:Q1001" sheet="Transactions"/>
  </cacheSource>
  <cacheFields count="17">
    <cacheField name="Transaction_ID" numFmtId="0">
      <sharedItems/>
    </cacheField>
    <cacheField name="Transaction_Timestamp" numFmtId="166">
      <sharedItems containsSemiMixedTypes="0" containsNonDate="0" containsDate="1" containsString="0" minDate="2025-01-01T02:11:27" maxDate="2026-10-03T22:24:49"/>
    </cacheField>
    <cacheField name="month&amp;year" numFmtId="166">
      <sharedItems/>
    </cacheField>
    <cacheField name="Customer_ID" numFmtId="0">
      <sharedItems count="179">
        <s v="CUST0053"/>
        <s v="CUST0035"/>
        <s v="CUST0126"/>
        <s v="CUST0132"/>
        <s v="CUST0118"/>
        <s v="CUST0087"/>
        <s v="CUST0032"/>
        <s v="CUST0024"/>
        <s v="CUST0110"/>
        <s v="CUST0003"/>
        <s v="CUST0027"/>
        <s v="CUST0113"/>
        <s v="CUST0090"/>
        <s v="CUST0177"/>
        <s v="CUST0127"/>
        <s v="CUST0094"/>
        <s v="CUST0102"/>
        <s v="CUST0022"/>
        <s v="CUST0080"/>
        <s v="CUST0171"/>
        <s v="CUST0043"/>
        <s v="CUST0128"/>
        <s v="CUST0059"/>
        <s v="CUST0010"/>
        <s v="CUST0031"/>
        <s v="CUST0084"/>
        <s v="CUST0119"/>
        <s v="CUST0086"/>
        <s v="CUST0072"/>
        <s v="CUST0020"/>
        <s v="CUST0180"/>
        <s v="CUST0040"/>
        <s v="CUST0079"/>
        <s v="CUST0143"/>
        <s v="CUST0034"/>
        <s v="CUST0008"/>
        <s v="CUST0158"/>
        <s v="CUST0108"/>
        <s v="CUST0100"/>
        <s v="CUST0150"/>
        <s v="CUST0091"/>
        <s v="CUST0145"/>
        <s v="CUST0135"/>
        <s v="CUST0029"/>
        <s v="CUST0112"/>
        <s v="CUST0033"/>
        <s v="CUST0164"/>
        <s v="CUST0172"/>
        <s v="CUST0013"/>
        <s v="CUST0148"/>
        <s v="CUST0019"/>
        <s v="CUST0111"/>
        <s v="CUST0170"/>
        <s v="CUST0001"/>
        <s v="CUST0122"/>
        <s v="CUST0098"/>
        <s v="CUST0039"/>
        <s v="CUST0138"/>
        <s v="CUST0052"/>
        <s v="CUST0134"/>
        <s v="CUST0028"/>
        <s v="CUST0045"/>
        <s v="CUST0096"/>
        <s v="CUST0083"/>
        <s v="CUST0015"/>
        <s v="CUST0175"/>
        <s v="CUST0069"/>
        <s v="CUST0065"/>
        <s v="CUST0071"/>
        <s v="CUST0007"/>
        <s v="CUST0088"/>
        <s v="CUST0121"/>
        <s v="CUST0085"/>
        <s v="CUST0163"/>
        <s v="CUST0004"/>
        <s v="CUST0005"/>
        <s v="CUST0160"/>
        <s v="CUST0068"/>
        <s v="CUST0066"/>
        <s v="CUST0093"/>
        <s v="CUST0070"/>
        <s v="CUST0107"/>
        <s v="CUST0124"/>
        <s v="CUST0023"/>
        <s v="CUST0142"/>
        <s v="CUST0130"/>
        <s v="CUST0155"/>
        <s v="CUST0167"/>
        <s v="CUST0173"/>
        <s v="CUST0058"/>
        <s v="CUST0120"/>
        <s v="CUST0030"/>
        <s v="CUST0025"/>
        <s v="CUST0166"/>
        <s v="CUST0156"/>
        <s v="CUST0140"/>
        <s v="CUST0057"/>
        <s v="CUST0050"/>
        <s v="CUST0044"/>
        <s v="CUST0133"/>
        <s v="CUST0006"/>
        <s v="CUST0046"/>
        <s v="CUST0174"/>
        <s v="CUST0073"/>
        <s v="CUST0168"/>
        <s v="CUST0055"/>
        <s v="CUST0089"/>
        <s v="CUST0144"/>
        <s v="CUST0123"/>
        <s v="CUST0103"/>
        <s v="CUST0038"/>
        <s v="CUST0125"/>
        <s v="CUST0116"/>
        <s v="CUST0021"/>
        <s v="CUST0106"/>
        <s v="CUST0047"/>
        <s v="CUST0016"/>
        <s v="CUST0139"/>
        <s v="CUST0018"/>
        <s v="CUST0157"/>
        <s v="CUST0146"/>
        <s v="CUST0141"/>
        <s v="CUST0115"/>
        <s v="CUST0075"/>
        <s v="CUST0054"/>
        <s v="CUST0014"/>
        <s v="CUST0060"/>
        <s v="CUST0011"/>
        <s v="CUST0061"/>
        <s v="CUST0169"/>
        <s v="CUST0082"/>
        <s v="CUST0049"/>
        <s v="CUST0012"/>
        <s v="CUST0074"/>
        <s v="CUST0063"/>
        <s v="CUST0002"/>
        <s v="CUST0009"/>
        <s v="CUST0137"/>
        <s v="CUST0176"/>
        <s v="CUST0099"/>
        <s v="CUST0081"/>
        <s v="CUST0037"/>
        <s v="CUST0077"/>
        <s v="CUST0104"/>
        <s v="CUST0117"/>
        <s v="CUST0017"/>
        <s v="CUST0114"/>
        <s v="CUST0178"/>
        <s v="CUST0042"/>
        <s v="CUST0101"/>
        <s v="CUST0152"/>
        <s v="CUST0067"/>
        <s v="CUST0153"/>
        <s v="CUST0051"/>
        <s v="CUST0149"/>
        <s v="CUST0154"/>
        <s v="CUST0131"/>
        <s v="CUST0026"/>
        <s v="CUST0165"/>
        <s v="CUST0056"/>
        <s v="CUST0159"/>
        <s v="CUST0062"/>
        <s v="CUST0129"/>
        <s v="CUST0151"/>
        <s v="CUST0092"/>
        <s v="CUST0041"/>
        <s v="CUST0078"/>
        <s v="CUST0036"/>
        <s v="CUST0097"/>
        <s v="CUST0179"/>
        <s v="CUST0076"/>
        <s v="CUST0109"/>
        <s v="CUST0105"/>
        <s v="CUST0162"/>
        <s v="CUST0064"/>
        <s v="CUST0161"/>
        <s v="CUST0095"/>
        <s v="CUST0048"/>
        <s v="CUST0136"/>
      </sharedItems>
    </cacheField>
    <cacheField name="Annual Income" numFmtId="0">
      <sharedItems containsSemiMixedTypes="0" containsString="0" containsNumber="1" containsInteger="1" minValue="181702" maxValue="3457954"/>
    </cacheField>
    <cacheField name="Card_ID" numFmtId="0">
      <sharedItems/>
    </cacheField>
    <cacheField name="Merchant_ID" numFmtId="0">
      <sharedItems/>
    </cacheField>
    <cacheField name="Merchant Name" numFmtId="0">
      <sharedItems/>
    </cacheField>
    <cacheField name="Transaction_Amount" numFmtId="4">
      <sharedItems containsSemiMixedTypes="0" containsString="0" containsNumber="1" minValue="121.18" maxValue="59955.75"/>
    </cacheField>
    <cacheField name="Fee_Amount" numFmtId="4">
      <sharedItems containsSemiMixedTypes="0" containsString="0" containsNumber="1" minValue="0.41" maxValue="597.87"/>
    </cacheField>
    <cacheField name="Payment_Method" numFmtId="0">
      <sharedItems/>
    </cacheField>
    <cacheField name="Transaction_Status" numFmtId="0">
      <sharedItems count="4">
        <s v="Successful"/>
        <s v="Reversed"/>
        <s v="Failed"/>
        <s v="Pending"/>
      </sharedItems>
    </cacheField>
    <cacheField name="Channel" numFmtId="0">
      <sharedItems/>
    </cacheField>
    <cacheField name="Transaction_Type" numFmtId="0">
      <sharedItems/>
    </cacheField>
    <cacheField name="Transaction_Purpose" numFmtId="0">
      <sharedItems/>
    </cacheField>
    <cacheField name="New column" numFmtId="0">
      <sharedItems/>
    </cacheField>
    <cacheField name="Merchant Category" numFmtId="0">
      <sharedItems count="9">
        <s v="Travel"/>
        <s v="Fuel"/>
        <s v="Fashion"/>
        <s v="Grocery"/>
        <s v="Healthcare"/>
        <s v="Food &amp; Dining"/>
        <s v="Entertainment"/>
        <s v="Electronics"/>
        <s v="Utilit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00001"/>
    <d v="2025-12-26T22:13:08"/>
    <s v="Dec-2025"/>
    <x v="0"/>
    <n v="1884470"/>
    <s v="CARD0209"/>
    <s v="MER014"/>
    <s v="Daily Stores"/>
    <n v="38002.959999999999"/>
    <n v="114.01"/>
    <s v="UPI"/>
    <x v="0"/>
    <s v="POS"/>
    <s v="International"/>
    <s v="Bill Payment"/>
    <s v="High Value"/>
    <x v="0"/>
  </r>
  <r>
    <s v="TXN00002"/>
    <d v="2025-11-28T10:39:16"/>
    <s v="Nov-2025"/>
    <x v="1"/>
    <n v="1862084"/>
    <s v="CARD0247"/>
    <s v="MER027"/>
    <s v="Prime Digital"/>
    <n v="17431.060000000001"/>
    <n v="34.86"/>
    <s v="UPI"/>
    <x v="0"/>
    <s v="POS"/>
    <s v="Domestic"/>
    <s v="Bill Payment"/>
    <s v="High Value"/>
    <x v="1"/>
  </r>
  <r>
    <s v="TXN00003"/>
    <d v="2025-09-13T05:19:28"/>
    <s v="Sep-2025"/>
    <x v="2"/>
    <n v="3367631"/>
    <s v="CARD0037"/>
    <s v="MER037"/>
    <s v="Metro Pay"/>
    <n v="42712.55"/>
    <n v="427.13"/>
    <s v="Debit Card"/>
    <x v="1"/>
    <s v="Branch"/>
    <s v="International"/>
    <s v="Cash Withdrawal"/>
    <s v="High Value"/>
    <x v="2"/>
  </r>
  <r>
    <s v="TXN00004"/>
    <d v="2025-03-19T23:04:10"/>
    <s v="Mar-2025"/>
    <x v="3"/>
    <n v="1300603"/>
    <s v="CARD0192"/>
    <s v="MER018"/>
    <s v="Nova Retail"/>
    <n v="47696.46"/>
    <n v="476.96"/>
    <s v="Debit Card"/>
    <x v="2"/>
    <s v="Branch"/>
    <s v="International"/>
    <s v="Transfer"/>
    <s v="High Value"/>
    <x v="3"/>
  </r>
  <r>
    <s v="TXN00005"/>
    <d v="2026-08-19T00:05:24"/>
    <s v="Aug-2026"/>
    <x v="4"/>
    <n v="2688347"/>
    <s v="CARD0163"/>
    <s v="MER043"/>
    <s v="Metro Pay"/>
    <n v="52147.57"/>
    <n v="104.3"/>
    <s v="Debit Card"/>
    <x v="1"/>
    <s v="Mobile App"/>
    <s v="International"/>
    <s v="Bill Payment"/>
    <s v="High Value"/>
    <x v="0"/>
  </r>
  <r>
    <s v="TXN00006"/>
    <d v="2026-03-16T07:42:47"/>
    <s v="Mar-2026"/>
    <x v="5"/>
    <n v="3396603"/>
    <s v="CARD0141"/>
    <s v="MER037"/>
    <s v="Metro Pay"/>
    <n v="29733.43"/>
    <n v="148.66999999999999"/>
    <s v="Credit Card"/>
    <x v="0"/>
    <s v="Branch"/>
    <s v="International"/>
    <s v="Retail Purchase"/>
    <s v="High Value"/>
    <x v="2"/>
  </r>
  <r>
    <s v="TXN00007"/>
    <d v="2025-02-17T03:37:31"/>
    <s v="Feb-2025"/>
    <x v="6"/>
    <n v="983587"/>
    <s v="CARD0238"/>
    <s v="MER011"/>
    <s v="Quick Pay"/>
    <n v="37608.15"/>
    <n v="75.22"/>
    <s v="Net Banking"/>
    <x v="1"/>
    <s v="Branch"/>
    <s v="Domestic"/>
    <s v="Cash Withdrawal"/>
    <s v="High Value"/>
    <x v="4"/>
  </r>
  <r>
    <s v="TXN00008"/>
    <d v="2025-07-27T04:48:10"/>
    <s v="Jul-2025"/>
    <x v="7"/>
    <n v="1291728"/>
    <s v="CARD0168"/>
    <s v="MER024"/>
    <s v="Metro Stores"/>
    <n v="52940.65"/>
    <n v="264.7"/>
    <s v="Debit Card"/>
    <x v="0"/>
    <s v="Mobile App"/>
    <s v="International"/>
    <s v="Bill Payment"/>
    <s v="High Value"/>
    <x v="4"/>
  </r>
  <r>
    <s v="TXN00009"/>
    <d v="2025-02-23T14:25:49"/>
    <s v="Feb-2025"/>
    <x v="8"/>
    <n v="2069594"/>
    <s v="CARD0168"/>
    <s v="MER006"/>
    <s v="Nova Pay"/>
    <n v="37573.699999999997"/>
    <n v="112.72"/>
    <s v="UPI"/>
    <x v="2"/>
    <s v="Mobile App"/>
    <s v="Domestic"/>
    <s v="Cash Withdrawal"/>
    <s v="High Value"/>
    <x v="2"/>
  </r>
  <r>
    <s v="TXN00010"/>
    <d v="2025-03-21T04:49:53"/>
    <s v="Mar-2025"/>
    <x v="9"/>
    <n v="2705049"/>
    <s v="CARD0003"/>
    <s v="MER045"/>
    <s v="Blue Services"/>
    <n v="35661.4"/>
    <n v="356.61"/>
    <s v="Debit Card"/>
    <x v="0"/>
    <s v="Mobile App"/>
    <s v="International"/>
    <s v="Bill Payment"/>
    <s v="High Value"/>
    <x v="0"/>
  </r>
  <r>
    <s v="TXN00011"/>
    <d v="2026-05-05T02:34:43"/>
    <s v="May-2026"/>
    <x v="10"/>
    <n v="210160"/>
    <s v="CARD0081"/>
    <s v="MER024"/>
    <s v="Metro Stores"/>
    <n v="13813.92"/>
    <n v="27.63"/>
    <s v="Debit Card"/>
    <x v="0"/>
    <s v="Website"/>
    <s v="International"/>
    <s v="Bill Payment"/>
    <s v="High Value"/>
    <x v="4"/>
  </r>
  <r>
    <s v="TXN00012"/>
    <d v="2025-05-27T02:29:26"/>
    <s v="May-2025"/>
    <x v="11"/>
    <n v="2150955"/>
    <s v="CARD0090"/>
    <s v="MER014"/>
    <s v="Daily Stores"/>
    <n v="31877.45"/>
    <n v="95.63"/>
    <s v="Credit Card"/>
    <x v="0"/>
    <s v="Branch"/>
    <s v="International"/>
    <s v="Bill Payment"/>
    <s v="High Value"/>
    <x v="0"/>
  </r>
  <r>
    <s v="TXN00013"/>
    <d v="2025-03-30T03:39:28"/>
    <s v="Mar-2025"/>
    <x v="12"/>
    <n v="1636278"/>
    <s v="CARD0247"/>
    <s v="MER028"/>
    <s v="Prime Pay"/>
    <n v="8486.7900000000009"/>
    <n v="84.87"/>
    <s v="Debit Card"/>
    <x v="0"/>
    <s v="Website"/>
    <s v="Domestic"/>
    <s v="Transfer"/>
    <s v="High Value"/>
    <x v="0"/>
  </r>
  <r>
    <s v="TXN00014"/>
    <d v="2025-03-28T09:02:07"/>
    <s v="Mar-2025"/>
    <x v="13"/>
    <n v="1749932"/>
    <s v="CARD0007"/>
    <s v="MER043"/>
    <s v="Metro Pay"/>
    <n v="33248.46"/>
    <n v="166.24"/>
    <s v="Debit Card"/>
    <x v="0"/>
    <s v="Website"/>
    <s v="Domestic"/>
    <s v="Cash Withdrawal"/>
    <s v="High Value"/>
    <x v="0"/>
  </r>
  <r>
    <s v="TXN00015"/>
    <d v="2025-10-30T23:31:34"/>
    <s v="Oct-2025"/>
    <x v="14"/>
    <n v="3108672"/>
    <s v="CARD0099"/>
    <s v="MER008"/>
    <s v="Daily Services"/>
    <n v="3368.69"/>
    <n v="10.11"/>
    <s v="Credit Card"/>
    <x v="1"/>
    <s v="Branch"/>
    <s v="Domestic"/>
    <s v="Retail Purchase"/>
    <s v="High Value"/>
    <x v="5"/>
  </r>
  <r>
    <s v="TXN00016"/>
    <d v="2026-01-05T11:31:20"/>
    <s v="Jan-2026"/>
    <x v="15"/>
    <n v="1202837"/>
    <s v="CARD0140"/>
    <s v="MER044"/>
    <s v="Blue Foods"/>
    <n v="8005.77"/>
    <n v="80.06"/>
    <s v="Credit Card"/>
    <x v="1"/>
    <s v="Branch"/>
    <s v="Domestic"/>
    <s v="Retail Purchase"/>
    <s v="High Value"/>
    <x v="5"/>
  </r>
  <r>
    <s v="TXN00017"/>
    <d v="2026-08-25T02:27:31"/>
    <s v="Aug-2026"/>
    <x v="16"/>
    <n v="3376854"/>
    <s v="CARD0130"/>
    <s v="MER019"/>
    <s v="Metro Retail"/>
    <n v="926.23"/>
    <n v="1.85"/>
    <s v="Wallet"/>
    <x v="0"/>
    <s v="Branch"/>
    <s v="International"/>
    <s v="Cash Withdrawal"/>
    <s v="Standard"/>
    <x v="6"/>
  </r>
  <r>
    <s v="TXN00018"/>
    <d v="2025-03-26T23:19:16"/>
    <s v="Mar-2025"/>
    <x v="17"/>
    <n v="1702451"/>
    <s v="CARD0080"/>
    <s v="MER006"/>
    <s v="Nova Pay"/>
    <n v="32240.23"/>
    <n v="161.19999999999999"/>
    <s v="Wallet"/>
    <x v="0"/>
    <s v="Website"/>
    <s v="Domestic"/>
    <s v="Transfer"/>
    <s v="High Value"/>
    <x v="2"/>
  </r>
  <r>
    <s v="TXN00019"/>
    <d v="2026-02-05T21:21:05"/>
    <s v="Feb-2026"/>
    <x v="18"/>
    <n v="301738"/>
    <s v="CARD0179"/>
    <s v="MER028"/>
    <s v="Prime Pay"/>
    <n v="38094.230000000003"/>
    <n v="76.19"/>
    <s v="Credit Card"/>
    <x v="1"/>
    <s v="Mobile App"/>
    <s v="Domestic"/>
    <s v="Retail Purchase"/>
    <s v="High Value"/>
    <x v="0"/>
  </r>
  <r>
    <s v="TXN00020"/>
    <d v="2026-03-21T04:13:22"/>
    <s v="Mar-2026"/>
    <x v="19"/>
    <n v="2759945"/>
    <s v="CARD0190"/>
    <s v="MER043"/>
    <s v="Metro Pay"/>
    <n v="27256.97"/>
    <n v="136.28"/>
    <s v="Credit Card"/>
    <x v="0"/>
    <s v="Mobile App"/>
    <s v="Domestic"/>
    <s v="Bill Payment"/>
    <s v="High Value"/>
    <x v="0"/>
  </r>
  <r>
    <s v="TXN00021"/>
    <d v="2025-01-12T05:57:53"/>
    <s v="Jan-2025"/>
    <x v="20"/>
    <n v="2785330"/>
    <s v="CARD0096"/>
    <s v="MER009"/>
    <s v="Prime Mart"/>
    <n v="29835.13"/>
    <n v="149.18"/>
    <s v="Debit Card"/>
    <x v="0"/>
    <s v="Mobile App"/>
    <s v="Domestic"/>
    <s v="Transfer"/>
    <s v="High Value"/>
    <x v="5"/>
  </r>
  <r>
    <s v="TXN00022"/>
    <d v="2026-03-16T09:54:09"/>
    <s v="Mar-2026"/>
    <x v="21"/>
    <n v="1483380"/>
    <s v="CARD0117"/>
    <s v="MER033"/>
    <s v="Nova Services"/>
    <n v="31478.87"/>
    <n v="62.96"/>
    <s v="Debit Card"/>
    <x v="0"/>
    <s v="Mobile App"/>
    <s v="International"/>
    <s v="Bill Payment"/>
    <s v="High Value"/>
    <x v="7"/>
  </r>
  <r>
    <s v="TXN00023"/>
    <d v="2026-01-12T05:43:38"/>
    <s v="Jan-2026"/>
    <x v="22"/>
    <n v="1629916"/>
    <s v="CARD0190"/>
    <s v="MER033"/>
    <s v="Nova Services"/>
    <n v="15381.45"/>
    <n v="30.76"/>
    <s v="UPI"/>
    <x v="0"/>
    <s v="Mobile App"/>
    <s v="Domestic"/>
    <s v="Bill Payment"/>
    <s v="High Value"/>
    <x v="7"/>
  </r>
  <r>
    <s v="TXN00024"/>
    <d v="2025-02-17T17:10:35"/>
    <s v="Feb-2025"/>
    <x v="23"/>
    <n v="3123647"/>
    <s v="CARD0142"/>
    <s v="MER042"/>
    <s v="Blue Digital"/>
    <n v="21902.19"/>
    <n v="65.709999999999994"/>
    <s v="Net Banking"/>
    <x v="3"/>
    <s v="Website"/>
    <s v="International"/>
    <s v="Bill Payment"/>
    <s v="High Value"/>
    <x v="7"/>
  </r>
  <r>
    <s v="TXN00025"/>
    <d v="2026-03-03T11:38:54"/>
    <s v="Mar-2026"/>
    <x v="24"/>
    <n v="3004295"/>
    <s v="CARD0129"/>
    <s v="MER044"/>
    <s v="Blue Foods"/>
    <n v="16348.35"/>
    <n v="81.739999999999995"/>
    <s v="UPI"/>
    <x v="0"/>
    <s v="Website"/>
    <s v="Domestic"/>
    <s v="Retail Purchase"/>
    <s v="High Value"/>
    <x v="5"/>
  </r>
  <r>
    <s v="TXN00026"/>
    <d v="2026-02-15T02:30:34"/>
    <s v="Feb-2026"/>
    <x v="25"/>
    <n v="2152609"/>
    <s v="CARD0023"/>
    <s v="MER036"/>
    <s v="Green Foods"/>
    <n v="52631.78"/>
    <n v="263.16000000000003"/>
    <s v="Net Banking"/>
    <x v="1"/>
    <s v="Mobile App"/>
    <s v="International"/>
    <s v="Bill Payment"/>
    <s v="High Value"/>
    <x v="3"/>
  </r>
  <r>
    <s v="TXN00027"/>
    <d v="2025-10-26T20:31:39"/>
    <s v="Oct-2025"/>
    <x v="26"/>
    <n v="1140178"/>
    <s v="CARD0095"/>
    <s v="MER038"/>
    <s v="Quick Hub"/>
    <n v="47091.98"/>
    <n v="141.28"/>
    <s v="Net Banking"/>
    <x v="2"/>
    <s v="Website"/>
    <s v="Domestic"/>
    <s v="Bill Payment"/>
    <s v="High Value"/>
    <x v="8"/>
  </r>
  <r>
    <s v="TXN00028"/>
    <d v="2025-01-07T14:55:44"/>
    <s v="Jan-2025"/>
    <x v="27"/>
    <n v="1180530"/>
    <s v="CARD0001"/>
    <s v="MER043"/>
    <s v="Metro Pay"/>
    <n v="1532.22"/>
    <n v="3.06"/>
    <s v="Net Banking"/>
    <x v="0"/>
    <s v="POS"/>
    <s v="Domestic"/>
    <s v="Bill Payment"/>
    <s v="Standard"/>
    <x v="0"/>
  </r>
  <r>
    <s v="TXN00029"/>
    <d v="2026-06-27T08:40:17"/>
    <s v="Jun-2026"/>
    <x v="28"/>
    <n v="3196853"/>
    <s v="CARD0024"/>
    <s v="MER003"/>
    <s v="Fresh Mart"/>
    <n v="25246.97"/>
    <n v="75.739999999999995"/>
    <s v="Credit Card"/>
    <x v="3"/>
    <s v="Branch"/>
    <s v="International"/>
    <s v="Cash Withdrawal"/>
    <s v="High Value"/>
    <x v="7"/>
  </r>
  <r>
    <s v="TXN00030"/>
    <d v="2025-03-28T21:08:42"/>
    <s v="Mar-2025"/>
    <x v="29"/>
    <n v="2802699"/>
    <s v="CARD0152"/>
    <s v="MER037"/>
    <s v="Metro Pay"/>
    <n v="5825.06"/>
    <n v="58.25"/>
    <s v="UPI"/>
    <x v="0"/>
    <s v="Branch"/>
    <s v="Domestic"/>
    <s v="Bill Payment"/>
    <s v="High Value"/>
    <x v="2"/>
  </r>
  <r>
    <s v="TXN00031"/>
    <d v="2025-10-26T09:30:08"/>
    <s v="Oct-2025"/>
    <x v="30"/>
    <n v="2603965"/>
    <s v="CARD0213"/>
    <s v="MER021"/>
    <s v="Fresh Hub"/>
    <n v="51069.73"/>
    <n v="510.7"/>
    <s v="Debit Card"/>
    <x v="3"/>
    <s v="Branch"/>
    <s v="International"/>
    <s v="Bill Payment"/>
    <s v="High Value"/>
    <x v="4"/>
  </r>
  <r>
    <s v="TXN00032"/>
    <d v="2025-03-18T07:22:49"/>
    <s v="Mar-2025"/>
    <x v="31"/>
    <n v="2569391"/>
    <s v="CARD0028"/>
    <s v="MER011"/>
    <s v="Quick Pay"/>
    <n v="8253.1"/>
    <n v="16.510000000000002"/>
    <s v="Net Banking"/>
    <x v="2"/>
    <s v="Branch"/>
    <s v="International"/>
    <s v="Cash Withdrawal"/>
    <s v="High Value"/>
    <x v="4"/>
  </r>
  <r>
    <s v="TXN00033"/>
    <d v="2025-05-04T19:30:44"/>
    <s v="May-2025"/>
    <x v="32"/>
    <n v="3315307"/>
    <s v="CARD0119"/>
    <s v="MER017"/>
    <s v="Quick Services"/>
    <n v="21561.42"/>
    <n v="215.61"/>
    <s v="UPI"/>
    <x v="2"/>
    <s v="Mobile App"/>
    <s v="Domestic"/>
    <s v="Transfer"/>
    <s v="High Value"/>
    <x v="5"/>
  </r>
  <r>
    <s v="TXN00034"/>
    <d v="2026-09-10T01:28:06"/>
    <s v="Sep-2026"/>
    <x v="7"/>
    <n v="1291728"/>
    <s v="CARD0183"/>
    <s v="MER016"/>
    <s v="Blue Foods"/>
    <n v="12979.75"/>
    <n v="38.94"/>
    <s v="Debit Card"/>
    <x v="1"/>
    <s v="Branch"/>
    <s v="Domestic"/>
    <s v="Transfer"/>
    <s v="High Value"/>
    <x v="0"/>
  </r>
  <r>
    <s v="TXN00035"/>
    <d v="2025-09-24T06:19:49"/>
    <s v="Sep-2025"/>
    <x v="33"/>
    <n v="2407873"/>
    <s v="CARD0192"/>
    <s v="MER036"/>
    <s v="Green Foods"/>
    <n v="1961.82"/>
    <n v="19.62"/>
    <s v="Credit Card"/>
    <x v="0"/>
    <s v="Mobile App"/>
    <s v="International"/>
    <s v="Retail Purchase"/>
    <s v="Standard"/>
    <x v="3"/>
  </r>
  <r>
    <s v="TXN00036"/>
    <d v="2025-05-24T04:25:19"/>
    <s v="May-2025"/>
    <x v="34"/>
    <n v="241898"/>
    <s v="CARD0051"/>
    <s v="MER026"/>
    <s v="Metro Services"/>
    <n v="816.22"/>
    <n v="2.4500000000000002"/>
    <s v="Debit Card"/>
    <x v="1"/>
    <s v="Mobile App"/>
    <s v="International"/>
    <s v="Retail Purchase"/>
    <s v="Standard"/>
    <x v="0"/>
  </r>
  <r>
    <s v="TXN00037"/>
    <d v="2025-01-23T02:20:50"/>
    <s v="Jan-2025"/>
    <x v="7"/>
    <n v="1291728"/>
    <s v="CARD0232"/>
    <s v="MER022"/>
    <s v="Urban Stores"/>
    <n v="11945.25"/>
    <n v="35.840000000000003"/>
    <s v="UPI"/>
    <x v="2"/>
    <s v="Mobile App"/>
    <s v="International"/>
    <s v="Retail Purchase"/>
    <s v="High Value"/>
    <x v="6"/>
  </r>
  <r>
    <s v="TXN00038"/>
    <d v="2025-06-22T20:53:40"/>
    <s v="Jun-2025"/>
    <x v="35"/>
    <n v="3422483"/>
    <s v="CARD0098"/>
    <s v="MER044"/>
    <s v="Blue Foods"/>
    <n v="26046.07"/>
    <n v="260.45999999999998"/>
    <s v="Net Banking"/>
    <x v="2"/>
    <s v="Website"/>
    <s v="International"/>
    <s v="Bill Payment"/>
    <s v="High Value"/>
    <x v="5"/>
  </r>
  <r>
    <s v="TXN00039"/>
    <d v="2025-07-11T10:00:42"/>
    <s v="Jul-2025"/>
    <x v="36"/>
    <n v="1555758"/>
    <s v="CARD0159"/>
    <s v="MER040"/>
    <s v="Blue Retail"/>
    <n v="16863.29"/>
    <n v="33.729999999999997"/>
    <s v="Credit Card"/>
    <x v="1"/>
    <s v="POS"/>
    <s v="International"/>
    <s v="Cash Withdrawal"/>
    <s v="High Value"/>
    <x v="4"/>
  </r>
  <r>
    <s v="TXN00040"/>
    <d v="2026-07-18T17:26:27"/>
    <s v="Jul-2026"/>
    <x v="37"/>
    <n v="2820086"/>
    <s v="CARD0052"/>
    <s v="MER042"/>
    <s v="Blue Digital"/>
    <n v="3752.65"/>
    <n v="11.26"/>
    <s v="Wallet"/>
    <x v="0"/>
    <s v="Website"/>
    <s v="Domestic"/>
    <s v="Cash Withdrawal"/>
    <s v="High Value"/>
    <x v="7"/>
  </r>
  <r>
    <s v="TXN00041"/>
    <d v="2026-01-03T17:27:53"/>
    <s v="Jan-2026"/>
    <x v="38"/>
    <n v="1621823"/>
    <s v="CARD0070"/>
    <s v="MER012"/>
    <s v="Daily Hub"/>
    <n v="32716.62"/>
    <n v="163.58000000000001"/>
    <s v="UPI"/>
    <x v="0"/>
    <s v="POS"/>
    <s v="Domestic"/>
    <s v="Retail Purchase"/>
    <s v="High Value"/>
    <x v="2"/>
  </r>
  <r>
    <s v="TXN00042"/>
    <d v="2025-10-15T02:07:59"/>
    <s v="Oct-2025"/>
    <x v="39"/>
    <n v="1380385"/>
    <s v="CARD0060"/>
    <s v="MER011"/>
    <s v="Quick Pay"/>
    <n v="48538.37"/>
    <n v="242.69"/>
    <s v="UPI"/>
    <x v="0"/>
    <s v="Website"/>
    <s v="Domestic"/>
    <s v="Transfer"/>
    <s v="High Value"/>
    <x v="4"/>
  </r>
  <r>
    <s v="TXN00043"/>
    <d v="2026-07-01T02:02:08"/>
    <s v="Jul-2026"/>
    <x v="40"/>
    <n v="2236054"/>
    <s v="CARD0240"/>
    <s v="MER012"/>
    <s v="Daily Hub"/>
    <n v="45866.58"/>
    <n v="458.67"/>
    <s v="Credit Card"/>
    <x v="3"/>
    <s v="Website"/>
    <s v="International"/>
    <s v="Transfer"/>
    <s v="High Value"/>
    <x v="2"/>
  </r>
  <r>
    <s v="TXN00044"/>
    <d v="2026-08-29T01:01:37"/>
    <s v="Aug-2026"/>
    <x v="41"/>
    <n v="2107578"/>
    <s v="CARD0243"/>
    <s v="MER013"/>
    <s v="Quick Retail"/>
    <n v="42236.83"/>
    <n v="126.71"/>
    <s v="Net Banking"/>
    <x v="0"/>
    <s v="POS"/>
    <s v="Domestic"/>
    <s v="Cash Withdrawal"/>
    <s v="High Value"/>
    <x v="3"/>
  </r>
  <r>
    <s v="TXN00045"/>
    <d v="2025-02-08T03:17:10"/>
    <s v="Feb-2025"/>
    <x v="42"/>
    <n v="3303519"/>
    <s v="CARD0123"/>
    <s v="MER001"/>
    <s v="Urban Services"/>
    <n v="3464.46"/>
    <n v="6.93"/>
    <s v="Debit Card"/>
    <x v="0"/>
    <s v="Website"/>
    <s v="Domestic"/>
    <s v="Transfer"/>
    <s v="High Value"/>
    <x v="2"/>
  </r>
  <r>
    <s v="TXN00046"/>
    <d v="2025-07-01T11:46:53"/>
    <s v="Jul-2025"/>
    <x v="43"/>
    <n v="2596806"/>
    <s v="CARD0217"/>
    <s v="MER034"/>
    <s v="Urban Retail"/>
    <n v="3667.4"/>
    <n v="11"/>
    <s v="Debit Card"/>
    <x v="0"/>
    <s v="Mobile App"/>
    <s v="International"/>
    <s v="Cash Withdrawal"/>
    <s v="High Value"/>
    <x v="8"/>
  </r>
  <r>
    <s v="TXN00047"/>
    <d v="2026-08-24T03:40:42"/>
    <s v="Aug-2026"/>
    <x v="44"/>
    <n v="909026"/>
    <s v="CARD0203"/>
    <s v="MER041"/>
    <s v="Metro Pay"/>
    <n v="20260.009999999998"/>
    <n v="60.78"/>
    <s v="Net Banking"/>
    <x v="0"/>
    <s v="POS"/>
    <s v="Domestic"/>
    <s v="Transfer"/>
    <s v="High Value"/>
    <x v="4"/>
  </r>
  <r>
    <s v="TXN00048"/>
    <d v="2025-08-17T21:26:34"/>
    <s v="Aug-2025"/>
    <x v="45"/>
    <n v="2120402"/>
    <s v="CARD0046"/>
    <s v="MER001"/>
    <s v="Urban Services"/>
    <n v="48885.81"/>
    <n v="244.43"/>
    <s v="Wallet"/>
    <x v="0"/>
    <s v="Branch"/>
    <s v="Domestic"/>
    <s v="Bill Payment"/>
    <s v="High Value"/>
    <x v="2"/>
  </r>
  <r>
    <s v="TXN00049"/>
    <d v="2026-09-09T11:35:09"/>
    <s v="Sep-2026"/>
    <x v="46"/>
    <n v="692374"/>
    <s v="CARD0145"/>
    <s v="MER007"/>
    <s v="Blue Hub"/>
    <n v="55270.19"/>
    <n v="165.81"/>
    <s v="Net Banking"/>
    <x v="3"/>
    <s v="Website"/>
    <s v="International"/>
    <s v="Retail Purchase"/>
    <s v="High Value"/>
    <x v="4"/>
  </r>
  <r>
    <s v="TXN00050"/>
    <d v="2025-09-01T12:37:37"/>
    <s v="Sep-2025"/>
    <x v="47"/>
    <n v="1864504"/>
    <s v="CARD0164"/>
    <s v="MER022"/>
    <s v="Urban Stores"/>
    <n v="58944.54"/>
    <n v="117.89"/>
    <s v="Net Banking"/>
    <x v="0"/>
    <s v="Mobile App"/>
    <s v="International"/>
    <s v="Bill Payment"/>
    <s v="High Value"/>
    <x v="6"/>
  </r>
  <r>
    <s v="TXN00051"/>
    <d v="2025-09-13T02:28:05"/>
    <s v="Sep-2025"/>
    <x v="48"/>
    <n v="1071820"/>
    <s v="CARD0099"/>
    <s v="MER029"/>
    <s v="Fresh Hub"/>
    <n v="21093.82"/>
    <n v="42.19"/>
    <s v="Net Banking"/>
    <x v="1"/>
    <s v="Website"/>
    <s v="International"/>
    <s v="Cash Withdrawal"/>
    <s v="High Value"/>
    <x v="4"/>
  </r>
  <r>
    <s v="TXN00052"/>
    <d v="2026-01-23T12:47:16"/>
    <s v="Jan-2026"/>
    <x v="49"/>
    <n v="1174912"/>
    <s v="CARD0167"/>
    <s v="MER044"/>
    <s v="Blue Foods"/>
    <n v="32806.839999999997"/>
    <n v="328.07"/>
    <s v="Credit Card"/>
    <x v="0"/>
    <s v="Website"/>
    <s v="International"/>
    <s v="Retail Purchase"/>
    <s v="High Value"/>
    <x v="5"/>
  </r>
  <r>
    <s v="TXN00053"/>
    <d v="2025-02-04T10:44:14"/>
    <s v="Feb-2025"/>
    <x v="50"/>
    <n v="2083055"/>
    <s v="CARD0088"/>
    <s v="MER011"/>
    <s v="Quick Pay"/>
    <n v="1302.67"/>
    <n v="2.61"/>
    <s v="Net Banking"/>
    <x v="0"/>
    <s v="Website"/>
    <s v="Domestic"/>
    <s v="Retail Purchase"/>
    <s v="Standard"/>
    <x v="4"/>
  </r>
  <r>
    <s v="TXN00054"/>
    <d v="2025-12-13T21:37:40"/>
    <s v="Dec-2025"/>
    <x v="51"/>
    <n v="432624"/>
    <s v="CARD0242"/>
    <s v="MER042"/>
    <s v="Blue Digital"/>
    <n v="59118.04"/>
    <n v="118.24"/>
    <s v="Credit Card"/>
    <x v="1"/>
    <s v="Branch"/>
    <s v="Domestic"/>
    <s v="Retail Purchase"/>
    <s v="High Value"/>
    <x v="7"/>
  </r>
  <r>
    <s v="TXN00055"/>
    <d v="2025-04-14T12:03:17"/>
    <s v="Apr-2025"/>
    <x v="52"/>
    <n v="3443239"/>
    <s v="CARD0073"/>
    <s v="MER020"/>
    <s v="Urban Retail"/>
    <n v="12412.47"/>
    <n v="62.06"/>
    <s v="Credit Card"/>
    <x v="0"/>
    <s v="Mobile App"/>
    <s v="Domestic"/>
    <s v="Cash Withdrawal"/>
    <s v="High Value"/>
    <x v="3"/>
  </r>
  <r>
    <s v="TXN00056"/>
    <d v="2026-08-09T20:00:45"/>
    <s v="Aug-2026"/>
    <x v="53"/>
    <n v="284902"/>
    <s v="CARD0110"/>
    <s v="MER006"/>
    <s v="Nova Pay"/>
    <n v="50407.28"/>
    <n v="252.04"/>
    <s v="Debit Card"/>
    <x v="0"/>
    <s v="Branch"/>
    <s v="Domestic"/>
    <s v="Retail Purchase"/>
    <s v="High Value"/>
    <x v="2"/>
  </r>
  <r>
    <s v="TXN00057"/>
    <d v="2025-01-27T07:32:05"/>
    <s v="Jan-2025"/>
    <x v="54"/>
    <n v="1526615"/>
    <s v="CARD0217"/>
    <s v="MER008"/>
    <s v="Daily Services"/>
    <n v="10332.85"/>
    <n v="20.67"/>
    <s v="Debit Card"/>
    <x v="0"/>
    <s v="Branch"/>
    <s v="International"/>
    <s v="Cash Withdrawal"/>
    <s v="High Value"/>
    <x v="5"/>
  </r>
  <r>
    <s v="TXN00058"/>
    <d v="2025-09-29T03:19:05"/>
    <s v="Sep-2025"/>
    <x v="55"/>
    <n v="2889113"/>
    <s v="CARD0095"/>
    <s v="MER012"/>
    <s v="Daily Hub"/>
    <n v="38547.800000000003"/>
    <n v="192.74"/>
    <s v="Net Banking"/>
    <x v="0"/>
    <s v="Mobile App"/>
    <s v="International"/>
    <s v="Cash Withdrawal"/>
    <s v="High Value"/>
    <x v="2"/>
  </r>
  <r>
    <s v="TXN00059"/>
    <d v="2026-04-22T09:35:24"/>
    <s v="Apr-2026"/>
    <x v="56"/>
    <n v="959406"/>
    <s v="CARD0193"/>
    <s v="MER045"/>
    <s v="Blue Services"/>
    <n v="13651.91"/>
    <n v="27.3"/>
    <s v="UPI"/>
    <x v="0"/>
    <s v="Mobile App"/>
    <s v="International"/>
    <s v="Cash Withdrawal"/>
    <s v="High Value"/>
    <x v="0"/>
  </r>
  <r>
    <s v="TXN00060"/>
    <d v="2026-08-27T08:17:00"/>
    <s v="Aug-2026"/>
    <x v="57"/>
    <n v="3457954"/>
    <s v="CARD0176"/>
    <s v="MER031"/>
    <s v="Daily Digital"/>
    <n v="33260.75"/>
    <n v="332.61"/>
    <s v="Wallet"/>
    <x v="1"/>
    <s v="Website"/>
    <s v="International"/>
    <s v="Transfer"/>
    <s v="High Value"/>
    <x v="3"/>
  </r>
  <r>
    <s v="TXN00061"/>
    <d v="2025-03-22T14:22:27"/>
    <s v="Mar-2025"/>
    <x v="24"/>
    <n v="3004295"/>
    <s v="CARD0244"/>
    <s v="MER029"/>
    <s v="Fresh Hub"/>
    <n v="54176.35"/>
    <n v="162.53"/>
    <s v="Credit Card"/>
    <x v="2"/>
    <s v="Website"/>
    <s v="Domestic"/>
    <s v="Bill Payment"/>
    <s v="High Value"/>
    <x v="4"/>
  </r>
  <r>
    <s v="TXN00062"/>
    <d v="2025-05-10T01:33:13"/>
    <s v="May-2025"/>
    <x v="58"/>
    <n v="347331"/>
    <s v="CARD0211"/>
    <s v="MER041"/>
    <s v="Metro Pay"/>
    <n v="25460.16"/>
    <n v="254.6"/>
    <s v="Credit Card"/>
    <x v="3"/>
    <s v="POS"/>
    <s v="International"/>
    <s v="Retail Purchase"/>
    <s v="High Value"/>
    <x v="4"/>
  </r>
  <r>
    <s v="TXN00063"/>
    <d v="2025-03-31T14:07:48"/>
    <s v="Mar-2025"/>
    <x v="59"/>
    <n v="971265"/>
    <s v="CARD0118"/>
    <s v="MER001"/>
    <s v="Urban Services"/>
    <n v="33426.22"/>
    <n v="167.13"/>
    <s v="Wallet"/>
    <x v="0"/>
    <s v="Branch"/>
    <s v="Domestic"/>
    <s v="Cash Withdrawal"/>
    <s v="High Value"/>
    <x v="2"/>
  </r>
  <r>
    <s v="TXN00064"/>
    <d v="2025-06-03T05:23:44"/>
    <s v="Jun-2025"/>
    <x v="60"/>
    <n v="2336527"/>
    <s v="CARD0145"/>
    <s v="MER007"/>
    <s v="Blue Hub"/>
    <n v="34038.980000000003"/>
    <n v="68.08"/>
    <s v="Debit Card"/>
    <x v="0"/>
    <s v="POS"/>
    <s v="International"/>
    <s v="Transfer"/>
    <s v="High Value"/>
    <x v="4"/>
  </r>
  <r>
    <s v="TXN00065"/>
    <d v="2026-01-28T23:50:24"/>
    <s v="Jan-2026"/>
    <x v="61"/>
    <n v="2458421"/>
    <s v="CARD0071"/>
    <s v="MER026"/>
    <s v="Metro Services"/>
    <n v="29186.53"/>
    <n v="58.37"/>
    <s v="Credit Card"/>
    <x v="0"/>
    <s v="Branch"/>
    <s v="Domestic"/>
    <s v="Cash Withdrawal"/>
    <s v="High Value"/>
    <x v="0"/>
  </r>
  <r>
    <s v="TXN00066"/>
    <d v="2025-12-06T08:38:59"/>
    <s v="Dec-2025"/>
    <x v="62"/>
    <n v="1352972"/>
    <s v="CARD0006"/>
    <s v="MER022"/>
    <s v="Urban Stores"/>
    <n v="3052.53"/>
    <n v="15.26"/>
    <s v="Debit Card"/>
    <x v="0"/>
    <s v="POS"/>
    <s v="International"/>
    <s v="Cash Withdrawal"/>
    <s v="High Value"/>
    <x v="6"/>
  </r>
  <r>
    <s v="TXN00067"/>
    <d v="2025-04-11T08:17:58"/>
    <s v="Apr-2025"/>
    <x v="63"/>
    <n v="2087147"/>
    <s v="CARD0069"/>
    <s v="MER027"/>
    <s v="Prime Digital"/>
    <n v="8149.69"/>
    <n v="81.5"/>
    <s v="Wallet"/>
    <x v="3"/>
    <s v="Mobile App"/>
    <s v="Domestic"/>
    <s v="Cash Withdrawal"/>
    <s v="High Value"/>
    <x v="1"/>
  </r>
  <r>
    <s v="TXN00068"/>
    <d v="2025-08-05T14:49:28"/>
    <s v="Aug-2025"/>
    <x v="64"/>
    <n v="1698323"/>
    <s v="CARD0132"/>
    <s v="MER011"/>
    <s v="Quick Pay"/>
    <n v="44482.59"/>
    <n v="222.41"/>
    <s v="UPI"/>
    <x v="2"/>
    <s v="POS"/>
    <s v="International"/>
    <s v="Bill Payment"/>
    <s v="High Value"/>
    <x v="4"/>
  </r>
  <r>
    <s v="TXN00069"/>
    <d v="2026-06-21T20:42:17"/>
    <s v="Jun-2026"/>
    <x v="64"/>
    <n v="1698323"/>
    <s v="CARD0064"/>
    <s v="MER003"/>
    <s v="Fresh Mart"/>
    <n v="1833.99"/>
    <n v="5.5"/>
    <s v="Net Banking"/>
    <x v="0"/>
    <s v="Mobile App"/>
    <s v="International"/>
    <s v="Bill Payment"/>
    <s v="Standard"/>
    <x v="7"/>
  </r>
  <r>
    <s v="TXN00070"/>
    <d v="2025-10-08T13:24:40"/>
    <s v="Oct-2025"/>
    <x v="65"/>
    <n v="2926065"/>
    <s v="CARD0008"/>
    <s v="MER016"/>
    <s v="Blue Foods"/>
    <n v="49428.03"/>
    <n v="98.86"/>
    <s v="Debit Card"/>
    <x v="0"/>
    <s v="Branch"/>
    <s v="International"/>
    <s v="Bill Payment"/>
    <s v="High Value"/>
    <x v="0"/>
  </r>
  <r>
    <s v="TXN00071"/>
    <d v="2026-05-01T21:22:03"/>
    <s v="May-2026"/>
    <x v="13"/>
    <n v="1749932"/>
    <s v="CARD0024"/>
    <s v="MER019"/>
    <s v="Metro Retail"/>
    <n v="33124.89"/>
    <n v="165.62"/>
    <s v="UPI"/>
    <x v="0"/>
    <s v="Branch"/>
    <s v="Domestic"/>
    <s v="Bill Payment"/>
    <s v="High Value"/>
    <x v="6"/>
  </r>
  <r>
    <s v="TXN00072"/>
    <d v="2026-08-09T07:48:11"/>
    <s v="Aug-2026"/>
    <x v="66"/>
    <n v="2253568"/>
    <s v="CARD0167"/>
    <s v="MER027"/>
    <s v="Prime Digital"/>
    <n v="51440.959999999999"/>
    <n v="154.32"/>
    <s v="Wallet"/>
    <x v="2"/>
    <s v="Mobile App"/>
    <s v="Domestic"/>
    <s v="Cash Withdrawal"/>
    <s v="High Value"/>
    <x v="1"/>
  </r>
  <r>
    <s v="TXN00073"/>
    <d v="2025-05-16T23:34:12"/>
    <s v="May-2025"/>
    <x v="67"/>
    <n v="2034552"/>
    <s v="CARD0156"/>
    <s v="MER020"/>
    <s v="Urban Retail"/>
    <n v="10474.719999999999"/>
    <n v="31.42"/>
    <s v="Debit Card"/>
    <x v="1"/>
    <s v="Branch"/>
    <s v="International"/>
    <s v="Transfer"/>
    <s v="High Value"/>
    <x v="3"/>
  </r>
  <r>
    <s v="TXN00074"/>
    <d v="2026-04-16T09:10:29"/>
    <s v="Apr-2026"/>
    <x v="39"/>
    <n v="1380385"/>
    <s v="CARD0027"/>
    <s v="MER001"/>
    <s v="Urban Services"/>
    <n v="13170.72"/>
    <n v="131.71"/>
    <s v="Wallet"/>
    <x v="0"/>
    <s v="POS"/>
    <s v="International"/>
    <s v="Transfer"/>
    <s v="High Value"/>
    <x v="2"/>
  </r>
  <r>
    <s v="TXN00075"/>
    <d v="2025-04-21T17:32:22"/>
    <s v="Apr-2025"/>
    <x v="68"/>
    <n v="739264"/>
    <s v="CARD0067"/>
    <s v="MER042"/>
    <s v="Blue Digital"/>
    <n v="3923.84"/>
    <n v="19.62"/>
    <s v="Debit Card"/>
    <x v="3"/>
    <s v="Website"/>
    <s v="Domestic"/>
    <s v="Bill Payment"/>
    <s v="High Value"/>
    <x v="7"/>
  </r>
  <r>
    <s v="TXN00076"/>
    <d v="2025-02-28T21:50:47"/>
    <s v="Feb-2025"/>
    <x v="69"/>
    <n v="2495426"/>
    <s v="CARD0168"/>
    <s v="MER032"/>
    <s v="Urban Digital"/>
    <n v="24305.5"/>
    <n v="72.92"/>
    <s v="Debit Card"/>
    <x v="0"/>
    <s v="POS"/>
    <s v="International"/>
    <s v="Cash Withdrawal"/>
    <s v="High Value"/>
    <x v="8"/>
  </r>
  <r>
    <s v="TXN00077"/>
    <d v="2026-02-02T01:17:09"/>
    <s v="Feb-2026"/>
    <x v="70"/>
    <n v="633399"/>
    <s v="CARD0186"/>
    <s v="MER015"/>
    <s v="Metro Pay"/>
    <n v="35023.120000000003"/>
    <n v="105.07"/>
    <s v="Wallet"/>
    <x v="3"/>
    <s v="Branch"/>
    <s v="International"/>
    <s v="Transfer"/>
    <s v="High Value"/>
    <x v="3"/>
  </r>
  <r>
    <s v="TXN00078"/>
    <d v="2025-06-24T23:56:34"/>
    <s v="Jun-2025"/>
    <x v="71"/>
    <n v="2635050"/>
    <s v="CARD0033"/>
    <s v="MER017"/>
    <s v="Quick Services"/>
    <n v="52602.04"/>
    <n v="105.2"/>
    <s v="Wallet"/>
    <x v="0"/>
    <s v="Website"/>
    <s v="International"/>
    <s v="Retail Purchase"/>
    <s v="High Value"/>
    <x v="5"/>
  </r>
  <r>
    <s v="TXN00079"/>
    <d v="2025-08-16T12:56:07"/>
    <s v="Aug-2025"/>
    <x v="72"/>
    <n v="3456728"/>
    <s v="CARD0096"/>
    <s v="MER017"/>
    <s v="Quick Services"/>
    <n v="13477.34"/>
    <n v="134.77000000000001"/>
    <s v="Wallet"/>
    <x v="1"/>
    <s v="POS"/>
    <s v="International"/>
    <s v="Retail Purchase"/>
    <s v="High Value"/>
    <x v="5"/>
  </r>
  <r>
    <s v="TXN00080"/>
    <d v="2026-04-27T01:57:15"/>
    <s v="Apr-2026"/>
    <x v="71"/>
    <n v="2635050"/>
    <s v="CARD0228"/>
    <s v="MER013"/>
    <s v="Quick Retail"/>
    <n v="51996.959999999999"/>
    <n v="103.99"/>
    <s v="Wallet"/>
    <x v="0"/>
    <s v="Mobile App"/>
    <s v="International"/>
    <s v="Transfer"/>
    <s v="High Value"/>
    <x v="3"/>
  </r>
  <r>
    <s v="TXN00081"/>
    <d v="2026-02-28T01:58:06"/>
    <s v="Feb-2026"/>
    <x v="70"/>
    <n v="633399"/>
    <s v="CARD0105"/>
    <s v="MER037"/>
    <s v="Metro Pay"/>
    <n v="52263.86"/>
    <n v="156.79"/>
    <s v="Net Banking"/>
    <x v="0"/>
    <s v="Website"/>
    <s v="International"/>
    <s v="Bill Payment"/>
    <s v="High Value"/>
    <x v="2"/>
  </r>
  <r>
    <s v="TXN00082"/>
    <d v="2025-03-24T17:45:08"/>
    <s v="Mar-2025"/>
    <x v="73"/>
    <n v="596723"/>
    <s v="CARD0015"/>
    <s v="MER001"/>
    <s v="Urban Services"/>
    <n v="20024.5"/>
    <n v="100.12"/>
    <s v="Net Banking"/>
    <x v="3"/>
    <s v="POS"/>
    <s v="Domestic"/>
    <s v="Bill Payment"/>
    <s v="High Value"/>
    <x v="2"/>
  </r>
  <r>
    <s v="TXN00083"/>
    <d v="2026-08-14T05:46:06"/>
    <s v="Aug-2026"/>
    <x v="34"/>
    <n v="241898"/>
    <s v="CARD0158"/>
    <s v="MER028"/>
    <s v="Prime Pay"/>
    <n v="29425.67"/>
    <n v="58.85"/>
    <s v="Net Banking"/>
    <x v="2"/>
    <s v="Branch"/>
    <s v="International"/>
    <s v="Cash Withdrawal"/>
    <s v="High Value"/>
    <x v="0"/>
  </r>
  <r>
    <s v="TXN00084"/>
    <d v="2026-01-28T00:10:11"/>
    <s v="Jan-2026"/>
    <x v="74"/>
    <n v="2651559"/>
    <s v="CARD0229"/>
    <s v="MER021"/>
    <s v="Fresh Hub"/>
    <n v="2359.75"/>
    <n v="11.8"/>
    <s v="Wallet"/>
    <x v="0"/>
    <s v="Website"/>
    <s v="Domestic"/>
    <s v="Retail Purchase"/>
    <s v="Standard"/>
    <x v="4"/>
  </r>
  <r>
    <s v="TXN00085"/>
    <d v="2025-09-12T08:14:17"/>
    <s v="Sep-2025"/>
    <x v="10"/>
    <n v="210160"/>
    <s v="CARD0099"/>
    <s v="MER033"/>
    <s v="Nova Services"/>
    <n v="41642.129999999997"/>
    <n v="124.93"/>
    <s v="Wallet"/>
    <x v="0"/>
    <s v="POS"/>
    <s v="Domestic"/>
    <s v="Retail Purchase"/>
    <s v="High Value"/>
    <x v="7"/>
  </r>
  <r>
    <s v="TXN00086"/>
    <d v="2025-02-16T10:51:25"/>
    <s v="Feb-2025"/>
    <x v="44"/>
    <n v="909026"/>
    <s v="CARD0228"/>
    <s v="MER044"/>
    <s v="Blue Foods"/>
    <n v="56912.959999999999"/>
    <n v="284.56"/>
    <s v="Credit Card"/>
    <x v="0"/>
    <s v="POS"/>
    <s v="International"/>
    <s v="Transfer"/>
    <s v="High Value"/>
    <x v="5"/>
  </r>
  <r>
    <s v="TXN00087"/>
    <d v="2025-07-12T06:00:11"/>
    <s v="Jul-2025"/>
    <x v="75"/>
    <n v="832128"/>
    <s v="CARD0059"/>
    <s v="MER015"/>
    <s v="Metro Pay"/>
    <n v="56890.25"/>
    <n v="568.9"/>
    <s v="Credit Card"/>
    <x v="3"/>
    <s v="Website"/>
    <s v="Domestic"/>
    <s v="Bill Payment"/>
    <s v="High Value"/>
    <x v="3"/>
  </r>
  <r>
    <s v="TXN00088"/>
    <d v="2025-05-07T13:20:49"/>
    <s v="May-2025"/>
    <x v="46"/>
    <n v="692374"/>
    <s v="CARD0066"/>
    <s v="MER035"/>
    <s v="Nova Hub"/>
    <n v="42695.49"/>
    <n v="426.95"/>
    <s v="Wallet"/>
    <x v="1"/>
    <s v="Mobile App"/>
    <s v="Domestic"/>
    <s v="Retail Purchase"/>
    <s v="High Value"/>
    <x v="1"/>
  </r>
  <r>
    <s v="TXN00089"/>
    <d v="2025-01-21T01:45:22"/>
    <s v="Jan-2025"/>
    <x v="6"/>
    <n v="983587"/>
    <s v="CARD0141"/>
    <s v="MER017"/>
    <s v="Quick Services"/>
    <n v="41416.01"/>
    <n v="414.16"/>
    <s v="Net Banking"/>
    <x v="0"/>
    <s v="Website"/>
    <s v="Domestic"/>
    <s v="Retail Purchase"/>
    <s v="High Value"/>
    <x v="5"/>
  </r>
  <r>
    <s v="TXN00090"/>
    <d v="2025-11-05T15:19:24"/>
    <s v="Nov-2025"/>
    <x v="76"/>
    <n v="1164822"/>
    <s v="CARD0156"/>
    <s v="MER045"/>
    <s v="Blue Services"/>
    <n v="39733.71"/>
    <n v="198.67"/>
    <s v="Credit Card"/>
    <x v="2"/>
    <s v="Branch"/>
    <s v="Domestic"/>
    <s v="Retail Purchase"/>
    <s v="High Value"/>
    <x v="0"/>
  </r>
  <r>
    <s v="TXN00091"/>
    <d v="2025-10-17T04:09:03"/>
    <s v="Oct-2025"/>
    <x v="77"/>
    <n v="3403277"/>
    <s v="CARD0213"/>
    <s v="MER034"/>
    <s v="Urban Retail"/>
    <n v="47107.13"/>
    <n v="141.32"/>
    <s v="Credit Card"/>
    <x v="0"/>
    <s v="POS"/>
    <s v="International"/>
    <s v="Transfer"/>
    <s v="High Value"/>
    <x v="8"/>
  </r>
  <r>
    <s v="TXN00092"/>
    <d v="2025-06-14T01:26:04"/>
    <s v="Jun-2025"/>
    <x v="72"/>
    <n v="3456728"/>
    <s v="CARD0061"/>
    <s v="MER001"/>
    <s v="Urban Services"/>
    <n v="32933.51"/>
    <n v="329.34"/>
    <s v="UPI"/>
    <x v="3"/>
    <s v="Mobile App"/>
    <s v="Domestic"/>
    <s v="Cash Withdrawal"/>
    <s v="High Value"/>
    <x v="2"/>
  </r>
  <r>
    <s v="TXN00093"/>
    <d v="2025-06-02T03:16:47"/>
    <s v="Jun-2025"/>
    <x v="78"/>
    <n v="1370286"/>
    <s v="CARD0165"/>
    <s v="MER015"/>
    <s v="Metro Pay"/>
    <n v="46793.62"/>
    <n v="93.59"/>
    <s v="Net Banking"/>
    <x v="0"/>
    <s v="POS"/>
    <s v="International"/>
    <s v="Cash Withdrawal"/>
    <s v="High Value"/>
    <x v="3"/>
  </r>
  <r>
    <s v="TXN00094"/>
    <d v="2025-02-21T03:38:02"/>
    <s v="Feb-2025"/>
    <x v="79"/>
    <n v="3246146"/>
    <s v="CARD0206"/>
    <s v="MER044"/>
    <s v="Blue Foods"/>
    <n v="48809.39"/>
    <n v="244.05"/>
    <s v="Debit Card"/>
    <x v="1"/>
    <s v="Branch"/>
    <s v="Domestic"/>
    <s v="Retail Purchase"/>
    <s v="High Value"/>
    <x v="5"/>
  </r>
  <r>
    <s v="TXN00095"/>
    <d v="2025-02-16T00:21:07"/>
    <s v="Feb-2025"/>
    <x v="72"/>
    <n v="3456728"/>
    <s v="CARD0092"/>
    <s v="MER029"/>
    <s v="Fresh Hub"/>
    <n v="51134.720000000001"/>
    <n v="153.4"/>
    <s v="Wallet"/>
    <x v="2"/>
    <s v="POS"/>
    <s v="Domestic"/>
    <s v="Transfer"/>
    <s v="High Value"/>
    <x v="4"/>
  </r>
  <r>
    <s v="TXN00096"/>
    <d v="2025-12-17T06:39:29"/>
    <s v="Dec-2025"/>
    <x v="80"/>
    <n v="1097886"/>
    <s v="CARD0214"/>
    <s v="MER025"/>
    <s v="Smart Pay"/>
    <n v="6918.54"/>
    <n v="69.19"/>
    <s v="Net Banking"/>
    <x v="0"/>
    <s v="Branch"/>
    <s v="Domestic"/>
    <s v="Retail Purchase"/>
    <s v="High Value"/>
    <x v="2"/>
  </r>
  <r>
    <s v="TXN00097"/>
    <d v="2025-05-16T02:08:06"/>
    <s v="May-2025"/>
    <x v="81"/>
    <n v="1238971"/>
    <s v="CARD0234"/>
    <s v="MER038"/>
    <s v="Quick Hub"/>
    <n v="58895.99"/>
    <n v="117.79"/>
    <s v="Net Banking"/>
    <x v="1"/>
    <s v="Branch"/>
    <s v="Domestic"/>
    <s v="Cash Withdrawal"/>
    <s v="High Value"/>
    <x v="8"/>
  </r>
  <r>
    <s v="TXN00098"/>
    <d v="2026-01-03T22:15:31"/>
    <s v="Jan-2026"/>
    <x v="82"/>
    <n v="666210"/>
    <s v="CARD0236"/>
    <s v="MER032"/>
    <s v="Urban Digital"/>
    <n v="1826.09"/>
    <n v="5.48"/>
    <s v="UPI"/>
    <x v="2"/>
    <s v="Branch"/>
    <s v="International"/>
    <s v="Retail Purchase"/>
    <s v="Standard"/>
    <x v="8"/>
  </r>
  <r>
    <s v="TXN00099"/>
    <d v="2025-03-06T09:31:30"/>
    <s v="Mar-2025"/>
    <x v="47"/>
    <n v="1864504"/>
    <s v="CARD0224"/>
    <s v="MER022"/>
    <s v="Urban Stores"/>
    <n v="39332.92"/>
    <n v="118"/>
    <s v="Wallet"/>
    <x v="0"/>
    <s v="Mobile App"/>
    <s v="International"/>
    <s v="Bill Payment"/>
    <s v="High Value"/>
    <x v="6"/>
  </r>
  <r>
    <s v="TXN00100"/>
    <d v="2026-05-09T12:35:18"/>
    <s v="May-2026"/>
    <x v="33"/>
    <n v="2407873"/>
    <s v="CARD0229"/>
    <s v="MER040"/>
    <s v="Blue Retail"/>
    <n v="39856.269999999997"/>
    <n v="119.57"/>
    <s v="UPI"/>
    <x v="2"/>
    <s v="Mobile App"/>
    <s v="Domestic"/>
    <s v="Cash Withdrawal"/>
    <s v="High Value"/>
    <x v="4"/>
  </r>
  <r>
    <s v="TXN00101"/>
    <d v="2026-05-23T06:01:19"/>
    <s v="May-2026"/>
    <x v="72"/>
    <n v="3456728"/>
    <s v="CARD0249"/>
    <s v="MER018"/>
    <s v="Nova Retail"/>
    <n v="4584.43"/>
    <n v="13.75"/>
    <s v="UPI"/>
    <x v="0"/>
    <s v="Website"/>
    <s v="International"/>
    <s v="Cash Withdrawal"/>
    <s v="High Value"/>
    <x v="3"/>
  </r>
  <r>
    <s v="TXN00102"/>
    <d v="2025-08-29T02:52:12"/>
    <s v="Aug-2025"/>
    <x v="83"/>
    <n v="470298"/>
    <s v="CARD0220"/>
    <s v="MER032"/>
    <s v="Urban Digital"/>
    <n v="27599.77"/>
    <n v="276"/>
    <s v="Net Banking"/>
    <x v="1"/>
    <s v="POS"/>
    <s v="Domestic"/>
    <s v="Cash Withdrawal"/>
    <s v="High Value"/>
    <x v="8"/>
  </r>
  <r>
    <s v="TXN00103"/>
    <d v="2025-01-19T03:44:13"/>
    <s v="Jan-2025"/>
    <x v="7"/>
    <n v="1291728"/>
    <s v="CARD0203"/>
    <s v="MER039"/>
    <s v="Fresh Foods"/>
    <n v="24266.04"/>
    <n v="48.53"/>
    <s v="Wallet"/>
    <x v="0"/>
    <s v="POS"/>
    <s v="Domestic"/>
    <s v="Cash Withdrawal"/>
    <s v="High Value"/>
    <x v="4"/>
  </r>
  <r>
    <s v="TXN00104"/>
    <d v="2025-12-16T13:13:44"/>
    <s v="Dec-2025"/>
    <x v="72"/>
    <n v="3456728"/>
    <s v="CARD0144"/>
    <s v="MER040"/>
    <s v="Blue Retail"/>
    <n v="49536.13"/>
    <n v="495.36"/>
    <s v="Wallet"/>
    <x v="1"/>
    <s v="Branch"/>
    <s v="International"/>
    <s v="Cash Withdrawal"/>
    <s v="High Value"/>
    <x v="4"/>
  </r>
  <r>
    <s v="TXN00105"/>
    <d v="2025-04-27T03:32:51"/>
    <s v="Apr-2025"/>
    <x v="40"/>
    <n v="2236054"/>
    <s v="CARD0213"/>
    <s v="MER041"/>
    <s v="Metro Pay"/>
    <n v="45583.27"/>
    <n v="227.92"/>
    <s v="Debit Card"/>
    <x v="0"/>
    <s v="POS"/>
    <s v="Domestic"/>
    <s v="Retail Purchase"/>
    <s v="High Value"/>
    <x v="4"/>
  </r>
  <r>
    <s v="TXN00106"/>
    <d v="2025-06-18T17:55:42"/>
    <s v="Jun-2025"/>
    <x v="60"/>
    <n v="2336527"/>
    <s v="CARD0066"/>
    <s v="MER040"/>
    <s v="Blue Retail"/>
    <n v="8512.91"/>
    <n v="85.13"/>
    <s v="Credit Card"/>
    <x v="2"/>
    <s v="Website"/>
    <s v="Domestic"/>
    <s v="Cash Withdrawal"/>
    <s v="High Value"/>
    <x v="4"/>
  </r>
  <r>
    <s v="TXN00107"/>
    <d v="2025-08-09T16:38:25"/>
    <s v="Aug-2025"/>
    <x v="60"/>
    <n v="2336527"/>
    <s v="CARD0194"/>
    <s v="MER027"/>
    <s v="Prime Digital"/>
    <n v="49490.79"/>
    <n v="247.45"/>
    <s v="UPI"/>
    <x v="0"/>
    <s v="Mobile App"/>
    <s v="International"/>
    <s v="Cash Withdrawal"/>
    <s v="High Value"/>
    <x v="1"/>
  </r>
  <r>
    <s v="TXN00108"/>
    <d v="2026-08-27T18:21:26"/>
    <s v="Aug-2026"/>
    <x v="84"/>
    <n v="1540525"/>
    <s v="CARD0240"/>
    <s v="MER028"/>
    <s v="Prime Pay"/>
    <n v="8164.7"/>
    <n v="16.329999999999998"/>
    <s v="Wallet"/>
    <x v="0"/>
    <s v="Branch"/>
    <s v="Domestic"/>
    <s v="Bill Payment"/>
    <s v="High Value"/>
    <x v="0"/>
  </r>
  <r>
    <s v="TXN00109"/>
    <d v="2025-05-12T03:46:13"/>
    <s v="May-2025"/>
    <x v="85"/>
    <n v="1922692"/>
    <s v="CARD0226"/>
    <s v="MER025"/>
    <s v="Smart Pay"/>
    <n v="23305.59"/>
    <n v="116.53"/>
    <s v="Net Banking"/>
    <x v="0"/>
    <s v="Website"/>
    <s v="International"/>
    <s v="Cash Withdrawal"/>
    <s v="High Value"/>
    <x v="2"/>
  </r>
  <r>
    <s v="TXN00110"/>
    <d v="2025-12-18T10:42:37"/>
    <s v="Dec-2025"/>
    <x v="86"/>
    <n v="3016707"/>
    <s v="CARD0180"/>
    <s v="MER033"/>
    <s v="Nova Services"/>
    <n v="27225.46"/>
    <n v="272.25"/>
    <s v="Debit Card"/>
    <x v="0"/>
    <s v="POS"/>
    <s v="Domestic"/>
    <s v="Bill Payment"/>
    <s v="High Value"/>
    <x v="7"/>
  </r>
  <r>
    <s v="TXN00111"/>
    <d v="2025-08-03T22:43:30"/>
    <s v="Aug-2025"/>
    <x v="87"/>
    <n v="2445827"/>
    <s v="CARD0250"/>
    <s v="MER012"/>
    <s v="Daily Hub"/>
    <n v="42891.63"/>
    <n v="128.66999999999999"/>
    <s v="Wallet"/>
    <x v="2"/>
    <s v="POS"/>
    <s v="Domestic"/>
    <s v="Transfer"/>
    <s v="High Value"/>
    <x v="2"/>
  </r>
  <r>
    <s v="TXN00112"/>
    <d v="2026-07-30T17:29:23"/>
    <s v="Jul-2026"/>
    <x v="88"/>
    <n v="1531034"/>
    <s v="CARD0192"/>
    <s v="MER035"/>
    <s v="Nova Hub"/>
    <n v="35010.1"/>
    <n v="350.1"/>
    <s v="Debit Card"/>
    <x v="3"/>
    <s v="Branch"/>
    <s v="Domestic"/>
    <s v="Retail Purchase"/>
    <s v="High Value"/>
    <x v="1"/>
  </r>
  <r>
    <s v="TXN00113"/>
    <d v="2025-01-26T13:52:01"/>
    <s v="Jan-2025"/>
    <x v="66"/>
    <n v="2253568"/>
    <s v="CARD0193"/>
    <s v="MER011"/>
    <s v="Quick Pay"/>
    <n v="8805.07"/>
    <n v="26.42"/>
    <s v="Debit Card"/>
    <x v="2"/>
    <s v="POS"/>
    <s v="Domestic"/>
    <s v="Retail Purchase"/>
    <s v="High Value"/>
    <x v="4"/>
  </r>
  <r>
    <s v="TXN00114"/>
    <d v="2025-10-30T07:25:38"/>
    <s v="Oct-2025"/>
    <x v="10"/>
    <n v="210160"/>
    <s v="CARD0158"/>
    <s v="MER044"/>
    <s v="Blue Foods"/>
    <n v="45240.28"/>
    <n v="452.4"/>
    <s v="Wallet"/>
    <x v="0"/>
    <s v="Website"/>
    <s v="International"/>
    <s v="Bill Payment"/>
    <s v="High Value"/>
    <x v="5"/>
  </r>
  <r>
    <s v="TXN00115"/>
    <d v="2026-06-08T10:28:21"/>
    <s v="Jun-2026"/>
    <x v="38"/>
    <n v="1621823"/>
    <s v="CARD0107"/>
    <s v="MER044"/>
    <s v="Blue Foods"/>
    <n v="41606.870000000003"/>
    <n v="416.07"/>
    <s v="Debit Card"/>
    <x v="0"/>
    <s v="Mobile App"/>
    <s v="Domestic"/>
    <s v="Transfer"/>
    <s v="High Value"/>
    <x v="5"/>
  </r>
  <r>
    <s v="TXN00116"/>
    <d v="2025-07-27T22:35:38"/>
    <s v="Jul-2025"/>
    <x v="89"/>
    <n v="1275615"/>
    <s v="CARD0234"/>
    <s v="MER041"/>
    <s v="Metro Pay"/>
    <n v="52144.11"/>
    <n v="521.44000000000005"/>
    <s v="Debit Card"/>
    <x v="1"/>
    <s v="Website"/>
    <s v="Domestic"/>
    <s v="Transfer"/>
    <s v="High Value"/>
    <x v="4"/>
  </r>
  <r>
    <s v="TXN00117"/>
    <d v="2026-04-05T06:27:35"/>
    <s v="Apr-2026"/>
    <x v="3"/>
    <n v="1300603"/>
    <s v="CARD0031"/>
    <s v="MER025"/>
    <s v="Smart Pay"/>
    <n v="59008.85"/>
    <n v="177.03"/>
    <s v="UPI"/>
    <x v="0"/>
    <s v="Branch"/>
    <s v="International"/>
    <s v="Transfer"/>
    <s v="High Value"/>
    <x v="2"/>
  </r>
  <r>
    <s v="TXN00118"/>
    <d v="2025-05-14T05:51:33"/>
    <s v="May-2025"/>
    <x v="90"/>
    <n v="3380711"/>
    <s v="CARD0182"/>
    <s v="MER010"/>
    <s v="Blue Hub"/>
    <n v="35080.76"/>
    <n v="175.4"/>
    <s v="UPI"/>
    <x v="0"/>
    <s v="Website"/>
    <s v="International"/>
    <s v="Retail Purchase"/>
    <s v="High Value"/>
    <x v="8"/>
  </r>
  <r>
    <s v="TXN00119"/>
    <d v="2026-10-03T22:24:49"/>
    <s v="Oct-2026"/>
    <x v="50"/>
    <n v="2083055"/>
    <s v="CARD0201"/>
    <s v="MER021"/>
    <s v="Fresh Hub"/>
    <n v="50604.08"/>
    <n v="253.02"/>
    <s v="Wallet"/>
    <x v="0"/>
    <s v="Website"/>
    <s v="Domestic"/>
    <s v="Retail Purchase"/>
    <s v="High Value"/>
    <x v="4"/>
  </r>
  <r>
    <s v="TXN00120"/>
    <d v="2026-06-02T05:48:09"/>
    <s v="Jun-2026"/>
    <x v="12"/>
    <n v="1636278"/>
    <s v="CARD0057"/>
    <s v="MER014"/>
    <s v="Daily Stores"/>
    <n v="25014.28"/>
    <n v="50.03"/>
    <s v="Debit Card"/>
    <x v="0"/>
    <s v="POS"/>
    <s v="International"/>
    <s v="Transfer"/>
    <s v="High Value"/>
    <x v="0"/>
  </r>
  <r>
    <s v="TXN00121"/>
    <d v="2025-08-12T22:30:39"/>
    <s v="Aug-2025"/>
    <x v="91"/>
    <n v="586557"/>
    <s v="CARD0172"/>
    <s v="MER023"/>
    <s v="Smart Pay"/>
    <n v="31876.880000000001"/>
    <n v="63.75"/>
    <s v="Net Banking"/>
    <x v="3"/>
    <s v="Website"/>
    <s v="Domestic"/>
    <s v="Retail Purchase"/>
    <s v="High Value"/>
    <x v="6"/>
  </r>
  <r>
    <s v="TXN00122"/>
    <d v="2025-11-25T13:53:07"/>
    <s v="Nov-2025"/>
    <x v="78"/>
    <n v="1370286"/>
    <s v="CARD0139"/>
    <s v="MER019"/>
    <s v="Metro Retail"/>
    <n v="54964.35"/>
    <n v="549.64"/>
    <s v="UPI"/>
    <x v="3"/>
    <s v="POS"/>
    <s v="International"/>
    <s v="Cash Withdrawal"/>
    <s v="High Value"/>
    <x v="6"/>
  </r>
  <r>
    <s v="TXN00123"/>
    <d v="2025-02-14T10:47:34"/>
    <s v="Feb-2025"/>
    <x v="92"/>
    <n v="1853494"/>
    <s v="CARD0043"/>
    <s v="MER035"/>
    <s v="Nova Hub"/>
    <n v="53907.07"/>
    <n v="107.81"/>
    <s v="Wallet"/>
    <x v="0"/>
    <s v="Mobile App"/>
    <s v="Domestic"/>
    <s v="Bill Payment"/>
    <s v="High Value"/>
    <x v="1"/>
  </r>
  <r>
    <s v="TXN00124"/>
    <d v="2025-08-07T15:26:41"/>
    <s v="Aug-2025"/>
    <x v="93"/>
    <n v="1157267"/>
    <s v="CARD0210"/>
    <s v="MER005"/>
    <s v="Prime Foods"/>
    <n v="50156.34"/>
    <n v="501.56"/>
    <s v="Credit Card"/>
    <x v="0"/>
    <s v="Mobile App"/>
    <s v="International"/>
    <s v="Transfer"/>
    <s v="High Value"/>
    <x v="6"/>
  </r>
  <r>
    <s v="TXN00125"/>
    <d v="2025-02-08T03:11:11"/>
    <s v="Feb-2025"/>
    <x v="33"/>
    <n v="2407873"/>
    <s v="CARD0019"/>
    <s v="MER037"/>
    <s v="Metro Pay"/>
    <n v="4487.5600000000004"/>
    <n v="22.44"/>
    <s v="Credit Card"/>
    <x v="0"/>
    <s v="POS"/>
    <s v="International"/>
    <s v="Cash Withdrawal"/>
    <s v="High Value"/>
    <x v="2"/>
  </r>
  <r>
    <s v="TXN00126"/>
    <d v="2026-04-07T22:56:43"/>
    <s v="Apr-2026"/>
    <x v="88"/>
    <n v="1531034"/>
    <s v="CARD0031"/>
    <s v="MER035"/>
    <s v="Nova Hub"/>
    <n v="24326.44"/>
    <n v="243.26"/>
    <s v="UPI"/>
    <x v="0"/>
    <s v="Mobile App"/>
    <s v="Domestic"/>
    <s v="Retail Purchase"/>
    <s v="High Value"/>
    <x v="1"/>
  </r>
  <r>
    <s v="TXN00127"/>
    <d v="2026-01-02T18:18:27"/>
    <s v="Jan-2026"/>
    <x v="94"/>
    <n v="2430547"/>
    <s v="CARD0023"/>
    <s v="MER019"/>
    <s v="Metro Retail"/>
    <n v="6457.52"/>
    <n v="32.29"/>
    <s v="Net Banking"/>
    <x v="1"/>
    <s v="Branch"/>
    <s v="International"/>
    <s v="Retail Purchase"/>
    <s v="High Value"/>
    <x v="6"/>
  </r>
  <r>
    <s v="TXN00128"/>
    <d v="2026-05-01T05:41:29"/>
    <s v="May-2026"/>
    <x v="95"/>
    <n v="2769812"/>
    <s v="CARD0076"/>
    <s v="MER041"/>
    <s v="Metro Pay"/>
    <n v="32054.720000000001"/>
    <n v="320.55"/>
    <s v="Credit Card"/>
    <x v="0"/>
    <s v="POS"/>
    <s v="International"/>
    <s v="Retail Purchase"/>
    <s v="High Value"/>
    <x v="4"/>
  </r>
  <r>
    <s v="TXN00129"/>
    <d v="2026-07-21T20:12:34"/>
    <s v="Jul-2026"/>
    <x v="57"/>
    <n v="3457954"/>
    <s v="CARD0141"/>
    <s v="MER006"/>
    <s v="Nova Pay"/>
    <n v="8568.2900000000009"/>
    <n v="85.68"/>
    <s v="Debit Card"/>
    <x v="0"/>
    <s v="Website"/>
    <s v="International"/>
    <s v="Bill Payment"/>
    <s v="High Value"/>
    <x v="2"/>
  </r>
  <r>
    <s v="TXN00130"/>
    <d v="2026-02-27T23:31:03"/>
    <s v="Feb-2026"/>
    <x v="96"/>
    <n v="3423567"/>
    <s v="CARD0158"/>
    <s v="MER017"/>
    <s v="Quick Services"/>
    <n v="51102.39"/>
    <n v="153.31"/>
    <s v="Credit Card"/>
    <x v="0"/>
    <s v="Mobile App"/>
    <s v="Domestic"/>
    <s v="Retail Purchase"/>
    <s v="High Value"/>
    <x v="5"/>
  </r>
  <r>
    <s v="TXN00131"/>
    <d v="2026-07-17T16:47:38"/>
    <s v="Jul-2026"/>
    <x v="67"/>
    <n v="2034552"/>
    <s v="CARD0026"/>
    <s v="MER013"/>
    <s v="Quick Retail"/>
    <n v="38716"/>
    <n v="77.430000000000007"/>
    <s v="Wallet"/>
    <x v="0"/>
    <s v="Branch"/>
    <s v="International"/>
    <s v="Transfer"/>
    <s v="High Value"/>
    <x v="3"/>
  </r>
  <r>
    <s v="TXN00132"/>
    <d v="2025-05-12T23:51:54"/>
    <s v="May-2025"/>
    <x v="97"/>
    <n v="2532613"/>
    <s v="CARD0082"/>
    <s v="MER032"/>
    <s v="Urban Digital"/>
    <n v="14148.52"/>
    <n v="28.3"/>
    <s v="Net Banking"/>
    <x v="0"/>
    <s v="POS"/>
    <s v="International"/>
    <s v="Bill Payment"/>
    <s v="High Value"/>
    <x v="8"/>
  </r>
  <r>
    <s v="TXN00133"/>
    <d v="2026-08-03T20:38:19"/>
    <s v="Aug-2026"/>
    <x v="98"/>
    <n v="735563"/>
    <s v="CARD0002"/>
    <s v="MER021"/>
    <s v="Fresh Hub"/>
    <n v="21933.16"/>
    <n v="219.33"/>
    <s v="Credit Card"/>
    <x v="0"/>
    <s v="Website"/>
    <s v="International"/>
    <s v="Transfer"/>
    <s v="High Value"/>
    <x v="4"/>
  </r>
  <r>
    <s v="TXN00134"/>
    <d v="2026-01-04T04:53:23"/>
    <s v="Jan-2026"/>
    <x v="26"/>
    <n v="1140178"/>
    <s v="CARD0115"/>
    <s v="MER023"/>
    <s v="Smart Pay"/>
    <n v="40806.85"/>
    <n v="408.07"/>
    <s v="Debit Card"/>
    <x v="0"/>
    <s v="Branch"/>
    <s v="Domestic"/>
    <s v="Bill Payment"/>
    <s v="High Value"/>
    <x v="6"/>
  </r>
  <r>
    <s v="TXN00135"/>
    <d v="2026-09-14T02:59:04"/>
    <s v="Sep-2026"/>
    <x v="57"/>
    <n v="3457954"/>
    <s v="CARD0051"/>
    <s v="MER017"/>
    <s v="Quick Services"/>
    <n v="50523.4"/>
    <n v="151.57"/>
    <s v="UPI"/>
    <x v="1"/>
    <s v="Mobile App"/>
    <s v="Domestic"/>
    <s v="Retail Purchase"/>
    <s v="High Value"/>
    <x v="5"/>
  </r>
  <r>
    <s v="TXN00136"/>
    <d v="2026-08-19T21:04:37"/>
    <s v="Aug-2026"/>
    <x v="84"/>
    <n v="1540525"/>
    <s v="CARD0067"/>
    <s v="MER035"/>
    <s v="Nova Hub"/>
    <n v="24367.55"/>
    <n v="48.74"/>
    <s v="Wallet"/>
    <x v="0"/>
    <s v="Branch"/>
    <s v="Domestic"/>
    <s v="Transfer"/>
    <s v="High Value"/>
    <x v="1"/>
  </r>
  <r>
    <s v="TXN00137"/>
    <d v="2026-02-06T08:07:49"/>
    <s v="Feb-2026"/>
    <x v="1"/>
    <n v="1862084"/>
    <s v="CARD0119"/>
    <s v="MER033"/>
    <s v="Nova Services"/>
    <n v="53497.11"/>
    <n v="267.49"/>
    <s v="Wallet"/>
    <x v="0"/>
    <s v="Mobile App"/>
    <s v="International"/>
    <s v="Transfer"/>
    <s v="High Value"/>
    <x v="7"/>
  </r>
  <r>
    <s v="TXN00138"/>
    <d v="2026-05-30T00:23:08"/>
    <s v="May-2026"/>
    <x v="3"/>
    <n v="1300603"/>
    <s v="CARD0036"/>
    <s v="MER029"/>
    <s v="Fresh Hub"/>
    <n v="39794.44"/>
    <n v="119.38"/>
    <s v="Credit Card"/>
    <x v="1"/>
    <s v="Website"/>
    <s v="Domestic"/>
    <s v="Cash Withdrawal"/>
    <s v="High Value"/>
    <x v="4"/>
  </r>
  <r>
    <s v="TXN00139"/>
    <d v="2026-01-03T01:28:17"/>
    <s v="Jan-2026"/>
    <x v="77"/>
    <n v="3403277"/>
    <s v="CARD0095"/>
    <s v="MER015"/>
    <s v="Metro Pay"/>
    <n v="13207.27"/>
    <n v="26.41"/>
    <s v="UPI"/>
    <x v="0"/>
    <s v="Website"/>
    <s v="International"/>
    <s v="Cash Withdrawal"/>
    <s v="High Value"/>
    <x v="3"/>
  </r>
  <r>
    <s v="TXN00140"/>
    <d v="2026-04-26T16:33:11"/>
    <s v="Apr-2026"/>
    <x v="10"/>
    <n v="210160"/>
    <s v="CARD0181"/>
    <s v="MER034"/>
    <s v="Urban Retail"/>
    <n v="52904.959999999999"/>
    <n v="264.52"/>
    <s v="Debit Card"/>
    <x v="0"/>
    <s v="POS"/>
    <s v="Domestic"/>
    <s v="Cash Withdrawal"/>
    <s v="High Value"/>
    <x v="8"/>
  </r>
  <r>
    <s v="TXN00141"/>
    <d v="2026-01-23T13:18:00"/>
    <s v="Jan-2026"/>
    <x v="99"/>
    <n v="2438970"/>
    <s v="CARD0065"/>
    <s v="MER025"/>
    <s v="Smart Pay"/>
    <n v="35301.96"/>
    <n v="70.599999999999994"/>
    <s v="Credit Card"/>
    <x v="1"/>
    <s v="Branch"/>
    <s v="International"/>
    <s v="Transfer"/>
    <s v="High Value"/>
    <x v="2"/>
  </r>
  <r>
    <s v="TXN00142"/>
    <d v="2026-05-14T17:33:11"/>
    <s v="May-2026"/>
    <x v="11"/>
    <n v="2150955"/>
    <s v="CARD0043"/>
    <s v="MER015"/>
    <s v="Metro Pay"/>
    <n v="53241.599999999999"/>
    <n v="159.72"/>
    <s v="UPI"/>
    <x v="0"/>
    <s v="POS"/>
    <s v="Domestic"/>
    <s v="Bill Payment"/>
    <s v="High Value"/>
    <x v="3"/>
  </r>
  <r>
    <s v="TXN00143"/>
    <d v="2025-07-11T05:43:45"/>
    <s v="Jul-2025"/>
    <x v="52"/>
    <n v="3443239"/>
    <s v="CARD0059"/>
    <s v="MER027"/>
    <s v="Prime Digital"/>
    <n v="21797.15"/>
    <n v="43.59"/>
    <s v="Debit Card"/>
    <x v="2"/>
    <s v="Mobile App"/>
    <s v="International"/>
    <s v="Cash Withdrawal"/>
    <s v="High Value"/>
    <x v="1"/>
  </r>
  <r>
    <s v="TXN00144"/>
    <d v="2026-05-06T07:40:17"/>
    <s v="May-2026"/>
    <x v="100"/>
    <n v="1622654"/>
    <s v="CARD0063"/>
    <s v="MER003"/>
    <s v="Fresh Mart"/>
    <n v="35488.370000000003"/>
    <n v="354.88"/>
    <s v="Credit Card"/>
    <x v="2"/>
    <s v="Website"/>
    <s v="Domestic"/>
    <s v="Retail Purchase"/>
    <s v="High Value"/>
    <x v="7"/>
  </r>
  <r>
    <s v="TXN00145"/>
    <d v="2026-08-10T05:20:49"/>
    <s v="Aug-2026"/>
    <x v="99"/>
    <n v="2438970"/>
    <s v="CARD0246"/>
    <s v="MER026"/>
    <s v="Metro Services"/>
    <n v="3449.13"/>
    <n v="10.35"/>
    <s v="Wallet"/>
    <x v="0"/>
    <s v="Mobile App"/>
    <s v="International"/>
    <s v="Retail Purchase"/>
    <s v="High Value"/>
    <x v="0"/>
  </r>
  <r>
    <s v="TXN00146"/>
    <d v="2025-08-10T16:21:17"/>
    <s v="Aug-2025"/>
    <x v="98"/>
    <n v="735563"/>
    <s v="CARD0057"/>
    <s v="MER027"/>
    <s v="Prime Digital"/>
    <n v="36430.9"/>
    <n v="364.31"/>
    <s v="Wallet"/>
    <x v="0"/>
    <s v="Website"/>
    <s v="Domestic"/>
    <s v="Transfer"/>
    <s v="High Value"/>
    <x v="1"/>
  </r>
  <r>
    <s v="TXN00147"/>
    <d v="2025-06-21T12:28:34"/>
    <s v="Jun-2025"/>
    <x v="22"/>
    <n v="1629916"/>
    <s v="CARD0097"/>
    <s v="MER025"/>
    <s v="Smart Pay"/>
    <n v="55348.88"/>
    <n v="110.7"/>
    <s v="Credit Card"/>
    <x v="0"/>
    <s v="Mobile App"/>
    <s v="Domestic"/>
    <s v="Bill Payment"/>
    <s v="High Value"/>
    <x v="2"/>
  </r>
  <r>
    <s v="TXN00148"/>
    <d v="2026-06-20T18:21:47"/>
    <s v="Jun-2026"/>
    <x v="101"/>
    <n v="743257"/>
    <s v="CARD0122"/>
    <s v="MER040"/>
    <s v="Blue Retail"/>
    <n v="41093.629999999997"/>
    <n v="82.19"/>
    <s v="Wallet"/>
    <x v="1"/>
    <s v="Mobile App"/>
    <s v="Domestic"/>
    <s v="Retail Purchase"/>
    <s v="High Value"/>
    <x v="4"/>
  </r>
  <r>
    <s v="TXN00149"/>
    <d v="2026-05-09T04:44:42"/>
    <s v="May-2026"/>
    <x v="102"/>
    <n v="2405316"/>
    <s v="CARD0167"/>
    <s v="MER028"/>
    <s v="Prime Pay"/>
    <n v="54128.89"/>
    <n v="108.26"/>
    <s v="Wallet"/>
    <x v="0"/>
    <s v="Branch"/>
    <s v="International"/>
    <s v="Retail Purchase"/>
    <s v="High Value"/>
    <x v="0"/>
  </r>
  <r>
    <s v="TXN00150"/>
    <d v="2026-06-27T15:37:04"/>
    <s v="Jun-2026"/>
    <x v="12"/>
    <n v="1636278"/>
    <s v="CARD0151"/>
    <s v="MER045"/>
    <s v="Blue Services"/>
    <n v="13846.23"/>
    <n v="138.46"/>
    <s v="Wallet"/>
    <x v="1"/>
    <s v="Mobile App"/>
    <s v="International"/>
    <s v="Bill Payment"/>
    <s v="High Value"/>
    <x v="0"/>
  </r>
  <r>
    <s v="TXN00151"/>
    <d v="2025-09-18T17:22:19"/>
    <s v="Sep-2025"/>
    <x v="103"/>
    <n v="2067729"/>
    <s v="CARD0154"/>
    <s v="MER035"/>
    <s v="Nova Hub"/>
    <n v="45974.95"/>
    <n v="91.95"/>
    <s v="Net Banking"/>
    <x v="3"/>
    <s v="POS"/>
    <s v="Domestic"/>
    <s v="Retail Purchase"/>
    <s v="High Value"/>
    <x v="1"/>
  </r>
  <r>
    <s v="TXN00152"/>
    <d v="2025-01-08T21:02:37"/>
    <s v="Jan-2025"/>
    <x v="104"/>
    <n v="1682577"/>
    <s v="CARD0053"/>
    <s v="MER045"/>
    <s v="Blue Services"/>
    <n v="31400.18"/>
    <n v="314"/>
    <s v="Debit Card"/>
    <x v="0"/>
    <s v="Branch"/>
    <s v="International"/>
    <s v="Retail Purchase"/>
    <s v="High Value"/>
    <x v="0"/>
  </r>
  <r>
    <s v="TXN00153"/>
    <d v="2025-06-08T15:30:46"/>
    <s v="Jun-2025"/>
    <x v="41"/>
    <n v="2107578"/>
    <s v="CARD0094"/>
    <s v="MER040"/>
    <s v="Blue Retail"/>
    <n v="39129.4"/>
    <n v="391.29"/>
    <s v="Debit Card"/>
    <x v="0"/>
    <s v="Branch"/>
    <s v="Domestic"/>
    <s v="Cash Withdrawal"/>
    <s v="High Value"/>
    <x v="4"/>
  </r>
  <r>
    <s v="TXN00154"/>
    <d v="2026-07-20T20:18:00"/>
    <s v="Jul-2026"/>
    <x v="67"/>
    <n v="2034552"/>
    <s v="CARD0079"/>
    <s v="MER037"/>
    <s v="Metro Pay"/>
    <n v="28999.82"/>
    <n v="290"/>
    <s v="Debit Card"/>
    <x v="0"/>
    <s v="Branch"/>
    <s v="Domestic"/>
    <s v="Retail Purchase"/>
    <s v="High Value"/>
    <x v="2"/>
  </r>
  <r>
    <s v="TXN00155"/>
    <d v="2025-08-24T16:15:36"/>
    <s v="Aug-2025"/>
    <x v="105"/>
    <n v="1784496"/>
    <s v="CARD0131"/>
    <s v="MER026"/>
    <s v="Metro Services"/>
    <n v="47008.24"/>
    <n v="94.02"/>
    <s v="Debit Card"/>
    <x v="3"/>
    <s v="Mobile App"/>
    <s v="Domestic"/>
    <s v="Cash Withdrawal"/>
    <s v="High Value"/>
    <x v="0"/>
  </r>
  <r>
    <s v="TXN00156"/>
    <d v="2025-01-06T03:18:59"/>
    <s v="Jan-2025"/>
    <x v="83"/>
    <n v="470298"/>
    <s v="CARD0017"/>
    <s v="MER017"/>
    <s v="Quick Services"/>
    <n v="49413"/>
    <n v="494.13"/>
    <s v="Credit Card"/>
    <x v="0"/>
    <s v="POS"/>
    <s v="Domestic"/>
    <s v="Retail Purchase"/>
    <s v="High Value"/>
    <x v="5"/>
  </r>
  <r>
    <s v="TXN00157"/>
    <d v="2026-01-29T14:35:13"/>
    <s v="Jan-2026"/>
    <x v="61"/>
    <n v="2458421"/>
    <s v="CARD0164"/>
    <s v="MER032"/>
    <s v="Urban Digital"/>
    <n v="36876.54"/>
    <n v="73.75"/>
    <s v="Net Banking"/>
    <x v="0"/>
    <s v="Mobile App"/>
    <s v="Domestic"/>
    <s v="Transfer"/>
    <s v="High Value"/>
    <x v="8"/>
  </r>
  <r>
    <s v="TXN00158"/>
    <d v="2025-07-19T01:13:25"/>
    <s v="Jul-2025"/>
    <x v="36"/>
    <n v="1555758"/>
    <s v="CARD0044"/>
    <s v="MER044"/>
    <s v="Blue Foods"/>
    <n v="47059.17"/>
    <n v="141.18"/>
    <s v="UPI"/>
    <x v="0"/>
    <s v="POS"/>
    <s v="Domestic"/>
    <s v="Retail Purchase"/>
    <s v="High Value"/>
    <x v="5"/>
  </r>
  <r>
    <s v="TXN00159"/>
    <d v="2025-06-11T03:09:42"/>
    <s v="Jun-2025"/>
    <x v="47"/>
    <n v="1864504"/>
    <s v="CARD0102"/>
    <s v="MER026"/>
    <s v="Metro Services"/>
    <n v="59809.35"/>
    <n v="299.05"/>
    <s v="Wallet"/>
    <x v="2"/>
    <s v="Website"/>
    <s v="Domestic"/>
    <s v="Retail Purchase"/>
    <s v="High Value"/>
    <x v="0"/>
  </r>
  <r>
    <s v="TXN00160"/>
    <d v="2025-04-03T20:00:36"/>
    <s v="Apr-2025"/>
    <x v="106"/>
    <n v="498752"/>
    <s v="CARD0247"/>
    <s v="MER018"/>
    <s v="Nova Retail"/>
    <n v="17141.18"/>
    <n v="85.71"/>
    <s v="Credit Card"/>
    <x v="1"/>
    <s v="Website"/>
    <s v="International"/>
    <s v="Cash Withdrawal"/>
    <s v="High Value"/>
    <x v="3"/>
  </r>
  <r>
    <s v="TXN00161"/>
    <d v="2026-08-12T00:10:09"/>
    <s v="Aug-2026"/>
    <x v="107"/>
    <n v="1784507"/>
    <s v="CARD0019"/>
    <s v="MER033"/>
    <s v="Nova Services"/>
    <n v="15740.34"/>
    <n v="31.48"/>
    <s v="Debit Card"/>
    <x v="0"/>
    <s v="POS"/>
    <s v="Domestic"/>
    <s v="Transfer"/>
    <s v="High Value"/>
    <x v="7"/>
  </r>
  <r>
    <s v="TXN00162"/>
    <d v="2026-07-05T20:55:52"/>
    <s v="Jul-2026"/>
    <x v="41"/>
    <n v="2107578"/>
    <s v="CARD0124"/>
    <s v="MER016"/>
    <s v="Blue Foods"/>
    <n v="15083.48"/>
    <n v="150.83000000000001"/>
    <s v="Debit Card"/>
    <x v="0"/>
    <s v="Branch"/>
    <s v="International"/>
    <s v="Retail Purchase"/>
    <s v="High Value"/>
    <x v="0"/>
  </r>
  <r>
    <s v="TXN00163"/>
    <d v="2026-05-09T04:13:59"/>
    <s v="May-2026"/>
    <x v="102"/>
    <n v="2405316"/>
    <s v="CARD0180"/>
    <s v="MER015"/>
    <s v="Metro Pay"/>
    <n v="15543.4"/>
    <n v="46.63"/>
    <s v="Debit Card"/>
    <x v="0"/>
    <s v="Branch"/>
    <s v="International"/>
    <s v="Retail Purchase"/>
    <s v="High Value"/>
    <x v="3"/>
  </r>
  <r>
    <s v="TXN00164"/>
    <d v="2025-09-27T09:02:19"/>
    <s v="Sep-2025"/>
    <x v="29"/>
    <n v="2802699"/>
    <s v="CARD0142"/>
    <s v="MER012"/>
    <s v="Daily Hub"/>
    <n v="17308.650000000001"/>
    <n v="86.54"/>
    <s v="Net Banking"/>
    <x v="0"/>
    <s v="POS"/>
    <s v="International"/>
    <s v="Bill Payment"/>
    <s v="High Value"/>
    <x v="2"/>
  </r>
  <r>
    <s v="TXN00165"/>
    <d v="2026-08-11T09:47:48"/>
    <s v="Aug-2026"/>
    <x v="21"/>
    <n v="1483380"/>
    <s v="CARD0189"/>
    <s v="MER013"/>
    <s v="Quick Retail"/>
    <n v="11048.79"/>
    <n v="33.15"/>
    <s v="Credit Card"/>
    <x v="2"/>
    <s v="Website"/>
    <s v="International"/>
    <s v="Bill Payment"/>
    <s v="High Value"/>
    <x v="3"/>
  </r>
  <r>
    <s v="TXN00166"/>
    <d v="2025-08-23T07:22:57"/>
    <s v="Aug-2025"/>
    <x v="31"/>
    <n v="2569391"/>
    <s v="CARD0200"/>
    <s v="MER007"/>
    <s v="Blue Hub"/>
    <n v="50112.93"/>
    <n v="250.56"/>
    <s v="UPI"/>
    <x v="1"/>
    <s v="Mobile App"/>
    <s v="International"/>
    <s v="Retail Purchase"/>
    <s v="High Value"/>
    <x v="4"/>
  </r>
  <r>
    <s v="TXN00167"/>
    <d v="2026-07-09T01:32:19"/>
    <s v="Jul-2026"/>
    <x v="14"/>
    <n v="3108672"/>
    <s v="CARD0230"/>
    <s v="MER037"/>
    <s v="Metro Pay"/>
    <n v="50895.83"/>
    <n v="254.48"/>
    <s v="Debit Card"/>
    <x v="0"/>
    <s v="Branch"/>
    <s v="Domestic"/>
    <s v="Transfer"/>
    <s v="High Value"/>
    <x v="2"/>
  </r>
  <r>
    <s v="TXN00168"/>
    <d v="2026-02-12T08:05:10"/>
    <s v="Feb-2026"/>
    <x v="108"/>
    <n v="3369767"/>
    <s v="CARD0241"/>
    <s v="MER035"/>
    <s v="Nova Hub"/>
    <n v="45035.15"/>
    <n v="450.35"/>
    <s v="UPI"/>
    <x v="0"/>
    <s v="POS"/>
    <s v="International"/>
    <s v="Bill Payment"/>
    <s v="High Value"/>
    <x v="1"/>
  </r>
  <r>
    <s v="TXN00169"/>
    <d v="2026-04-14T04:22:56"/>
    <s v="Apr-2026"/>
    <x v="74"/>
    <n v="2651559"/>
    <s v="CARD0173"/>
    <s v="MER014"/>
    <s v="Daily Stores"/>
    <n v="41924.85"/>
    <n v="83.85"/>
    <s v="Net Banking"/>
    <x v="0"/>
    <s v="Mobile App"/>
    <s v="International"/>
    <s v="Transfer"/>
    <s v="High Value"/>
    <x v="0"/>
  </r>
  <r>
    <s v="TXN00170"/>
    <d v="2026-09-20T09:27:19"/>
    <s v="Sep-2026"/>
    <x v="71"/>
    <n v="2635050"/>
    <s v="CARD0246"/>
    <s v="MER040"/>
    <s v="Blue Retail"/>
    <n v="11310.43"/>
    <n v="56.55"/>
    <s v="Debit Card"/>
    <x v="0"/>
    <s v="POS"/>
    <s v="Domestic"/>
    <s v="Cash Withdrawal"/>
    <s v="High Value"/>
    <x v="4"/>
  </r>
  <r>
    <s v="TXN00171"/>
    <d v="2026-03-11T07:39:54"/>
    <s v="Mar-2026"/>
    <x v="109"/>
    <n v="3368543"/>
    <s v="CARD0072"/>
    <s v="MER029"/>
    <s v="Fresh Hub"/>
    <n v="25203.67"/>
    <n v="126.02"/>
    <s v="Credit Card"/>
    <x v="2"/>
    <s v="Website"/>
    <s v="Domestic"/>
    <s v="Retail Purchase"/>
    <s v="High Value"/>
    <x v="4"/>
  </r>
  <r>
    <s v="TXN00172"/>
    <d v="2025-10-04T08:35:07"/>
    <s v="Oct-2025"/>
    <x v="110"/>
    <n v="2630218"/>
    <s v="CARD0205"/>
    <s v="MER010"/>
    <s v="Blue Hub"/>
    <n v="33364.870000000003"/>
    <n v="100.09"/>
    <s v="Net Banking"/>
    <x v="1"/>
    <s v="Mobile App"/>
    <s v="Domestic"/>
    <s v="Cash Withdrawal"/>
    <s v="High Value"/>
    <x v="8"/>
  </r>
  <r>
    <s v="TXN00173"/>
    <d v="2026-05-27T04:53:45"/>
    <s v="May-2026"/>
    <x v="111"/>
    <n v="966778"/>
    <s v="CARD0077"/>
    <s v="MER017"/>
    <s v="Quick Services"/>
    <n v="59734.15"/>
    <n v="298.67"/>
    <s v="Wallet"/>
    <x v="1"/>
    <s v="Mobile App"/>
    <s v="International"/>
    <s v="Retail Purchase"/>
    <s v="High Value"/>
    <x v="5"/>
  </r>
  <r>
    <s v="TXN00174"/>
    <d v="2025-06-17T02:11:09"/>
    <s v="Jun-2025"/>
    <x v="112"/>
    <n v="875930"/>
    <s v="CARD0191"/>
    <s v="MER022"/>
    <s v="Urban Stores"/>
    <n v="13006.49"/>
    <n v="26.01"/>
    <s v="Debit Card"/>
    <x v="0"/>
    <s v="POS"/>
    <s v="International"/>
    <s v="Transfer"/>
    <s v="High Value"/>
    <x v="6"/>
  </r>
  <r>
    <s v="TXN00175"/>
    <d v="2025-12-19T00:43:19"/>
    <s v="Dec-2025"/>
    <x v="49"/>
    <n v="1174912"/>
    <s v="CARD0148"/>
    <s v="MER042"/>
    <s v="Blue Digital"/>
    <n v="24764.48"/>
    <n v="74.290000000000006"/>
    <s v="Wallet"/>
    <x v="0"/>
    <s v="Website"/>
    <s v="International"/>
    <s v="Transfer"/>
    <s v="High Value"/>
    <x v="7"/>
  </r>
  <r>
    <s v="TXN00176"/>
    <d v="2025-11-29T18:35:04"/>
    <s v="Nov-2025"/>
    <x v="55"/>
    <n v="2889113"/>
    <s v="CARD0158"/>
    <s v="MER019"/>
    <s v="Metro Retail"/>
    <n v="29300.880000000001"/>
    <n v="58.6"/>
    <s v="Net Banking"/>
    <x v="2"/>
    <s v="Website"/>
    <s v="Domestic"/>
    <s v="Transfer"/>
    <s v="High Value"/>
    <x v="6"/>
  </r>
  <r>
    <s v="TXN00177"/>
    <d v="2026-03-08T22:59:02"/>
    <s v="Mar-2026"/>
    <x v="113"/>
    <n v="2442319"/>
    <s v="CARD0042"/>
    <s v="MER022"/>
    <s v="Urban Stores"/>
    <n v="36777.379999999997"/>
    <n v="73.55"/>
    <s v="Credit Card"/>
    <x v="0"/>
    <s v="POS"/>
    <s v="International"/>
    <s v="Transfer"/>
    <s v="High Value"/>
    <x v="6"/>
  </r>
  <r>
    <s v="TXN00178"/>
    <d v="2025-10-01T22:02:29"/>
    <s v="Oct-2025"/>
    <x v="79"/>
    <n v="3246146"/>
    <s v="CARD0192"/>
    <s v="MER038"/>
    <s v="Quick Hub"/>
    <n v="38714.19"/>
    <n v="387.14"/>
    <s v="Wallet"/>
    <x v="0"/>
    <s v="Branch"/>
    <s v="International"/>
    <s v="Bill Payment"/>
    <s v="High Value"/>
    <x v="8"/>
  </r>
  <r>
    <s v="TXN00179"/>
    <d v="2025-07-08T00:50:27"/>
    <s v="Jul-2025"/>
    <x v="30"/>
    <n v="2603965"/>
    <s v="CARD0192"/>
    <s v="MER006"/>
    <s v="Nova Pay"/>
    <n v="7589.89"/>
    <n v="37.950000000000003"/>
    <s v="Credit Card"/>
    <x v="0"/>
    <s v="Website"/>
    <s v="International"/>
    <s v="Retail Purchase"/>
    <s v="High Value"/>
    <x v="2"/>
  </r>
  <r>
    <s v="TXN00180"/>
    <d v="2025-04-08T02:19:21"/>
    <s v="Apr-2025"/>
    <x v="69"/>
    <n v="2495426"/>
    <s v="CARD0198"/>
    <s v="MER026"/>
    <s v="Metro Services"/>
    <n v="56213.94"/>
    <n v="112.43"/>
    <s v="Wallet"/>
    <x v="0"/>
    <s v="Mobile App"/>
    <s v="Domestic"/>
    <s v="Transfer"/>
    <s v="High Value"/>
    <x v="0"/>
  </r>
  <r>
    <s v="TXN00181"/>
    <d v="2026-09-25T05:39:12"/>
    <s v="Sep-2026"/>
    <x v="18"/>
    <n v="301738"/>
    <s v="CARD0059"/>
    <s v="MER016"/>
    <s v="Blue Foods"/>
    <n v="5150.24"/>
    <n v="51.5"/>
    <s v="Debit Card"/>
    <x v="3"/>
    <s v="Branch"/>
    <s v="Domestic"/>
    <s v="Bill Payment"/>
    <s v="High Value"/>
    <x v="0"/>
  </r>
  <r>
    <s v="TXN00182"/>
    <d v="2026-06-24T06:12:41"/>
    <s v="Jun-2026"/>
    <x v="54"/>
    <n v="1526615"/>
    <s v="CARD0120"/>
    <s v="MER035"/>
    <s v="Nova Hub"/>
    <n v="1811.42"/>
    <n v="9.06"/>
    <s v="Debit Card"/>
    <x v="2"/>
    <s v="Branch"/>
    <s v="Domestic"/>
    <s v="Bill Payment"/>
    <s v="Standard"/>
    <x v="1"/>
  </r>
  <r>
    <s v="TXN00183"/>
    <d v="2026-08-29T21:45:26"/>
    <s v="Aug-2026"/>
    <x v="42"/>
    <n v="3303519"/>
    <s v="CARD0164"/>
    <s v="MER041"/>
    <s v="Metro Pay"/>
    <n v="27446.95"/>
    <n v="274.47000000000003"/>
    <s v="Wallet"/>
    <x v="2"/>
    <s v="POS"/>
    <s v="International"/>
    <s v="Cash Withdrawal"/>
    <s v="High Value"/>
    <x v="4"/>
  </r>
  <r>
    <s v="TXN00184"/>
    <d v="2026-07-07T08:16:10"/>
    <s v="Jul-2026"/>
    <x v="114"/>
    <n v="2587799"/>
    <s v="CARD0067"/>
    <s v="MER010"/>
    <s v="Blue Hub"/>
    <n v="48302"/>
    <n v="241.51"/>
    <s v="Debit Card"/>
    <x v="0"/>
    <s v="Mobile App"/>
    <s v="Domestic"/>
    <s v="Bill Payment"/>
    <s v="High Value"/>
    <x v="8"/>
  </r>
  <r>
    <s v="TXN00185"/>
    <d v="2025-12-19T10:26:26"/>
    <s v="Dec-2025"/>
    <x v="108"/>
    <n v="3369767"/>
    <s v="CARD0077"/>
    <s v="MER001"/>
    <s v="Urban Services"/>
    <n v="28204.959999999999"/>
    <n v="282.05"/>
    <s v="Net Banking"/>
    <x v="0"/>
    <s v="POS"/>
    <s v="Domestic"/>
    <s v="Retail Purchase"/>
    <s v="High Value"/>
    <x v="2"/>
  </r>
  <r>
    <s v="TXN00186"/>
    <d v="2026-07-16T13:36:14"/>
    <s v="Jul-2026"/>
    <x v="16"/>
    <n v="3376854"/>
    <s v="CARD0064"/>
    <s v="MER011"/>
    <s v="Quick Pay"/>
    <n v="11395.4"/>
    <n v="113.95"/>
    <s v="Net Banking"/>
    <x v="1"/>
    <s v="Branch"/>
    <s v="Domestic"/>
    <s v="Transfer"/>
    <s v="High Value"/>
    <x v="4"/>
  </r>
  <r>
    <s v="TXN00187"/>
    <d v="2025-03-23T15:22:23"/>
    <s v="Mar-2025"/>
    <x v="103"/>
    <n v="2067729"/>
    <s v="CARD0167"/>
    <s v="MER035"/>
    <s v="Nova Hub"/>
    <n v="37556.85"/>
    <n v="187.78"/>
    <s v="Debit Card"/>
    <x v="0"/>
    <s v="Branch"/>
    <s v="Domestic"/>
    <s v="Retail Purchase"/>
    <s v="High Value"/>
    <x v="1"/>
  </r>
  <r>
    <s v="TXN00188"/>
    <d v="2025-07-06T04:58:27"/>
    <s v="Jul-2025"/>
    <x v="80"/>
    <n v="1097886"/>
    <s v="CARD0180"/>
    <s v="MER040"/>
    <s v="Blue Retail"/>
    <n v="17446.759999999998"/>
    <n v="174.47"/>
    <s v="Net Banking"/>
    <x v="2"/>
    <s v="Website"/>
    <s v="International"/>
    <s v="Retail Purchase"/>
    <s v="High Value"/>
    <x v="4"/>
  </r>
  <r>
    <s v="TXN00189"/>
    <d v="2025-06-05T01:48:25"/>
    <s v="Jun-2025"/>
    <x v="103"/>
    <n v="2067729"/>
    <s v="CARD0069"/>
    <s v="MER009"/>
    <s v="Prime Mart"/>
    <n v="58186"/>
    <n v="116.37"/>
    <s v="Net Banking"/>
    <x v="0"/>
    <s v="Mobile App"/>
    <s v="Domestic"/>
    <s v="Retail Purchase"/>
    <s v="High Value"/>
    <x v="5"/>
  </r>
  <r>
    <s v="TXN00190"/>
    <d v="2025-06-04T00:32:10"/>
    <s v="Jun-2025"/>
    <x v="21"/>
    <n v="1483380"/>
    <s v="CARD0096"/>
    <s v="MER030"/>
    <s v="Green Pay"/>
    <n v="29665.42"/>
    <n v="148.33000000000001"/>
    <s v="UPI"/>
    <x v="0"/>
    <s v="POS"/>
    <s v="Domestic"/>
    <s v="Bill Payment"/>
    <s v="High Value"/>
    <x v="8"/>
  </r>
  <r>
    <s v="TXN00191"/>
    <d v="2025-02-27T09:42:11"/>
    <s v="Feb-2025"/>
    <x v="115"/>
    <n v="2716840"/>
    <s v="CARD0050"/>
    <s v="MER017"/>
    <s v="Quick Services"/>
    <n v="46561.61"/>
    <n v="465.62"/>
    <s v="Net Banking"/>
    <x v="0"/>
    <s v="Mobile App"/>
    <s v="Domestic"/>
    <s v="Bill Payment"/>
    <s v="High Value"/>
    <x v="5"/>
  </r>
  <r>
    <s v="TXN00192"/>
    <d v="2026-01-30T16:07:39"/>
    <s v="Jan-2026"/>
    <x v="4"/>
    <n v="2688347"/>
    <s v="CARD0189"/>
    <s v="MER007"/>
    <s v="Blue Hub"/>
    <n v="14905.02"/>
    <n v="44.72"/>
    <s v="Wallet"/>
    <x v="3"/>
    <s v="Website"/>
    <s v="International"/>
    <s v="Cash Withdrawal"/>
    <s v="High Value"/>
    <x v="4"/>
  </r>
  <r>
    <s v="TXN00193"/>
    <d v="2025-11-16T11:45:44"/>
    <s v="Nov-2025"/>
    <x v="67"/>
    <n v="2034552"/>
    <s v="CARD0124"/>
    <s v="MER041"/>
    <s v="Metro Pay"/>
    <n v="9600.83"/>
    <n v="19.2"/>
    <s v="Debit Card"/>
    <x v="2"/>
    <s v="Website"/>
    <s v="International"/>
    <s v="Retail Purchase"/>
    <s v="High Value"/>
    <x v="4"/>
  </r>
  <r>
    <s v="TXN00194"/>
    <d v="2025-08-12T04:06:41"/>
    <s v="Aug-2025"/>
    <x v="20"/>
    <n v="2785330"/>
    <s v="CARD0204"/>
    <s v="MER018"/>
    <s v="Nova Retail"/>
    <n v="14234.35"/>
    <n v="28.47"/>
    <s v="Wallet"/>
    <x v="0"/>
    <s v="Mobile App"/>
    <s v="International"/>
    <s v="Bill Payment"/>
    <s v="High Value"/>
    <x v="3"/>
  </r>
  <r>
    <s v="TXN00195"/>
    <d v="2025-01-10T01:31:44"/>
    <s v="Jan-2025"/>
    <x v="62"/>
    <n v="1352972"/>
    <s v="CARD0198"/>
    <s v="MER006"/>
    <s v="Nova Pay"/>
    <n v="34906.51"/>
    <n v="104.72"/>
    <s v="Credit Card"/>
    <x v="2"/>
    <s v="Website"/>
    <s v="International"/>
    <s v="Retail Purchase"/>
    <s v="High Value"/>
    <x v="2"/>
  </r>
  <r>
    <s v="TXN00196"/>
    <d v="2026-09-26T12:19:17"/>
    <s v="Sep-2026"/>
    <x v="116"/>
    <n v="821062"/>
    <s v="CARD0092"/>
    <s v="MER042"/>
    <s v="Blue Digital"/>
    <n v="55857.84"/>
    <n v="111.72"/>
    <s v="Credit Card"/>
    <x v="3"/>
    <s v="Mobile App"/>
    <s v="Domestic"/>
    <s v="Cash Withdrawal"/>
    <s v="High Value"/>
    <x v="7"/>
  </r>
  <r>
    <s v="TXN00197"/>
    <d v="2025-08-27T11:31:55"/>
    <s v="Aug-2025"/>
    <x v="11"/>
    <n v="2150955"/>
    <s v="CARD0188"/>
    <s v="MER013"/>
    <s v="Quick Retail"/>
    <n v="58902.38"/>
    <n v="294.51"/>
    <s v="UPI"/>
    <x v="1"/>
    <s v="Branch"/>
    <s v="International"/>
    <s v="Bill Payment"/>
    <s v="High Value"/>
    <x v="3"/>
  </r>
  <r>
    <s v="TXN00198"/>
    <d v="2025-09-14T01:26:15"/>
    <s v="Sep-2025"/>
    <x v="117"/>
    <n v="1558103"/>
    <s v="CARD0179"/>
    <s v="MER032"/>
    <s v="Urban Digital"/>
    <n v="29169.599999999999"/>
    <n v="145.85"/>
    <s v="Credit Card"/>
    <x v="0"/>
    <s v="Website"/>
    <s v="International"/>
    <s v="Transfer"/>
    <s v="High Value"/>
    <x v="8"/>
  </r>
  <r>
    <s v="TXN00199"/>
    <d v="2026-04-25T10:01:27"/>
    <s v="Apr-2026"/>
    <x v="118"/>
    <n v="3039300"/>
    <s v="CARD0136"/>
    <s v="MER010"/>
    <s v="Blue Hub"/>
    <n v="52072.94"/>
    <n v="156.22"/>
    <s v="Net Banking"/>
    <x v="0"/>
    <s v="POS"/>
    <s v="International"/>
    <s v="Transfer"/>
    <s v="High Value"/>
    <x v="8"/>
  </r>
  <r>
    <s v="TXN00200"/>
    <d v="2026-04-10T00:01:34"/>
    <s v="Apr-2026"/>
    <x v="75"/>
    <n v="832128"/>
    <s v="CARD0159"/>
    <s v="MER024"/>
    <s v="Metro Stores"/>
    <n v="46577.48"/>
    <n v="139.72999999999999"/>
    <s v="Wallet"/>
    <x v="0"/>
    <s v="Website"/>
    <s v="International"/>
    <s v="Retail Purchase"/>
    <s v="High Value"/>
    <x v="4"/>
  </r>
  <r>
    <s v="TXN00201"/>
    <d v="2026-07-06T14:06:29"/>
    <s v="Jul-2026"/>
    <x v="119"/>
    <n v="2858269"/>
    <s v="CARD0073"/>
    <s v="MER021"/>
    <s v="Fresh Hub"/>
    <n v="11473.18"/>
    <n v="34.42"/>
    <s v="Net Banking"/>
    <x v="2"/>
    <s v="POS"/>
    <s v="Domestic"/>
    <s v="Retail Purchase"/>
    <s v="High Value"/>
    <x v="4"/>
  </r>
  <r>
    <s v="TXN00202"/>
    <d v="2026-06-20T23:59:22"/>
    <s v="Jun-2026"/>
    <x v="101"/>
    <n v="743257"/>
    <s v="CARD0224"/>
    <s v="MER003"/>
    <s v="Fresh Mart"/>
    <n v="4094.12"/>
    <n v="12.28"/>
    <s v="Credit Card"/>
    <x v="1"/>
    <s v="Mobile App"/>
    <s v="International"/>
    <s v="Bill Payment"/>
    <s v="High Value"/>
    <x v="7"/>
  </r>
  <r>
    <s v="TXN00203"/>
    <d v="2025-04-12T01:09:30"/>
    <s v="Apr-2025"/>
    <x v="42"/>
    <n v="3303519"/>
    <s v="CARD0160"/>
    <s v="MER045"/>
    <s v="Blue Services"/>
    <n v="34303.629999999997"/>
    <n v="343.04"/>
    <s v="Wallet"/>
    <x v="1"/>
    <s v="POS"/>
    <s v="Domestic"/>
    <s v="Transfer"/>
    <s v="High Value"/>
    <x v="0"/>
  </r>
  <r>
    <s v="TXN00204"/>
    <d v="2025-08-15T22:03:43"/>
    <s v="Aug-2025"/>
    <x v="104"/>
    <n v="1682577"/>
    <s v="CARD0126"/>
    <s v="MER006"/>
    <s v="Nova Pay"/>
    <n v="43098.93"/>
    <n v="129.30000000000001"/>
    <s v="Net Banking"/>
    <x v="0"/>
    <s v="Mobile App"/>
    <s v="International"/>
    <s v="Cash Withdrawal"/>
    <s v="High Value"/>
    <x v="2"/>
  </r>
  <r>
    <s v="TXN00205"/>
    <d v="2026-01-13T02:07:21"/>
    <s v="Jan-2026"/>
    <x v="50"/>
    <n v="2083055"/>
    <s v="CARD0214"/>
    <s v="MER020"/>
    <s v="Urban Retail"/>
    <n v="49436.21"/>
    <n v="98.87"/>
    <s v="UPI"/>
    <x v="0"/>
    <s v="Website"/>
    <s v="Domestic"/>
    <s v="Retail Purchase"/>
    <s v="High Value"/>
    <x v="3"/>
  </r>
  <r>
    <s v="TXN00206"/>
    <d v="2025-08-25T19:21:25"/>
    <s v="Aug-2025"/>
    <x v="120"/>
    <n v="842597"/>
    <s v="CARD0161"/>
    <s v="MER012"/>
    <s v="Daily Hub"/>
    <n v="23181.33"/>
    <n v="69.540000000000006"/>
    <s v="Wallet"/>
    <x v="0"/>
    <s v="Branch"/>
    <s v="Domestic"/>
    <s v="Transfer"/>
    <s v="High Value"/>
    <x v="2"/>
  </r>
  <r>
    <s v="TXN00207"/>
    <d v="2026-04-15T15:32:57"/>
    <s v="Apr-2026"/>
    <x v="121"/>
    <n v="3369221"/>
    <s v="CARD0103"/>
    <s v="MER033"/>
    <s v="Nova Services"/>
    <n v="52981.16"/>
    <n v="158.94"/>
    <s v="Debit Card"/>
    <x v="0"/>
    <s v="Website"/>
    <s v="International"/>
    <s v="Transfer"/>
    <s v="High Value"/>
    <x v="7"/>
  </r>
  <r>
    <s v="TXN00208"/>
    <d v="2025-11-19T20:01:40"/>
    <s v="Nov-2025"/>
    <x v="114"/>
    <n v="2587799"/>
    <s v="CARD0196"/>
    <s v="MER041"/>
    <s v="Metro Pay"/>
    <n v="59488.63"/>
    <n v="297.44"/>
    <s v="Net Banking"/>
    <x v="0"/>
    <s v="POS"/>
    <s v="Domestic"/>
    <s v="Bill Payment"/>
    <s v="High Value"/>
    <x v="4"/>
  </r>
  <r>
    <s v="TXN00209"/>
    <d v="2026-01-20T20:02:00"/>
    <s v="Jan-2026"/>
    <x v="122"/>
    <n v="2464060"/>
    <s v="CARD0246"/>
    <s v="MER026"/>
    <s v="Metro Services"/>
    <n v="55576.2"/>
    <n v="555.76"/>
    <s v="UPI"/>
    <x v="0"/>
    <s v="Mobile App"/>
    <s v="International"/>
    <s v="Retail Purchase"/>
    <s v="High Value"/>
    <x v="0"/>
  </r>
  <r>
    <s v="TXN00210"/>
    <d v="2026-06-15T04:55:05"/>
    <s v="Jun-2026"/>
    <x v="96"/>
    <n v="3423567"/>
    <s v="CARD0055"/>
    <s v="MER021"/>
    <s v="Fresh Hub"/>
    <n v="59605.38"/>
    <n v="298.02999999999997"/>
    <s v="UPI"/>
    <x v="0"/>
    <s v="POS"/>
    <s v="Domestic"/>
    <s v="Retail Purchase"/>
    <s v="High Value"/>
    <x v="4"/>
  </r>
  <r>
    <s v="TXN00211"/>
    <d v="2025-02-08T16:45:41"/>
    <s v="Feb-2025"/>
    <x v="39"/>
    <n v="1380385"/>
    <s v="CARD0064"/>
    <s v="MER015"/>
    <s v="Metro Pay"/>
    <n v="21403.78"/>
    <n v="107.02"/>
    <s v="Debit Card"/>
    <x v="0"/>
    <s v="POS"/>
    <s v="Domestic"/>
    <s v="Cash Withdrawal"/>
    <s v="High Value"/>
    <x v="3"/>
  </r>
  <r>
    <s v="TXN00212"/>
    <d v="2026-08-06T07:54:59"/>
    <s v="Aug-2026"/>
    <x v="61"/>
    <n v="2458421"/>
    <s v="CARD0125"/>
    <s v="MER045"/>
    <s v="Blue Services"/>
    <n v="44082.53"/>
    <n v="440.83"/>
    <s v="Wallet"/>
    <x v="2"/>
    <s v="Mobile App"/>
    <s v="International"/>
    <s v="Retail Purchase"/>
    <s v="High Value"/>
    <x v="0"/>
  </r>
  <r>
    <s v="TXN00213"/>
    <d v="2026-08-14T13:53:30"/>
    <s v="Aug-2026"/>
    <x v="12"/>
    <n v="1636278"/>
    <s v="CARD0226"/>
    <s v="MER028"/>
    <s v="Prime Pay"/>
    <n v="4800.8"/>
    <n v="24"/>
    <s v="Net Banking"/>
    <x v="0"/>
    <s v="Mobile App"/>
    <s v="Domestic"/>
    <s v="Retail Purchase"/>
    <s v="High Value"/>
    <x v="0"/>
  </r>
  <r>
    <s v="TXN00214"/>
    <d v="2026-01-27T01:58:14"/>
    <s v="Jan-2026"/>
    <x v="25"/>
    <n v="2152609"/>
    <s v="CARD0129"/>
    <s v="MER045"/>
    <s v="Blue Services"/>
    <n v="18356.53"/>
    <n v="55.07"/>
    <s v="Credit Card"/>
    <x v="0"/>
    <s v="Website"/>
    <s v="Domestic"/>
    <s v="Cash Withdrawal"/>
    <s v="High Value"/>
    <x v="0"/>
  </r>
  <r>
    <s v="TXN00215"/>
    <d v="2026-04-02T21:40:05"/>
    <s v="Apr-2026"/>
    <x v="123"/>
    <n v="2445562"/>
    <s v="CARD0202"/>
    <s v="MER026"/>
    <s v="Metro Services"/>
    <n v="34557.769999999997"/>
    <n v="345.58"/>
    <s v="Credit Card"/>
    <x v="0"/>
    <s v="Website"/>
    <s v="International"/>
    <s v="Retail Purchase"/>
    <s v="High Value"/>
    <x v="0"/>
  </r>
  <r>
    <s v="TXN00216"/>
    <d v="2026-05-03T20:48:19"/>
    <s v="May-2026"/>
    <x v="17"/>
    <n v="1702451"/>
    <s v="CARD0103"/>
    <s v="MER033"/>
    <s v="Nova Services"/>
    <n v="44744.37"/>
    <n v="223.72"/>
    <s v="Net Banking"/>
    <x v="0"/>
    <s v="Website"/>
    <s v="Domestic"/>
    <s v="Cash Withdrawal"/>
    <s v="High Value"/>
    <x v="7"/>
  </r>
  <r>
    <s v="TXN00217"/>
    <d v="2026-07-27T07:12:46"/>
    <s v="Jul-2026"/>
    <x v="107"/>
    <n v="1784507"/>
    <s v="CARD0158"/>
    <s v="MER034"/>
    <s v="Urban Retail"/>
    <n v="29322.880000000001"/>
    <n v="87.97"/>
    <s v="Credit Card"/>
    <x v="2"/>
    <s v="Website"/>
    <s v="Domestic"/>
    <s v="Transfer"/>
    <s v="High Value"/>
    <x v="8"/>
  </r>
  <r>
    <s v="TXN00218"/>
    <d v="2026-03-17T11:46:30"/>
    <s v="Mar-2026"/>
    <x v="47"/>
    <n v="1864504"/>
    <s v="CARD0106"/>
    <s v="MER028"/>
    <s v="Prime Pay"/>
    <n v="41115.800000000003"/>
    <n v="82.23"/>
    <s v="Debit Card"/>
    <x v="0"/>
    <s v="POS"/>
    <s v="Domestic"/>
    <s v="Transfer"/>
    <s v="High Value"/>
    <x v="0"/>
  </r>
  <r>
    <s v="TXN00219"/>
    <d v="2025-12-19T21:37:20"/>
    <s v="Dec-2025"/>
    <x v="12"/>
    <n v="1636278"/>
    <s v="CARD0158"/>
    <s v="MER029"/>
    <s v="Fresh Hub"/>
    <n v="39359.050000000003"/>
    <n v="118.08"/>
    <s v="Wallet"/>
    <x v="2"/>
    <s v="Website"/>
    <s v="International"/>
    <s v="Retail Purchase"/>
    <s v="High Value"/>
    <x v="4"/>
  </r>
  <r>
    <s v="TXN00220"/>
    <d v="2025-08-28T07:16:13"/>
    <s v="Aug-2025"/>
    <x v="43"/>
    <n v="2596806"/>
    <s v="CARD0190"/>
    <s v="MER004"/>
    <s v="Daily Digital"/>
    <n v="41153.019999999997"/>
    <n v="82.31"/>
    <s v="Credit Card"/>
    <x v="0"/>
    <s v="Website"/>
    <s v="International"/>
    <s v="Retail Purchase"/>
    <s v="High Value"/>
    <x v="4"/>
  </r>
  <r>
    <s v="TXN00221"/>
    <d v="2025-12-18T04:03:05"/>
    <s v="Dec-2025"/>
    <x v="124"/>
    <n v="932293"/>
    <s v="CARD0190"/>
    <s v="MER035"/>
    <s v="Nova Hub"/>
    <n v="18376.57"/>
    <n v="91.88"/>
    <s v="Credit Card"/>
    <x v="0"/>
    <s v="Website"/>
    <s v="International"/>
    <s v="Cash Withdrawal"/>
    <s v="High Value"/>
    <x v="1"/>
  </r>
  <r>
    <s v="TXN00222"/>
    <d v="2026-09-30T05:08:46"/>
    <s v="Sep-2026"/>
    <x v="39"/>
    <n v="1380385"/>
    <s v="CARD0232"/>
    <s v="MER043"/>
    <s v="Metro Pay"/>
    <n v="41734.76"/>
    <n v="417.35"/>
    <s v="Wallet"/>
    <x v="2"/>
    <s v="Mobile App"/>
    <s v="International"/>
    <s v="Bill Payment"/>
    <s v="High Value"/>
    <x v="0"/>
  </r>
  <r>
    <s v="TXN00223"/>
    <d v="2025-03-03T10:20:26"/>
    <s v="Mar-2025"/>
    <x v="125"/>
    <n v="3304710"/>
    <s v="CARD0120"/>
    <s v="MER042"/>
    <s v="Blue Digital"/>
    <n v="12121.69"/>
    <n v="60.61"/>
    <s v="UPI"/>
    <x v="2"/>
    <s v="Mobile App"/>
    <s v="International"/>
    <s v="Transfer"/>
    <s v="High Value"/>
    <x v="7"/>
  </r>
  <r>
    <s v="TXN00224"/>
    <d v="2026-01-04T03:55:41"/>
    <s v="Jan-2026"/>
    <x v="126"/>
    <n v="977248"/>
    <s v="CARD0098"/>
    <s v="MER033"/>
    <s v="Nova Services"/>
    <n v="1242.79"/>
    <n v="12.43"/>
    <s v="UPI"/>
    <x v="1"/>
    <s v="POS"/>
    <s v="International"/>
    <s v="Retail Purchase"/>
    <s v="Standard"/>
    <x v="7"/>
  </r>
  <r>
    <s v="TXN00225"/>
    <d v="2025-07-10T07:14:26"/>
    <s v="Jul-2025"/>
    <x v="127"/>
    <n v="1771551"/>
    <s v="CARD0064"/>
    <s v="MER034"/>
    <s v="Urban Retail"/>
    <n v="30088.98"/>
    <n v="60.18"/>
    <s v="Debit Card"/>
    <x v="0"/>
    <s v="POS"/>
    <s v="International"/>
    <s v="Cash Withdrawal"/>
    <s v="High Value"/>
    <x v="8"/>
  </r>
  <r>
    <s v="TXN00226"/>
    <d v="2025-06-10T00:40:08"/>
    <s v="Jun-2025"/>
    <x v="128"/>
    <n v="473491"/>
    <s v="CARD0129"/>
    <s v="MER018"/>
    <s v="Nova Retail"/>
    <n v="20872.12"/>
    <n v="104.36"/>
    <s v="UPI"/>
    <x v="0"/>
    <s v="POS"/>
    <s v="International"/>
    <s v="Retail Purchase"/>
    <s v="High Value"/>
    <x v="3"/>
  </r>
  <r>
    <s v="TXN00227"/>
    <d v="2026-07-23T10:12:05"/>
    <s v="Jul-2026"/>
    <x v="129"/>
    <n v="711663"/>
    <s v="CARD0036"/>
    <s v="MER006"/>
    <s v="Nova Pay"/>
    <n v="13612.4"/>
    <n v="136.12"/>
    <s v="Net Banking"/>
    <x v="0"/>
    <s v="Website"/>
    <s v="International"/>
    <s v="Bill Payment"/>
    <s v="High Value"/>
    <x v="2"/>
  </r>
  <r>
    <s v="TXN00228"/>
    <d v="2026-08-10T05:33:41"/>
    <s v="Aug-2026"/>
    <x v="122"/>
    <n v="2464060"/>
    <s v="CARD0139"/>
    <s v="MER009"/>
    <s v="Prime Mart"/>
    <n v="25645.25"/>
    <n v="128.22999999999999"/>
    <s v="Credit Card"/>
    <x v="0"/>
    <s v="Website"/>
    <s v="Domestic"/>
    <s v="Bill Payment"/>
    <s v="High Value"/>
    <x v="5"/>
  </r>
  <r>
    <s v="TXN00229"/>
    <d v="2025-11-13T19:04:16"/>
    <s v="Nov-2025"/>
    <x v="104"/>
    <n v="1682577"/>
    <s v="CARD0239"/>
    <s v="MER037"/>
    <s v="Metro Pay"/>
    <n v="54582.81"/>
    <n v="163.75"/>
    <s v="Credit Card"/>
    <x v="0"/>
    <s v="POS"/>
    <s v="Domestic"/>
    <s v="Retail Purchase"/>
    <s v="High Value"/>
    <x v="2"/>
  </r>
  <r>
    <s v="TXN00230"/>
    <d v="2025-07-08T11:33:48"/>
    <s v="Jul-2025"/>
    <x v="130"/>
    <n v="749164"/>
    <s v="CARD0226"/>
    <s v="MER027"/>
    <s v="Prime Digital"/>
    <n v="50387.4"/>
    <n v="100.77"/>
    <s v="Net Banking"/>
    <x v="0"/>
    <s v="POS"/>
    <s v="International"/>
    <s v="Transfer"/>
    <s v="High Value"/>
    <x v="1"/>
  </r>
  <r>
    <s v="TXN00231"/>
    <d v="2025-06-05T06:50:32"/>
    <s v="Jun-2025"/>
    <x v="94"/>
    <n v="2430547"/>
    <s v="CARD0146"/>
    <s v="MER040"/>
    <s v="Blue Retail"/>
    <n v="6495.61"/>
    <n v="32.479999999999997"/>
    <s v="Credit Card"/>
    <x v="0"/>
    <s v="Website"/>
    <s v="Domestic"/>
    <s v="Retail Purchase"/>
    <s v="High Value"/>
    <x v="4"/>
  </r>
  <r>
    <s v="TXN00232"/>
    <d v="2026-01-03T02:53:37"/>
    <s v="Jan-2026"/>
    <x v="87"/>
    <n v="2445827"/>
    <s v="CARD0096"/>
    <s v="MER012"/>
    <s v="Daily Hub"/>
    <n v="41319.660000000003"/>
    <n v="413.2"/>
    <s v="Net Banking"/>
    <x v="0"/>
    <s v="Branch"/>
    <s v="International"/>
    <s v="Bill Payment"/>
    <s v="High Value"/>
    <x v="2"/>
  </r>
  <r>
    <s v="TXN00233"/>
    <d v="2025-06-17T07:02:10"/>
    <s v="Jun-2025"/>
    <x v="80"/>
    <n v="1097886"/>
    <s v="CARD0244"/>
    <s v="MER027"/>
    <s v="Prime Digital"/>
    <n v="13653.76"/>
    <n v="27.31"/>
    <s v="Credit Card"/>
    <x v="0"/>
    <s v="Website"/>
    <s v="Domestic"/>
    <s v="Retail Purchase"/>
    <s v="High Value"/>
    <x v="1"/>
  </r>
  <r>
    <s v="TXN00234"/>
    <d v="2025-07-01T15:59:37"/>
    <s v="Jul-2025"/>
    <x v="4"/>
    <n v="2688347"/>
    <s v="CARD0228"/>
    <s v="MER016"/>
    <s v="Blue Foods"/>
    <n v="52041.03"/>
    <n v="260.20999999999998"/>
    <s v="Net Banking"/>
    <x v="0"/>
    <s v="Branch"/>
    <s v="Domestic"/>
    <s v="Cash Withdrawal"/>
    <s v="High Value"/>
    <x v="0"/>
  </r>
  <r>
    <s v="TXN00235"/>
    <d v="2025-11-17T14:21:02"/>
    <s v="Nov-2025"/>
    <x v="59"/>
    <n v="971265"/>
    <s v="CARD0028"/>
    <s v="MER029"/>
    <s v="Fresh Hub"/>
    <n v="36729.14"/>
    <n v="73.459999999999994"/>
    <s v="Net Banking"/>
    <x v="2"/>
    <s v="Mobile App"/>
    <s v="Domestic"/>
    <s v="Cash Withdrawal"/>
    <s v="High Value"/>
    <x v="4"/>
  </r>
  <r>
    <s v="TXN00236"/>
    <d v="2025-02-10T20:18:18"/>
    <s v="Feb-2025"/>
    <x v="131"/>
    <n v="1579037"/>
    <s v="CARD0075"/>
    <s v="MER029"/>
    <s v="Fresh Hub"/>
    <n v="23305.13"/>
    <n v="46.61"/>
    <s v="Net Banking"/>
    <x v="2"/>
    <s v="POS"/>
    <s v="International"/>
    <s v="Cash Withdrawal"/>
    <s v="High Value"/>
    <x v="4"/>
  </r>
  <r>
    <s v="TXN00237"/>
    <d v="2025-06-20T15:22:52"/>
    <s v="Jun-2025"/>
    <x v="26"/>
    <n v="1140178"/>
    <s v="CARD0213"/>
    <s v="MER042"/>
    <s v="Blue Digital"/>
    <n v="17735.740000000002"/>
    <n v="53.21"/>
    <s v="Net Banking"/>
    <x v="3"/>
    <s v="Mobile App"/>
    <s v="Domestic"/>
    <s v="Bill Payment"/>
    <s v="High Value"/>
    <x v="7"/>
  </r>
  <r>
    <s v="TXN00238"/>
    <d v="2026-08-23T19:53:38"/>
    <s v="Aug-2026"/>
    <x v="69"/>
    <n v="2495426"/>
    <s v="CARD0046"/>
    <s v="MER030"/>
    <s v="Green Pay"/>
    <n v="8204.8700000000008"/>
    <n v="82.05"/>
    <s v="Wallet"/>
    <x v="0"/>
    <s v="Website"/>
    <s v="International"/>
    <s v="Retail Purchase"/>
    <s v="High Value"/>
    <x v="8"/>
  </r>
  <r>
    <s v="TXN00239"/>
    <d v="2025-09-14T11:47:57"/>
    <s v="Sep-2025"/>
    <x v="6"/>
    <n v="983587"/>
    <s v="CARD0024"/>
    <s v="MER008"/>
    <s v="Daily Services"/>
    <n v="41533.870000000003"/>
    <n v="124.6"/>
    <s v="Net Banking"/>
    <x v="3"/>
    <s v="POS"/>
    <s v="Domestic"/>
    <s v="Cash Withdrawal"/>
    <s v="High Value"/>
    <x v="5"/>
  </r>
  <r>
    <s v="TXN00240"/>
    <d v="2026-06-08T22:17:05"/>
    <s v="Jun-2026"/>
    <x v="132"/>
    <n v="314638"/>
    <s v="CARD0197"/>
    <s v="MER011"/>
    <s v="Quick Pay"/>
    <n v="56990.26"/>
    <n v="569.9"/>
    <s v="Debit Card"/>
    <x v="0"/>
    <s v="Website"/>
    <s v="Domestic"/>
    <s v="Bill Payment"/>
    <s v="High Value"/>
    <x v="4"/>
  </r>
  <r>
    <s v="TXN00241"/>
    <d v="2025-07-03T01:52:05"/>
    <s v="Jul-2025"/>
    <x v="133"/>
    <n v="1331745"/>
    <s v="CARD0161"/>
    <s v="MER012"/>
    <s v="Daily Hub"/>
    <n v="25232.94"/>
    <n v="252.33"/>
    <s v="UPI"/>
    <x v="0"/>
    <s v="Website"/>
    <s v="Domestic"/>
    <s v="Retail Purchase"/>
    <s v="High Value"/>
    <x v="2"/>
  </r>
  <r>
    <s v="TXN00242"/>
    <d v="2026-09-30T09:12:55"/>
    <s v="Sep-2026"/>
    <x v="95"/>
    <n v="2769812"/>
    <s v="CARD0207"/>
    <s v="MER001"/>
    <s v="Urban Services"/>
    <n v="831.25"/>
    <n v="8.31"/>
    <s v="Wallet"/>
    <x v="0"/>
    <s v="Branch"/>
    <s v="Domestic"/>
    <s v="Bill Payment"/>
    <s v="Standard"/>
    <x v="2"/>
  </r>
  <r>
    <s v="TXN00243"/>
    <d v="2026-08-26T17:19:12"/>
    <s v="Aug-2026"/>
    <x v="134"/>
    <n v="984635"/>
    <s v="CARD0226"/>
    <s v="MER036"/>
    <s v="Green Foods"/>
    <n v="27278.94"/>
    <n v="54.56"/>
    <s v="Debit Card"/>
    <x v="0"/>
    <s v="Website"/>
    <s v="Domestic"/>
    <s v="Bill Payment"/>
    <s v="High Value"/>
    <x v="3"/>
  </r>
  <r>
    <s v="TXN00244"/>
    <d v="2025-06-01T02:00:17"/>
    <s v="Jun-2025"/>
    <x v="19"/>
    <n v="2759945"/>
    <s v="CARD0148"/>
    <s v="MER039"/>
    <s v="Fresh Foods"/>
    <n v="39231.29"/>
    <n v="78.459999999999994"/>
    <s v="Debit Card"/>
    <x v="0"/>
    <s v="POS"/>
    <s v="Domestic"/>
    <s v="Retail Purchase"/>
    <s v="High Value"/>
    <x v="4"/>
  </r>
  <r>
    <s v="TXN00245"/>
    <d v="2025-04-22T15:10:51"/>
    <s v="Apr-2025"/>
    <x v="119"/>
    <n v="2858269"/>
    <s v="CARD0170"/>
    <s v="MER045"/>
    <s v="Blue Services"/>
    <n v="59624.74"/>
    <n v="298.12"/>
    <s v="Wallet"/>
    <x v="0"/>
    <s v="Website"/>
    <s v="International"/>
    <s v="Transfer"/>
    <s v="High Value"/>
    <x v="0"/>
  </r>
  <r>
    <s v="TXN00246"/>
    <d v="2025-02-06T03:23:26"/>
    <s v="Feb-2025"/>
    <x v="118"/>
    <n v="3039300"/>
    <s v="CARD0195"/>
    <s v="MER028"/>
    <s v="Prime Pay"/>
    <n v="46133.87"/>
    <n v="461.34"/>
    <s v="Wallet"/>
    <x v="0"/>
    <s v="Mobile App"/>
    <s v="International"/>
    <s v="Cash Withdrawal"/>
    <s v="High Value"/>
    <x v="0"/>
  </r>
  <r>
    <s v="TXN00247"/>
    <d v="2025-05-18T04:26:33"/>
    <s v="May-2025"/>
    <x v="42"/>
    <n v="3303519"/>
    <s v="CARD0054"/>
    <s v="MER045"/>
    <s v="Blue Services"/>
    <n v="41707.699999999997"/>
    <n v="417.08"/>
    <s v="Credit Card"/>
    <x v="0"/>
    <s v="Mobile App"/>
    <s v="Domestic"/>
    <s v="Retail Purchase"/>
    <s v="High Value"/>
    <x v="0"/>
  </r>
  <r>
    <s v="TXN00248"/>
    <d v="2026-05-11T22:01:09"/>
    <s v="May-2026"/>
    <x v="8"/>
    <n v="2069594"/>
    <s v="CARD0156"/>
    <s v="MER021"/>
    <s v="Fresh Hub"/>
    <n v="56040.11"/>
    <n v="280.2"/>
    <s v="Debit Card"/>
    <x v="3"/>
    <s v="POS"/>
    <s v="Domestic"/>
    <s v="Cash Withdrawal"/>
    <s v="High Value"/>
    <x v="4"/>
  </r>
  <r>
    <s v="TXN00249"/>
    <d v="2026-06-17T23:00:18"/>
    <s v="Jun-2026"/>
    <x v="123"/>
    <n v="2445562"/>
    <s v="CARD0050"/>
    <s v="MER001"/>
    <s v="Urban Services"/>
    <n v="29914.69"/>
    <n v="89.74"/>
    <s v="UPI"/>
    <x v="1"/>
    <s v="Mobile App"/>
    <s v="International"/>
    <s v="Retail Purchase"/>
    <s v="High Value"/>
    <x v="2"/>
  </r>
  <r>
    <s v="TXN00250"/>
    <d v="2025-08-01T22:24:09"/>
    <s v="Aug-2025"/>
    <x v="12"/>
    <n v="1636278"/>
    <s v="CARD0144"/>
    <s v="MER041"/>
    <s v="Metro Pay"/>
    <n v="59939.32"/>
    <n v="299.7"/>
    <s v="Credit Card"/>
    <x v="0"/>
    <s v="Mobile App"/>
    <s v="Domestic"/>
    <s v="Transfer"/>
    <s v="High Value"/>
    <x v="4"/>
  </r>
  <r>
    <s v="TXN00251"/>
    <d v="2025-09-18T02:28:11"/>
    <s v="Sep-2025"/>
    <x v="135"/>
    <n v="544647"/>
    <s v="CARD0030"/>
    <s v="MER044"/>
    <s v="Blue Foods"/>
    <n v="18535.580000000002"/>
    <n v="92.68"/>
    <s v="Debit Card"/>
    <x v="0"/>
    <s v="POS"/>
    <s v="International"/>
    <s v="Retail Purchase"/>
    <s v="High Value"/>
    <x v="5"/>
  </r>
  <r>
    <s v="TXN00252"/>
    <d v="2025-06-29T07:03:50"/>
    <s v="Jun-2025"/>
    <x v="54"/>
    <n v="1526615"/>
    <s v="CARD0205"/>
    <s v="MER003"/>
    <s v="Fresh Mart"/>
    <n v="19897.84"/>
    <n v="198.98"/>
    <s v="Credit Card"/>
    <x v="0"/>
    <s v="Branch"/>
    <s v="Domestic"/>
    <s v="Cash Withdrawal"/>
    <s v="High Value"/>
    <x v="7"/>
  </r>
  <r>
    <s v="TXN00253"/>
    <d v="2026-07-04T12:12:03"/>
    <s v="Jul-2026"/>
    <x v="59"/>
    <n v="971265"/>
    <s v="CARD0077"/>
    <s v="MER037"/>
    <s v="Metro Pay"/>
    <n v="27801.96"/>
    <n v="55.6"/>
    <s v="Debit Card"/>
    <x v="1"/>
    <s v="Mobile App"/>
    <s v="Domestic"/>
    <s v="Transfer"/>
    <s v="High Value"/>
    <x v="2"/>
  </r>
  <r>
    <s v="TXN00254"/>
    <d v="2025-12-29T02:24:38"/>
    <s v="Dec-2025"/>
    <x v="5"/>
    <n v="3396603"/>
    <s v="CARD0097"/>
    <s v="MER041"/>
    <s v="Metro Pay"/>
    <n v="58179.839999999997"/>
    <n v="116.36"/>
    <s v="Wallet"/>
    <x v="0"/>
    <s v="Website"/>
    <s v="International"/>
    <s v="Bill Payment"/>
    <s v="High Value"/>
    <x v="4"/>
  </r>
  <r>
    <s v="TXN00255"/>
    <d v="2026-09-02T04:15:15"/>
    <s v="Sep-2026"/>
    <x v="136"/>
    <n v="2081740"/>
    <s v="CARD0070"/>
    <s v="MER027"/>
    <s v="Prime Digital"/>
    <n v="51889.16"/>
    <n v="259.45"/>
    <s v="UPI"/>
    <x v="2"/>
    <s v="Branch"/>
    <s v="Domestic"/>
    <s v="Transfer"/>
    <s v="High Value"/>
    <x v="1"/>
  </r>
  <r>
    <s v="TXN00256"/>
    <d v="2026-04-08T11:01:06"/>
    <s v="Apr-2026"/>
    <x v="62"/>
    <n v="1352972"/>
    <s v="CARD0201"/>
    <s v="MER003"/>
    <s v="Fresh Mart"/>
    <n v="13046.78"/>
    <n v="26.09"/>
    <s v="Credit Card"/>
    <x v="0"/>
    <s v="Mobile App"/>
    <s v="International"/>
    <s v="Retail Purchase"/>
    <s v="High Value"/>
    <x v="7"/>
  </r>
  <r>
    <s v="TXN00257"/>
    <d v="2026-05-10T18:12:23"/>
    <s v="May-2026"/>
    <x v="42"/>
    <n v="3303519"/>
    <s v="CARD0080"/>
    <s v="MER021"/>
    <s v="Fresh Hub"/>
    <n v="9329.26"/>
    <n v="93.29"/>
    <s v="Credit Card"/>
    <x v="0"/>
    <s v="Mobile App"/>
    <s v="Domestic"/>
    <s v="Bill Payment"/>
    <s v="High Value"/>
    <x v="4"/>
  </r>
  <r>
    <s v="TXN00258"/>
    <d v="2025-02-07T16:43:30"/>
    <s v="Feb-2025"/>
    <x v="135"/>
    <n v="544647"/>
    <s v="CARD0080"/>
    <s v="MER003"/>
    <s v="Fresh Mart"/>
    <n v="23316.53"/>
    <n v="46.63"/>
    <s v="Wallet"/>
    <x v="1"/>
    <s v="Mobile App"/>
    <s v="International"/>
    <s v="Cash Withdrawal"/>
    <s v="High Value"/>
    <x v="7"/>
  </r>
  <r>
    <s v="TXN00259"/>
    <d v="2025-02-17T03:45:13"/>
    <s v="Feb-2025"/>
    <x v="100"/>
    <n v="1622654"/>
    <s v="CARD0148"/>
    <s v="MER020"/>
    <s v="Urban Retail"/>
    <n v="31282.6"/>
    <n v="156.41"/>
    <s v="Credit Card"/>
    <x v="2"/>
    <s v="POS"/>
    <s v="Domestic"/>
    <s v="Bill Payment"/>
    <s v="High Value"/>
    <x v="3"/>
  </r>
  <r>
    <s v="TXN00260"/>
    <d v="2025-10-21T10:04:21"/>
    <s v="Oct-2025"/>
    <x v="80"/>
    <n v="1097886"/>
    <s v="CARD0039"/>
    <s v="MER011"/>
    <s v="Quick Pay"/>
    <n v="31983.32"/>
    <n v="63.97"/>
    <s v="Debit Card"/>
    <x v="2"/>
    <s v="Mobile App"/>
    <s v="Domestic"/>
    <s v="Retail Purchase"/>
    <s v="High Value"/>
    <x v="4"/>
  </r>
  <r>
    <s v="TXN00261"/>
    <d v="2025-07-31T19:45:10"/>
    <s v="Jul-2025"/>
    <x v="103"/>
    <n v="2067729"/>
    <s v="CARD0147"/>
    <s v="MER016"/>
    <s v="Blue Foods"/>
    <n v="21084.06"/>
    <n v="63.25"/>
    <s v="Credit Card"/>
    <x v="0"/>
    <s v="Mobile App"/>
    <s v="International"/>
    <s v="Transfer"/>
    <s v="High Value"/>
    <x v="0"/>
  </r>
  <r>
    <s v="TXN00262"/>
    <d v="2026-07-08T16:09:09"/>
    <s v="Jul-2026"/>
    <x v="60"/>
    <n v="2336527"/>
    <s v="CARD0099"/>
    <s v="MER004"/>
    <s v="Daily Digital"/>
    <n v="3138.5"/>
    <n v="6.28"/>
    <s v="UPI"/>
    <x v="0"/>
    <s v="Branch"/>
    <s v="International"/>
    <s v="Bill Payment"/>
    <s v="High Value"/>
    <x v="4"/>
  </r>
  <r>
    <s v="TXN00263"/>
    <d v="2026-09-03T21:34:53"/>
    <s v="Sep-2026"/>
    <x v="36"/>
    <n v="1555758"/>
    <s v="CARD0092"/>
    <s v="MER020"/>
    <s v="Urban Retail"/>
    <n v="37805.29"/>
    <n v="378.05"/>
    <s v="Debit Card"/>
    <x v="2"/>
    <s v="Website"/>
    <s v="Domestic"/>
    <s v="Cash Withdrawal"/>
    <s v="High Value"/>
    <x v="3"/>
  </r>
  <r>
    <s v="TXN00264"/>
    <d v="2026-08-05T04:47:54"/>
    <s v="Aug-2026"/>
    <x v="92"/>
    <n v="1853494"/>
    <s v="CARD0117"/>
    <s v="MER020"/>
    <s v="Urban Retail"/>
    <n v="5665.68"/>
    <n v="56.66"/>
    <s v="Net Banking"/>
    <x v="1"/>
    <s v="Branch"/>
    <s v="Domestic"/>
    <s v="Bill Payment"/>
    <s v="High Value"/>
    <x v="3"/>
  </r>
  <r>
    <s v="TXN00265"/>
    <d v="2025-05-28T22:27:43"/>
    <s v="May-2025"/>
    <x v="30"/>
    <n v="2603965"/>
    <s v="CARD0235"/>
    <s v="MER043"/>
    <s v="Metro Pay"/>
    <n v="15557.36"/>
    <n v="46.67"/>
    <s v="Debit Card"/>
    <x v="0"/>
    <s v="POS"/>
    <s v="International"/>
    <s v="Cash Withdrawal"/>
    <s v="High Value"/>
    <x v="0"/>
  </r>
  <r>
    <s v="TXN00266"/>
    <d v="2025-01-31T02:22:47"/>
    <s v="Jan-2025"/>
    <x v="98"/>
    <n v="735563"/>
    <s v="CARD0073"/>
    <s v="MER023"/>
    <s v="Smart Pay"/>
    <n v="28572.53"/>
    <n v="285.73"/>
    <s v="Wallet"/>
    <x v="0"/>
    <s v="Website"/>
    <s v="Domestic"/>
    <s v="Cash Withdrawal"/>
    <s v="High Value"/>
    <x v="6"/>
  </r>
  <r>
    <s v="TXN00267"/>
    <d v="2025-04-20T11:51:52"/>
    <s v="Apr-2025"/>
    <x v="137"/>
    <n v="2385998"/>
    <s v="CARD0119"/>
    <s v="MER026"/>
    <s v="Metro Services"/>
    <n v="33413.379999999997"/>
    <n v="167.07"/>
    <s v="Wallet"/>
    <x v="0"/>
    <s v="Branch"/>
    <s v="Domestic"/>
    <s v="Bill Payment"/>
    <s v="High Value"/>
    <x v="0"/>
  </r>
  <r>
    <s v="TXN00268"/>
    <d v="2026-07-16T05:47:23"/>
    <s v="Jul-2026"/>
    <x v="124"/>
    <n v="932293"/>
    <s v="CARD0209"/>
    <s v="MER045"/>
    <s v="Blue Services"/>
    <n v="58436.11"/>
    <n v="292.18"/>
    <s v="Wallet"/>
    <x v="0"/>
    <s v="Branch"/>
    <s v="International"/>
    <s v="Transfer"/>
    <s v="High Value"/>
    <x v="0"/>
  </r>
  <r>
    <s v="TXN00269"/>
    <d v="2026-07-12T08:35:53"/>
    <s v="Jul-2026"/>
    <x v="91"/>
    <n v="586557"/>
    <s v="CARD0152"/>
    <s v="MER039"/>
    <s v="Fresh Foods"/>
    <n v="10467.82"/>
    <n v="104.68"/>
    <s v="Net Banking"/>
    <x v="2"/>
    <s v="POS"/>
    <s v="Domestic"/>
    <s v="Cash Withdrawal"/>
    <s v="High Value"/>
    <x v="4"/>
  </r>
  <r>
    <s v="TXN00270"/>
    <d v="2025-06-30T11:12:54"/>
    <s v="Jun-2025"/>
    <x v="138"/>
    <n v="2082112"/>
    <s v="CARD0209"/>
    <s v="MER039"/>
    <s v="Fresh Foods"/>
    <n v="57357.42"/>
    <n v="114.71"/>
    <s v="Net Banking"/>
    <x v="0"/>
    <s v="POS"/>
    <s v="International"/>
    <s v="Retail Purchase"/>
    <s v="High Value"/>
    <x v="4"/>
  </r>
  <r>
    <s v="TXN00271"/>
    <d v="2025-04-03T07:55:22"/>
    <s v="Apr-2025"/>
    <x v="110"/>
    <n v="2630218"/>
    <s v="CARD0170"/>
    <s v="MER010"/>
    <s v="Blue Hub"/>
    <n v="49040.31"/>
    <n v="98.08"/>
    <s v="Net Banking"/>
    <x v="1"/>
    <s v="POS"/>
    <s v="International"/>
    <s v="Cash Withdrawal"/>
    <s v="High Value"/>
    <x v="8"/>
  </r>
  <r>
    <s v="TXN00272"/>
    <d v="2025-07-20T07:29:16"/>
    <s v="Jul-2025"/>
    <x v="44"/>
    <n v="909026"/>
    <s v="CARD0184"/>
    <s v="MER023"/>
    <s v="Smart Pay"/>
    <n v="40922.86"/>
    <n v="204.61"/>
    <s v="UPI"/>
    <x v="0"/>
    <s v="Mobile App"/>
    <s v="International"/>
    <s v="Bill Payment"/>
    <s v="High Value"/>
    <x v="6"/>
  </r>
  <r>
    <s v="TXN00273"/>
    <d v="2025-10-29T02:16:20"/>
    <s v="Oct-2025"/>
    <x v="53"/>
    <n v="284902"/>
    <s v="CARD0181"/>
    <s v="MER036"/>
    <s v="Green Foods"/>
    <n v="22216.45"/>
    <n v="44.43"/>
    <s v="Debit Card"/>
    <x v="0"/>
    <s v="Mobile App"/>
    <s v="International"/>
    <s v="Retail Purchase"/>
    <s v="High Value"/>
    <x v="3"/>
  </r>
  <r>
    <s v="TXN00274"/>
    <d v="2025-08-29T15:43:05"/>
    <s v="Aug-2025"/>
    <x v="55"/>
    <n v="2889113"/>
    <s v="CARD0104"/>
    <s v="MER025"/>
    <s v="Smart Pay"/>
    <n v="42163.09"/>
    <n v="210.82"/>
    <s v="Net Banking"/>
    <x v="0"/>
    <s v="Website"/>
    <s v="Domestic"/>
    <s v="Cash Withdrawal"/>
    <s v="High Value"/>
    <x v="2"/>
  </r>
  <r>
    <s v="TXN00275"/>
    <d v="2025-05-23T06:51:11"/>
    <s v="May-2025"/>
    <x v="81"/>
    <n v="1238971"/>
    <s v="CARD0040"/>
    <s v="MER019"/>
    <s v="Metro Retail"/>
    <n v="33369.75"/>
    <n v="166.85"/>
    <s v="Credit Card"/>
    <x v="1"/>
    <s v="Website"/>
    <s v="Domestic"/>
    <s v="Retail Purchase"/>
    <s v="High Value"/>
    <x v="6"/>
  </r>
  <r>
    <s v="TXN00276"/>
    <d v="2025-01-17T05:14:33"/>
    <s v="Jan-2025"/>
    <x v="1"/>
    <n v="1862084"/>
    <s v="CARD0022"/>
    <s v="MER009"/>
    <s v="Prime Mart"/>
    <n v="43308.22"/>
    <n v="433.08"/>
    <s v="Net Banking"/>
    <x v="0"/>
    <s v="Branch"/>
    <s v="International"/>
    <s v="Bill Payment"/>
    <s v="High Value"/>
    <x v="5"/>
  </r>
  <r>
    <s v="TXN00277"/>
    <d v="2026-04-11T18:32:50"/>
    <s v="Apr-2026"/>
    <x v="40"/>
    <n v="2236054"/>
    <s v="CARD0058"/>
    <s v="MER012"/>
    <s v="Daily Hub"/>
    <n v="25505.07"/>
    <n v="255.05"/>
    <s v="Net Banking"/>
    <x v="1"/>
    <s v="Mobile App"/>
    <s v="International"/>
    <s v="Bill Payment"/>
    <s v="High Value"/>
    <x v="2"/>
  </r>
  <r>
    <s v="TXN00278"/>
    <d v="2026-05-29T09:48:11"/>
    <s v="May-2026"/>
    <x v="136"/>
    <n v="2081740"/>
    <s v="CARD0010"/>
    <s v="MER037"/>
    <s v="Metro Pay"/>
    <n v="24709.19"/>
    <n v="123.55"/>
    <s v="Net Banking"/>
    <x v="0"/>
    <s v="POS"/>
    <s v="Domestic"/>
    <s v="Cash Withdrawal"/>
    <s v="High Value"/>
    <x v="2"/>
  </r>
  <r>
    <s v="TXN00279"/>
    <d v="2025-03-23T05:10:23"/>
    <s v="Mar-2025"/>
    <x v="90"/>
    <n v="3380711"/>
    <s v="CARD0133"/>
    <s v="MER006"/>
    <s v="Nova Pay"/>
    <n v="43838.11"/>
    <n v="219.19"/>
    <s v="Wallet"/>
    <x v="0"/>
    <s v="Mobile App"/>
    <s v="Domestic"/>
    <s v="Cash Withdrawal"/>
    <s v="High Value"/>
    <x v="2"/>
  </r>
  <r>
    <s v="TXN00280"/>
    <d v="2025-03-21T23:04:18"/>
    <s v="Mar-2025"/>
    <x v="70"/>
    <n v="633399"/>
    <s v="CARD0137"/>
    <s v="MER001"/>
    <s v="Urban Services"/>
    <n v="32397.91"/>
    <n v="64.8"/>
    <s v="Net Banking"/>
    <x v="0"/>
    <s v="Branch"/>
    <s v="International"/>
    <s v="Transfer"/>
    <s v="High Value"/>
    <x v="2"/>
  </r>
  <r>
    <s v="TXN00281"/>
    <d v="2026-03-08T12:50:57"/>
    <s v="Mar-2026"/>
    <x v="20"/>
    <n v="2785330"/>
    <s v="CARD0010"/>
    <s v="MER045"/>
    <s v="Blue Services"/>
    <n v="57638.82"/>
    <n v="288.19"/>
    <s v="Wallet"/>
    <x v="1"/>
    <s v="POS"/>
    <s v="International"/>
    <s v="Retail Purchase"/>
    <s v="High Value"/>
    <x v="0"/>
  </r>
  <r>
    <s v="TXN00282"/>
    <d v="2026-04-30T21:02:58"/>
    <s v="Apr-2026"/>
    <x v="76"/>
    <n v="1164822"/>
    <s v="CARD0007"/>
    <s v="MER019"/>
    <s v="Metro Retail"/>
    <n v="10227.85"/>
    <n v="51.14"/>
    <s v="Net Banking"/>
    <x v="0"/>
    <s v="Mobile App"/>
    <s v="Domestic"/>
    <s v="Retail Purchase"/>
    <s v="High Value"/>
    <x v="6"/>
  </r>
  <r>
    <s v="TXN00283"/>
    <d v="2025-10-12T09:10:36"/>
    <s v="Oct-2025"/>
    <x v="74"/>
    <n v="2651559"/>
    <s v="CARD0190"/>
    <s v="MER008"/>
    <s v="Daily Services"/>
    <n v="8039.07"/>
    <n v="40.200000000000003"/>
    <s v="Wallet"/>
    <x v="0"/>
    <s v="Website"/>
    <s v="Domestic"/>
    <s v="Cash Withdrawal"/>
    <s v="High Value"/>
    <x v="5"/>
  </r>
  <r>
    <s v="TXN00284"/>
    <d v="2026-01-14T06:23:09"/>
    <s v="Jan-2026"/>
    <x v="115"/>
    <n v="2716840"/>
    <s v="CARD0205"/>
    <s v="MER034"/>
    <s v="Urban Retail"/>
    <n v="15749.03"/>
    <n v="157.49"/>
    <s v="UPI"/>
    <x v="2"/>
    <s v="POS"/>
    <s v="Domestic"/>
    <s v="Bill Payment"/>
    <s v="High Value"/>
    <x v="8"/>
  </r>
  <r>
    <s v="TXN00285"/>
    <d v="2026-09-02T05:36:44"/>
    <s v="Sep-2026"/>
    <x v="139"/>
    <n v="3081565"/>
    <s v="CARD0061"/>
    <s v="MER043"/>
    <s v="Metro Pay"/>
    <n v="50273.09"/>
    <n v="502.73"/>
    <s v="Net Banking"/>
    <x v="2"/>
    <s v="Website"/>
    <s v="Domestic"/>
    <s v="Transfer"/>
    <s v="High Value"/>
    <x v="0"/>
  </r>
  <r>
    <s v="TXN00286"/>
    <d v="2025-02-25T23:23:02"/>
    <s v="Feb-2025"/>
    <x v="20"/>
    <n v="2785330"/>
    <s v="CARD0119"/>
    <s v="MER026"/>
    <s v="Metro Services"/>
    <n v="15937.29"/>
    <n v="31.87"/>
    <s v="Net Banking"/>
    <x v="1"/>
    <s v="POS"/>
    <s v="International"/>
    <s v="Bill Payment"/>
    <s v="High Value"/>
    <x v="0"/>
  </r>
  <r>
    <s v="TXN00287"/>
    <d v="2026-01-24T14:12:07"/>
    <s v="Jan-2026"/>
    <x v="74"/>
    <n v="2651559"/>
    <s v="CARD0074"/>
    <s v="MER029"/>
    <s v="Fresh Hub"/>
    <n v="28527.919999999998"/>
    <n v="285.27999999999997"/>
    <s v="Net Banking"/>
    <x v="0"/>
    <s v="POS"/>
    <s v="Domestic"/>
    <s v="Retail Purchase"/>
    <s v="High Value"/>
    <x v="4"/>
  </r>
  <r>
    <s v="TXN00288"/>
    <d v="2026-06-29T23:12:28"/>
    <s v="Jun-2026"/>
    <x v="27"/>
    <n v="1180530"/>
    <s v="CARD0070"/>
    <s v="MER018"/>
    <s v="Nova Retail"/>
    <n v="21294.3"/>
    <n v="106.47"/>
    <s v="UPI"/>
    <x v="1"/>
    <s v="POS"/>
    <s v="International"/>
    <s v="Cash Withdrawal"/>
    <s v="High Value"/>
    <x v="3"/>
  </r>
  <r>
    <s v="TXN00289"/>
    <d v="2025-09-05T21:26:05"/>
    <s v="Sep-2025"/>
    <x v="140"/>
    <n v="2789934"/>
    <s v="CARD0141"/>
    <s v="MER001"/>
    <s v="Urban Services"/>
    <n v="46252.79"/>
    <n v="138.76"/>
    <s v="UPI"/>
    <x v="0"/>
    <s v="Mobile App"/>
    <s v="Domestic"/>
    <s v="Cash Withdrawal"/>
    <s v="High Value"/>
    <x v="2"/>
  </r>
  <r>
    <s v="TXN00290"/>
    <d v="2025-04-11T19:07:27"/>
    <s v="Apr-2025"/>
    <x v="103"/>
    <n v="2067729"/>
    <s v="CARD0065"/>
    <s v="MER013"/>
    <s v="Quick Retail"/>
    <n v="6324.05"/>
    <n v="18.97"/>
    <s v="UPI"/>
    <x v="0"/>
    <s v="Mobile App"/>
    <s v="Domestic"/>
    <s v="Retail Purchase"/>
    <s v="High Value"/>
    <x v="3"/>
  </r>
  <r>
    <s v="TXN00291"/>
    <d v="2026-09-01T23:54:22"/>
    <s v="Sep-2026"/>
    <x v="24"/>
    <n v="3004295"/>
    <s v="CARD0023"/>
    <s v="MER039"/>
    <s v="Fresh Foods"/>
    <n v="53648.62"/>
    <n v="107.3"/>
    <s v="Credit Card"/>
    <x v="0"/>
    <s v="Branch"/>
    <s v="Domestic"/>
    <s v="Retail Purchase"/>
    <s v="High Value"/>
    <x v="4"/>
  </r>
  <r>
    <s v="TXN00292"/>
    <d v="2025-07-08T09:13:25"/>
    <s v="Jul-2025"/>
    <x v="46"/>
    <n v="692374"/>
    <s v="CARD0117"/>
    <s v="MER018"/>
    <s v="Nova Retail"/>
    <n v="17744.66"/>
    <n v="35.49"/>
    <s v="Net Banking"/>
    <x v="2"/>
    <s v="POS"/>
    <s v="International"/>
    <s v="Bill Payment"/>
    <s v="High Value"/>
    <x v="3"/>
  </r>
  <r>
    <s v="TXN00293"/>
    <d v="2025-03-17T10:05:44"/>
    <s v="Mar-2025"/>
    <x v="116"/>
    <n v="821062"/>
    <s v="CARD0067"/>
    <s v="MER017"/>
    <s v="Quick Services"/>
    <n v="46648.65"/>
    <n v="233.24"/>
    <s v="Credit Card"/>
    <x v="0"/>
    <s v="Branch"/>
    <s v="Domestic"/>
    <s v="Cash Withdrawal"/>
    <s v="High Value"/>
    <x v="5"/>
  </r>
  <r>
    <s v="TXN00294"/>
    <d v="2025-07-25T22:13:13"/>
    <s v="Jul-2025"/>
    <x v="141"/>
    <n v="425296"/>
    <s v="CARD0139"/>
    <s v="MER028"/>
    <s v="Prime Pay"/>
    <n v="23618.799999999999"/>
    <n v="47.24"/>
    <s v="Credit Card"/>
    <x v="2"/>
    <s v="Mobile App"/>
    <s v="International"/>
    <s v="Transfer"/>
    <s v="High Value"/>
    <x v="0"/>
  </r>
  <r>
    <s v="TXN00295"/>
    <d v="2025-04-16T01:16:09"/>
    <s v="Apr-2025"/>
    <x v="122"/>
    <n v="2464060"/>
    <s v="CARD0005"/>
    <s v="MER032"/>
    <s v="Urban Digital"/>
    <n v="4467.88"/>
    <n v="22.34"/>
    <s v="Credit Card"/>
    <x v="0"/>
    <s v="Mobile App"/>
    <s v="Domestic"/>
    <s v="Cash Withdrawal"/>
    <s v="High Value"/>
    <x v="8"/>
  </r>
  <r>
    <s v="TXN00296"/>
    <d v="2025-09-30T05:31:11"/>
    <s v="Sep-2025"/>
    <x v="3"/>
    <n v="1300603"/>
    <s v="CARD0182"/>
    <s v="MER032"/>
    <s v="Urban Digital"/>
    <n v="42033.31"/>
    <n v="84.07"/>
    <s v="Net Banking"/>
    <x v="3"/>
    <s v="Branch"/>
    <s v="International"/>
    <s v="Retail Purchase"/>
    <s v="High Value"/>
    <x v="8"/>
  </r>
  <r>
    <s v="TXN00297"/>
    <d v="2026-07-08T08:13:22"/>
    <s v="Jul-2026"/>
    <x v="6"/>
    <n v="983587"/>
    <s v="CARD0146"/>
    <s v="MER035"/>
    <s v="Nova Hub"/>
    <n v="298.11"/>
    <n v="2.98"/>
    <s v="Debit Card"/>
    <x v="3"/>
    <s v="POS"/>
    <s v="International"/>
    <s v="Cash Withdrawal"/>
    <s v="Standard"/>
    <x v="1"/>
  </r>
  <r>
    <s v="TXN00298"/>
    <d v="2025-02-26T23:01:13"/>
    <s v="Feb-2025"/>
    <x v="137"/>
    <n v="2385998"/>
    <s v="CARD0219"/>
    <s v="MER022"/>
    <s v="Urban Stores"/>
    <n v="59821.25"/>
    <n v="299.11"/>
    <s v="UPI"/>
    <x v="2"/>
    <s v="Branch"/>
    <s v="International"/>
    <s v="Bill Payment"/>
    <s v="High Value"/>
    <x v="6"/>
  </r>
  <r>
    <s v="TXN00299"/>
    <d v="2025-06-30T20:11:16"/>
    <s v="Jun-2025"/>
    <x v="142"/>
    <n v="1923883"/>
    <s v="CARD0179"/>
    <s v="MER025"/>
    <s v="Smart Pay"/>
    <n v="2455.94"/>
    <n v="7.37"/>
    <s v="UPI"/>
    <x v="0"/>
    <s v="POS"/>
    <s v="International"/>
    <s v="Retail Purchase"/>
    <s v="Standard"/>
    <x v="2"/>
  </r>
  <r>
    <s v="TXN00300"/>
    <d v="2026-03-25T06:53:53"/>
    <s v="Mar-2026"/>
    <x v="2"/>
    <n v="3367631"/>
    <s v="CARD0100"/>
    <s v="MER005"/>
    <s v="Prime Foods"/>
    <n v="8482.58"/>
    <n v="25.45"/>
    <s v="Wallet"/>
    <x v="0"/>
    <s v="POS"/>
    <s v="International"/>
    <s v="Cash Withdrawal"/>
    <s v="High Value"/>
    <x v="6"/>
  </r>
  <r>
    <s v="TXN00301"/>
    <d v="2025-01-17T01:20:55"/>
    <s v="Jan-2025"/>
    <x v="143"/>
    <n v="1693644"/>
    <s v="CARD0031"/>
    <s v="MER014"/>
    <s v="Daily Stores"/>
    <n v="20423.18"/>
    <n v="40.85"/>
    <s v="Wallet"/>
    <x v="0"/>
    <s v="Branch"/>
    <s v="Domestic"/>
    <s v="Bill Payment"/>
    <s v="High Value"/>
    <x v="0"/>
  </r>
  <r>
    <s v="TXN00302"/>
    <d v="2025-03-15T01:20:33"/>
    <s v="Mar-2025"/>
    <x v="71"/>
    <n v="2635050"/>
    <s v="CARD0233"/>
    <s v="MER040"/>
    <s v="Blue Retail"/>
    <n v="44154.04"/>
    <n v="88.31"/>
    <s v="UPI"/>
    <x v="0"/>
    <s v="Website"/>
    <s v="Domestic"/>
    <s v="Retail Purchase"/>
    <s v="High Value"/>
    <x v="4"/>
  </r>
  <r>
    <s v="TXN00303"/>
    <d v="2025-06-26T23:02:04"/>
    <s v="Jun-2025"/>
    <x v="144"/>
    <n v="2145861"/>
    <s v="CARD0157"/>
    <s v="MER011"/>
    <s v="Quick Pay"/>
    <n v="3092.48"/>
    <n v="6.18"/>
    <s v="Wallet"/>
    <x v="0"/>
    <s v="Mobile App"/>
    <s v="Domestic"/>
    <s v="Retail Purchase"/>
    <s v="High Value"/>
    <x v="4"/>
  </r>
  <r>
    <s v="TXN00304"/>
    <d v="2026-05-25T21:39:44"/>
    <s v="May-2026"/>
    <x v="8"/>
    <n v="2069594"/>
    <s v="CARD0087"/>
    <s v="MER044"/>
    <s v="Blue Foods"/>
    <n v="47970.6"/>
    <n v="143.91"/>
    <s v="Net Banking"/>
    <x v="0"/>
    <s v="POS"/>
    <s v="Domestic"/>
    <s v="Bill Payment"/>
    <s v="High Value"/>
    <x v="5"/>
  </r>
  <r>
    <s v="TXN00305"/>
    <d v="2025-11-26T07:45:48"/>
    <s v="Nov-2025"/>
    <x v="145"/>
    <n v="2143143"/>
    <s v="CARD0031"/>
    <s v="MER018"/>
    <s v="Nova Retail"/>
    <n v="45877.25"/>
    <n v="229.39"/>
    <s v="Credit Card"/>
    <x v="0"/>
    <s v="Branch"/>
    <s v="Domestic"/>
    <s v="Transfer"/>
    <s v="High Value"/>
    <x v="3"/>
  </r>
  <r>
    <s v="TXN00306"/>
    <d v="2026-07-21T06:00:27"/>
    <s v="Jul-2026"/>
    <x v="1"/>
    <n v="1862084"/>
    <s v="CARD0026"/>
    <s v="MER041"/>
    <s v="Metro Pay"/>
    <n v="26375.81"/>
    <n v="52.75"/>
    <s v="Wallet"/>
    <x v="3"/>
    <s v="Branch"/>
    <s v="Domestic"/>
    <s v="Retail Purchase"/>
    <s v="High Value"/>
    <x v="4"/>
  </r>
  <r>
    <s v="TXN00307"/>
    <d v="2026-05-14T02:56:20"/>
    <s v="May-2026"/>
    <x v="87"/>
    <n v="2445827"/>
    <s v="CARD0152"/>
    <s v="MER019"/>
    <s v="Metro Retail"/>
    <n v="480.34"/>
    <n v="0.96"/>
    <s v="Net Banking"/>
    <x v="0"/>
    <s v="Branch"/>
    <s v="Domestic"/>
    <s v="Bill Payment"/>
    <s v="Standard"/>
    <x v="6"/>
  </r>
  <r>
    <s v="TXN00308"/>
    <d v="2025-05-27T23:17:43"/>
    <s v="May-2025"/>
    <x v="61"/>
    <n v="2458421"/>
    <s v="CARD0157"/>
    <s v="MER045"/>
    <s v="Blue Services"/>
    <n v="16329.89"/>
    <n v="48.99"/>
    <s v="UPI"/>
    <x v="0"/>
    <s v="Website"/>
    <s v="International"/>
    <s v="Retail Purchase"/>
    <s v="High Value"/>
    <x v="0"/>
  </r>
  <r>
    <s v="TXN00309"/>
    <d v="2025-11-05T12:39:53"/>
    <s v="Nov-2025"/>
    <x v="24"/>
    <n v="3004295"/>
    <s v="CARD0136"/>
    <s v="MER007"/>
    <s v="Blue Hub"/>
    <n v="25185.27"/>
    <n v="75.56"/>
    <s v="Wallet"/>
    <x v="0"/>
    <s v="POS"/>
    <s v="Domestic"/>
    <s v="Cash Withdrawal"/>
    <s v="High Value"/>
    <x v="4"/>
  </r>
  <r>
    <s v="TXN00310"/>
    <d v="2025-08-02T10:03:51"/>
    <s v="Aug-2025"/>
    <x v="138"/>
    <n v="2082112"/>
    <s v="CARD0217"/>
    <s v="MER031"/>
    <s v="Daily Digital"/>
    <n v="3278.83"/>
    <n v="9.84"/>
    <s v="Net Banking"/>
    <x v="0"/>
    <s v="Website"/>
    <s v="Domestic"/>
    <s v="Retail Purchase"/>
    <s v="High Value"/>
    <x v="3"/>
  </r>
  <r>
    <s v="TXN00311"/>
    <d v="2025-02-25T23:28:43"/>
    <s v="Feb-2025"/>
    <x v="27"/>
    <n v="1180530"/>
    <s v="CARD0158"/>
    <s v="MER030"/>
    <s v="Green Pay"/>
    <n v="21915.16"/>
    <n v="109.58"/>
    <s v="UPI"/>
    <x v="0"/>
    <s v="Mobile App"/>
    <s v="Domestic"/>
    <s v="Bill Payment"/>
    <s v="High Value"/>
    <x v="8"/>
  </r>
  <r>
    <s v="TXN00312"/>
    <d v="2025-06-11T01:03:29"/>
    <s v="Jun-2025"/>
    <x v="146"/>
    <n v="478549"/>
    <s v="CARD0152"/>
    <s v="MER038"/>
    <s v="Quick Hub"/>
    <n v="29155.18"/>
    <n v="87.47"/>
    <s v="Debit Card"/>
    <x v="0"/>
    <s v="Branch"/>
    <s v="Domestic"/>
    <s v="Transfer"/>
    <s v="High Value"/>
    <x v="8"/>
  </r>
  <r>
    <s v="TXN00313"/>
    <d v="2025-08-24T04:00:35"/>
    <s v="Aug-2025"/>
    <x v="58"/>
    <n v="347331"/>
    <s v="CARD0097"/>
    <s v="MER015"/>
    <s v="Metro Pay"/>
    <n v="19635.32"/>
    <n v="196.35"/>
    <s v="UPI"/>
    <x v="0"/>
    <s v="Branch"/>
    <s v="International"/>
    <s v="Retail Purchase"/>
    <s v="High Value"/>
    <x v="3"/>
  </r>
  <r>
    <s v="TXN00314"/>
    <d v="2026-03-23T05:16:37"/>
    <s v="Mar-2026"/>
    <x v="38"/>
    <n v="1621823"/>
    <s v="CARD0096"/>
    <s v="MER009"/>
    <s v="Prime Mart"/>
    <n v="13048.29"/>
    <n v="39.14"/>
    <s v="Net Banking"/>
    <x v="0"/>
    <s v="Website"/>
    <s v="International"/>
    <s v="Transfer"/>
    <s v="High Value"/>
    <x v="5"/>
  </r>
  <r>
    <s v="TXN00315"/>
    <d v="2025-07-27T12:13:45"/>
    <s v="Jul-2025"/>
    <x v="28"/>
    <n v="3196853"/>
    <s v="CARD0035"/>
    <s v="MER008"/>
    <s v="Daily Services"/>
    <n v="7719.98"/>
    <n v="15.44"/>
    <s v="Net Banking"/>
    <x v="2"/>
    <s v="Branch"/>
    <s v="International"/>
    <s v="Bill Payment"/>
    <s v="High Value"/>
    <x v="5"/>
  </r>
  <r>
    <s v="TXN00316"/>
    <d v="2025-12-18T08:00:16"/>
    <s v="Dec-2025"/>
    <x v="49"/>
    <n v="1174912"/>
    <s v="CARD0249"/>
    <s v="MER036"/>
    <s v="Green Foods"/>
    <n v="53195.9"/>
    <n v="159.59"/>
    <s v="Credit Card"/>
    <x v="0"/>
    <s v="Mobile App"/>
    <s v="International"/>
    <s v="Cash Withdrawal"/>
    <s v="High Value"/>
    <x v="3"/>
  </r>
  <r>
    <s v="TXN00317"/>
    <d v="2025-08-10T21:32:19"/>
    <s v="Aug-2025"/>
    <x v="8"/>
    <n v="2069594"/>
    <s v="CARD0189"/>
    <s v="MER016"/>
    <s v="Blue Foods"/>
    <n v="28461.99"/>
    <n v="56.92"/>
    <s v="Credit Card"/>
    <x v="0"/>
    <s v="POS"/>
    <s v="International"/>
    <s v="Bill Payment"/>
    <s v="High Value"/>
    <x v="0"/>
  </r>
  <r>
    <s v="TXN00318"/>
    <d v="2026-08-29T05:25:25"/>
    <s v="Aug-2026"/>
    <x v="132"/>
    <n v="314638"/>
    <s v="CARD0011"/>
    <s v="MER031"/>
    <s v="Daily Digital"/>
    <n v="54833.91"/>
    <n v="548.34"/>
    <s v="Wallet"/>
    <x v="1"/>
    <s v="Mobile App"/>
    <s v="International"/>
    <s v="Cash Withdrawal"/>
    <s v="High Value"/>
    <x v="3"/>
  </r>
  <r>
    <s v="TXN00319"/>
    <d v="2026-05-06T03:34:04"/>
    <s v="May-2026"/>
    <x v="147"/>
    <n v="585020"/>
    <s v="CARD0188"/>
    <s v="MER027"/>
    <s v="Prime Digital"/>
    <n v="27201.24"/>
    <n v="54.4"/>
    <s v="Credit Card"/>
    <x v="0"/>
    <s v="Website"/>
    <s v="International"/>
    <s v="Transfer"/>
    <s v="High Value"/>
    <x v="1"/>
  </r>
  <r>
    <s v="TXN00320"/>
    <d v="2025-09-02T23:34:47"/>
    <s v="Sep-2025"/>
    <x v="148"/>
    <n v="1840046"/>
    <s v="CARD0181"/>
    <s v="MER030"/>
    <s v="Green Pay"/>
    <n v="59937.2"/>
    <n v="299.69"/>
    <s v="Wallet"/>
    <x v="0"/>
    <s v="Mobile App"/>
    <s v="International"/>
    <s v="Cash Withdrawal"/>
    <s v="High Value"/>
    <x v="8"/>
  </r>
  <r>
    <s v="TXN00321"/>
    <d v="2025-05-22T14:45:31"/>
    <s v="May-2025"/>
    <x v="73"/>
    <n v="596723"/>
    <s v="CARD0001"/>
    <s v="MER041"/>
    <s v="Metro Pay"/>
    <n v="11178.25"/>
    <n v="111.78"/>
    <s v="UPI"/>
    <x v="1"/>
    <s v="Branch"/>
    <s v="International"/>
    <s v="Retail Purchase"/>
    <s v="High Value"/>
    <x v="4"/>
  </r>
  <r>
    <s v="TXN00322"/>
    <d v="2025-10-31T15:30:23"/>
    <s v="Oct-2025"/>
    <x v="138"/>
    <n v="2082112"/>
    <s v="CARD0021"/>
    <s v="MER040"/>
    <s v="Blue Retail"/>
    <n v="45197.99"/>
    <n v="135.59"/>
    <s v="Debit Card"/>
    <x v="2"/>
    <s v="Mobile App"/>
    <s v="International"/>
    <s v="Retail Purchase"/>
    <s v="High Value"/>
    <x v="4"/>
  </r>
  <r>
    <s v="TXN00323"/>
    <d v="2025-04-24T13:56:34"/>
    <s v="Apr-2025"/>
    <x v="15"/>
    <n v="1202837"/>
    <s v="CARD0045"/>
    <s v="MER042"/>
    <s v="Blue Digital"/>
    <n v="21998.89"/>
    <n v="109.99"/>
    <s v="Wallet"/>
    <x v="0"/>
    <s v="Mobile App"/>
    <s v="Domestic"/>
    <s v="Bill Payment"/>
    <s v="High Value"/>
    <x v="7"/>
  </r>
  <r>
    <s v="TXN00324"/>
    <d v="2025-12-09T08:41:18"/>
    <s v="Dec-2025"/>
    <x v="89"/>
    <n v="1275615"/>
    <s v="CARD0083"/>
    <s v="MER023"/>
    <s v="Smart Pay"/>
    <n v="32424.07"/>
    <n v="97.27"/>
    <s v="Debit Card"/>
    <x v="2"/>
    <s v="Branch"/>
    <s v="International"/>
    <s v="Retail Purchase"/>
    <s v="High Value"/>
    <x v="6"/>
  </r>
  <r>
    <s v="TXN00325"/>
    <d v="2025-03-06T13:34:25"/>
    <s v="Mar-2025"/>
    <x v="71"/>
    <n v="2635050"/>
    <s v="CARD0182"/>
    <s v="MER035"/>
    <s v="Nova Hub"/>
    <n v="20779.07"/>
    <n v="41.56"/>
    <s v="Wallet"/>
    <x v="0"/>
    <s v="POS"/>
    <s v="International"/>
    <s v="Transfer"/>
    <s v="High Value"/>
    <x v="1"/>
  </r>
  <r>
    <s v="TXN00326"/>
    <d v="2025-03-09T06:51:27"/>
    <s v="Mar-2025"/>
    <x v="149"/>
    <n v="1234463"/>
    <s v="CARD0230"/>
    <s v="MER012"/>
    <s v="Daily Hub"/>
    <n v="53525"/>
    <n v="107.05"/>
    <s v="Debit Card"/>
    <x v="0"/>
    <s v="Mobile App"/>
    <s v="Domestic"/>
    <s v="Bill Payment"/>
    <s v="High Value"/>
    <x v="2"/>
  </r>
  <r>
    <s v="TXN00327"/>
    <d v="2025-10-10T04:04:43"/>
    <s v="Oct-2025"/>
    <x v="59"/>
    <n v="971265"/>
    <s v="CARD0244"/>
    <s v="MER041"/>
    <s v="Metro Pay"/>
    <n v="41855.22"/>
    <n v="125.57"/>
    <s v="UPI"/>
    <x v="0"/>
    <s v="POS"/>
    <s v="International"/>
    <s v="Bill Payment"/>
    <s v="High Value"/>
    <x v="4"/>
  </r>
  <r>
    <s v="TXN00328"/>
    <d v="2026-05-01T12:37:22"/>
    <s v="May-2026"/>
    <x v="123"/>
    <n v="2445562"/>
    <s v="CARD0049"/>
    <s v="MER005"/>
    <s v="Prime Foods"/>
    <n v="25265.79"/>
    <n v="50.53"/>
    <s v="UPI"/>
    <x v="2"/>
    <s v="Website"/>
    <s v="International"/>
    <s v="Cash Withdrawal"/>
    <s v="High Value"/>
    <x v="6"/>
  </r>
  <r>
    <s v="TXN00329"/>
    <d v="2026-08-16T12:28:50"/>
    <s v="Aug-2026"/>
    <x v="150"/>
    <n v="1710338"/>
    <s v="CARD0171"/>
    <s v="MER045"/>
    <s v="Blue Services"/>
    <n v="39380.050000000003"/>
    <n v="393.8"/>
    <s v="Wallet"/>
    <x v="1"/>
    <s v="Branch"/>
    <s v="International"/>
    <s v="Transfer"/>
    <s v="High Value"/>
    <x v="0"/>
  </r>
  <r>
    <s v="TXN00330"/>
    <d v="2026-08-04T04:48:15"/>
    <s v="Aug-2026"/>
    <x v="22"/>
    <n v="1629916"/>
    <s v="CARD0124"/>
    <s v="MER024"/>
    <s v="Metro Stores"/>
    <n v="53907.09"/>
    <n v="269.54000000000002"/>
    <s v="Debit Card"/>
    <x v="0"/>
    <s v="Mobile App"/>
    <s v="Domestic"/>
    <s v="Transfer"/>
    <s v="High Value"/>
    <x v="4"/>
  </r>
  <r>
    <s v="TXN00331"/>
    <d v="2025-10-19T16:35:59"/>
    <s v="Oct-2025"/>
    <x v="57"/>
    <n v="3457954"/>
    <s v="CARD0074"/>
    <s v="MER012"/>
    <s v="Daily Hub"/>
    <n v="57377.21"/>
    <n v="172.13"/>
    <s v="Credit Card"/>
    <x v="0"/>
    <s v="Website"/>
    <s v="Domestic"/>
    <s v="Bill Payment"/>
    <s v="High Value"/>
    <x v="2"/>
  </r>
  <r>
    <s v="TXN00332"/>
    <d v="2025-04-30T01:29:53"/>
    <s v="Apr-2025"/>
    <x v="151"/>
    <n v="1122211"/>
    <s v="CARD0095"/>
    <s v="MER012"/>
    <s v="Daily Hub"/>
    <n v="59627"/>
    <n v="596.27"/>
    <s v="Credit Card"/>
    <x v="0"/>
    <s v="Mobile App"/>
    <s v="International"/>
    <s v="Transfer"/>
    <s v="High Value"/>
    <x v="2"/>
  </r>
  <r>
    <s v="TXN00333"/>
    <d v="2025-06-01T13:34:38"/>
    <s v="Jun-2025"/>
    <x v="6"/>
    <n v="983587"/>
    <s v="CARD0236"/>
    <s v="MER002"/>
    <s v="Daily Stores"/>
    <n v="26960.9"/>
    <n v="134.80000000000001"/>
    <s v="Net Banking"/>
    <x v="3"/>
    <s v="Branch"/>
    <s v="Domestic"/>
    <s v="Cash Withdrawal"/>
    <s v="High Value"/>
    <x v="6"/>
  </r>
  <r>
    <s v="TXN00334"/>
    <d v="2025-11-24T05:40:54"/>
    <s v="Nov-2025"/>
    <x v="93"/>
    <n v="1157267"/>
    <s v="CARD0181"/>
    <s v="MER019"/>
    <s v="Metro Retail"/>
    <n v="357.23"/>
    <n v="1.79"/>
    <s v="Net Banking"/>
    <x v="2"/>
    <s v="POS"/>
    <s v="Domestic"/>
    <s v="Cash Withdrawal"/>
    <s v="Standard"/>
    <x v="6"/>
  </r>
  <r>
    <s v="TXN00335"/>
    <d v="2025-12-13T04:05:21"/>
    <s v="Dec-2025"/>
    <x v="102"/>
    <n v="2405316"/>
    <s v="CARD0142"/>
    <s v="MER008"/>
    <s v="Daily Services"/>
    <n v="43925.27"/>
    <n v="131.78"/>
    <s v="Debit Card"/>
    <x v="3"/>
    <s v="Mobile App"/>
    <s v="International"/>
    <s v="Bill Payment"/>
    <s v="High Value"/>
    <x v="5"/>
  </r>
  <r>
    <s v="TXN00336"/>
    <d v="2026-04-02T13:00:44"/>
    <s v="Apr-2026"/>
    <x v="39"/>
    <n v="1380385"/>
    <s v="CARD0135"/>
    <s v="MER015"/>
    <s v="Metro Pay"/>
    <n v="5639.62"/>
    <n v="16.920000000000002"/>
    <s v="Debit Card"/>
    <x v="0"/>
    <s v="Website"/>
    <s v="Domestic"/>
    <s v="Retail Purchase"/>
    <s v="High Value"/>
    <x v="3"/>
  </r>
  <r>
    <s v="TXN00337"/>
    <d v="2026-07-06T16:13:07"/>
    <s v="Jul-2026"/>
    <x v="97"/>
    <n v="2532613"/>
    <s v="CARD0126"/>
    <s v="MER021"/>
    <s v="Fresh Hub"/>
    <n v="40656.1"/>
    <n v="406.56"/>
    <s v="Wallet"/>
    <x v="3"/>
    <s v="Mobile App"/>
    <s v="International"/>
    <s v="Cash Withdrawal"/>
    <s v="High Value"/>
    <x v="4"/>
  </r>
  <r>
    <s v="TXN00338"/>
    <d v="2025-06-01T15:34:11"/>
    <s v="Jun-2025"/>
    <x v="106"/>
    <n v="498752"/>
    <s v="CARD0090"/>
    <s v="MER020"/>
    <s v="Urban Retail"/>
    <n v="22240.84"/>
    <n v="111.2"/>
    <s v="Net Banking"/>
    <x v="0"/>
    <s v="Mobile App"/>
    <s v="Domestic"/>
    <s v="Cash Withdrawal"/>
    <s v="High Value"/>
    <x v="3"/>
  </r>
  <r>
    <s v="TXN00339"/>
    <d v="2026-03-02T16:06:39"/>
    <s v="Mar-2026"/>
    <x v="81"/>
    <n v="1238971"/>
    <s v="CARD0036"/>
    <s v="MER038"/>
    <s v="Quick Hub"/>
    <n v="17389.18"/>
    <n v="173.89"/>
    <s v="Wallet"/>
    <x v="1"/>
    <s v="Mobile App"/>
    <s v="Domestic"/>
    <s v="Bill Payment"/>
    <s v="High Value"/>
    <x v="8"/>
  </r>
  <r>
    <s v="TXN00340"/>
    <d v="2025-11-07T17:16:48"/>
    <s v="Nov-2025"/>
    <x v="145"/>
    <n v="2143143"/>
    <s v="CARD0239"/>
    <s v="MER038"/>
    <s v="Quick Hub"/>
    <n v="59304.11"/>
    <n v="296.52"/>
    <s v="Net Banking"/>
    <x v="0"/>
    <s v="Mobile App"/>
    <s v="Domestic"/>
    <s v="Cash Withdrawal"/>
    <s v="High Value"/>
    <x v="8"/>
  </r>
  <r>
    <s v="TXN00341"/>
    <d v="2025-10-07T15:05:31"/>
    <s v="Oct-2025"/>
    <x v="58"/>
    <n v="347331"/>
    <s v="CARD0048"/>
    <s v="MER025"/>
    <s v="Smart Pay"/>
    <n v="10576.09"/>
    <n v="31.73"/>
    <s v="Debit Card"/>
    <x v="0"/>
    <s v="Branch"/>
    <s v="Domestic"/>
    <s v="Transfer"/>
    <s v="High Value"/>
    <x v="2"/>
  </r>
  <r>
    <s v="TXN00342"/>
    <d v="2026-08-23T11:03:54"/>
    <s v="Aug-2026"/>
    <x v="69"/>
    <n v="2495426"/>
    <s v="CARD0203"/>
    <s v="MER001"/>
    <s v="Urban Services"/>
    <n v="29696.62"/>
    <n v="89.09"/>
    <s v="Credit Card"/>
    <x v="2"/>
    <s v="POS"/>
    <s v="International"/>
    <s v="Cash Withdrawal"/>
    <s v="High Value"/>
    <x v="2"/>
  </r>
  <r>
    <s v="TXN00343"/>
    <d v="2025-05-08T23:48:16"/>
    <s v="May-2025"/>
    <x v="2"/>
    <n v="3367631"/>
    <s v="CARD0233"/>
    <s v="MER045"/>
    <s v="Blue Services"/>
    <n v="39988.22"/>
    <n v="119.96"/>
    <s v="Credit Card"/>
    <x v="0"/>
    <s v="Mobile App"/>
    <s v="Domestic"/>
    <s v="Transfer"/>
    <s v="High Value"/>
    <x v="0"/>
  </r>
  <r>
    <s v="TXN00344"/>
    <d v="2026-05-20T02:25:45"/>
    <s v="May-2026"/>
    <x v="41"/>
    <n v="2107578"/>
    <s v="CARD0112"/>
    <s v="MER017"/>
    <s v="Quick Services"/>
    <n v="35973.589999999997"/>
    <n v="359.74"/>
    <s v="Net Banking"/>
    <x v="0"/>
    <s v="Mobile App"/>
    <s v="International"/>
    <s v="Retail Purchase"/>
    <s v="High Value"/>
    <x v="5"/>
  </r>
  <r>
    <s v="TXN00345"/>
    <d v="2025-09-23T05:55:44"/>
    <s v="Sep-2025"/>
    <x v="147"/>
    <n v="585020"/>
    <s v="CARD0035"/>
    <s v="MER023"/>
    <s v="Smart Pay"/>
    <n v="34941.1"/>
    <n v="349.41"/>
    <s v="Credit Card"/>
    <x v="0"/>
    <s v="Mobile App"/>
    <s v="International"/>
    <s v="Transfer"/>
    <s v="High Value"/>
    <x v="6"/>
  </r>
  <r>
    <s v="TXN00346"/>
    <d v="2026-03-06T23:09:54"/>
    <s v="Mar-2026"/>
    <x v="123"/>
    <n v="2445562"/>
    <s v="CARD0136"/>
    <s v="MER041"/>
    <s v="Metro Pay"/>
    <n v="54735.07"/>
    <n v="273.68"/>
    <s v="UPI"/>
    <x v="0"/>
    <s v="Website"/>
    <s v="Domestic"/>
    <s v="Retail Purchase"/>
    <s v="High Value"/>
    <x v="4"/>
  </r>
  <r>
    <s v="TXN00347"/>
    <d v="2026-09-06T06:05:06"/>
    <s v="Sep-2026"/>
    <x v="80"/>
    <n v="1097886"/>
    <s v="CARD0176"/>
    <s v="MER045"/>
    <s v="Blue Services"/>
    <n v="32668.37"/>
    <n v="163.34"/>
    <s v="Debit Card"/>
    <x v="1"/>
    <s v="Mobile App"/>
    <s v="International"/>
    <s v="Bill Payment"/>
    <s v="High Value"/>
    <x v="0"/>
  </r>
  <r>
    <s v="TXN00348"/>
    <d v="2025-01-14T04:59:10"/>
    <s v="Jan-2025"/>
    <x v="114"/>
    <n v="2587799"/>
    <s v="CARD0088"/>
    <s v="MER011"/>
    <s v="Quick Pay"/>
    <n v="31138.43"/>
    <n v="311.38"/>
    <s v="UPI"/>
    <x v="0"/>
    <s v="Website"/>
    <s v="Domestic"/>
    <s v="Bill Payment"/>
    <s v="High Value"/>
    <x v="4"/>
  </r>
  <r>
    <s v="TXN00349"/>
    <d v="2025-07-12T20:20:24"/>
    <s v="Jul-2025"/>
    <x v="81"/>
    <n v="1238971"/>
    <s v="CARD0118"/>
    <s v="MER005"/>
    <s v="Prime Foods"/>
    <n v="36844.36"/>
    <n v="73.69"/>
    <s v="UPI"/>
    <x v="1"/>
    <s v="Website"/>
    <s v="Domestic"/>
    <s v="Cash Withdrawal"/>
    <s v="High Value"/>
    <x v="6"/>
  </r>
  <r>
    <s v="TXN00350"/>
    <d v="2025-12-23T11:20:38"/>
    <s v="Dec-2025"/>
    <x v="152"/>
    <n v="734318"/>
    <s v="CARD0134"/>
    <s v="MER022"/>
    <s v="Urban Stores"/>
    <n v="41493.94"/>
    <n v="414.94"/>
    <s v="Credit Card"/>
    <x v="0"/>
    <s v="POS"/>
    <s v="Domestic"/>
    <s v="Retail Purchase"/>
    <s v="High Value"/>
    <x v="6"/>
  </r>
  <r>
    <s v="TXN00351"/>
    <d v="2025-08-16T04:41:10"/>
    <s v="Aug-2025"/>
    <x v="32"/>
    <n v="3315307"/>
    <s v="CARD0033"/>
    <s v="MER014"/>
    <s v="Daily Stores"/>
    <n v="51423.23"/>
    <n v="154.27000000000001"/>
    <s v="Credit Card"/>
    <x v="0"/>
    <s v="Mobile App"/>
    <s v="International"/>
    <s v="Retail Purchase"/>
    <s v="High Value"/>
    <x v="0"/>
  </r>
  <r>
    <s v="TXN00352"/>
    <d v="2025-03-21T00:41:04"/>
    <s v="Mar-2025"/>
    <x v="153"/>
    <n v="1728604"/>
    <s v="CARD0028"/>
    <s v="MER003"/>
    <s v="Fresh Mart"/>
    <n v="46504.07"/>
    <n v="93.01"/>
    <s v="Wallet"/>
    <x v="2"/>
    <s v="Mobile App"/>
    <s v="International"/>
    <s v="Retail Purchase"/>
    <s v="High Value"/>
    <x v="7"/>
  </r>
  <r>
    <s v="TXN00353"/>
    <d v="2025-09-17T01:34:32"/>
    <s v="Sep-2025"/>
    <x v="6"/>
    <n v="983587"/>
    <s v="CARD0236"/>
    <s v="MER039"/>
    <s v="Fresh Foods"/>
    <n v="4068.22"/>
    <n v="8.14"/>
    <s v="Credit Card"/>
    <x v="2"/>
    <s v="Website"/>
    <s v="Domestic"/>
    <s v="Transfer"/>
    <s v="High Value"/>
    <x v="4"/>
  </r>
  <r>
    <s v="TXN00354"/>
    <d v="2025-01-30T03:18:18"/>
    <s v="Jan-2025"/>
    <x v="154"/>
    <n v="272021"/>
    <s v="CARD0090"/>
    <s v="MER023"/>
    <s v="Smart Pay"/>
    <n v="8818.86"/>
    <n v="44.09"/>
    <s v="Credit Card"/>
    <x v="2"/>
    <s v="Website"/>
    <s v="Domestic"/>
    <s v="Retail Purchase"/>
    <s v="High Value"/>
    <x v="6"/>
  </r>
  <r>
    <s v="TXN00355"/>
    <d v="2026-08-16T00:30:32"/>
    <s v="Aug-2026"/>
    <x v="98"/>
    <n v="735563"/>
    <s v="CARD0231"/>
    <s v="MER035"/>
    <s v="Nova Hub"/>
    <n v="31777.439999999999"/>
    <n v="158.88999999999999"/>
    <s v="UPI"/>
    <x v="2"/>
    <s v="Mobile App"/>
    <s v="Domestic"/>
    <s v="Cash Withdrawal"/>
    <s v="High Value"/>
    <x v="1"/>
  </r>
  <r>
    <s v="TXN00356"/>
    <d v="2026-01-11T21:27:31"/>
    <s v="Jan-2026"/>
    <x v="115"/>
    <n v="2716840"/>
    <s v="CARD0214"/>
    <s v="MER023"/>
    <s v="Smart Pay"/>
    <n v="11189.03"/>
    <n v="22.38"/>
    <s v="Net Banking"/>
    <x v="2"/>
    <s v="Branch"/>
    <s v="Domestic"/>
    <s v="Bill Payment"/>
    <s v="High Value"/>
    <x v="6"/>
  </r>
  <r>
    <s v="TXN00357"/>
    <d v="2026-02-22T04:06:30"/>
    <s v="Feb-2026"/>
    <x v="43"/>
    <n v="2596806"/>
    <s v="CARD0134"/>
    <s v="MER009"/>
    <s v="Prime Mart"/>
    <n v="45708.43"/>
    <n v="457.08"/>
    <s v="Net Banking"/>
    <x v="0"/>
    <s v="POS"/>
    <s v="International"/>
    <s v="Retail Purchase"/>
    <s v="High Value"/>
    <x v="5"/>
  </r>
  <r>
    <s v="TXN00358"/>
    <d v="2025-03-26T11:56:46"/>
    <s v="Mar-2025"/>
    <x v="155"/>
    <n v="2201016"/>
    <s v="CARD0189"/>
    <s v="MER020"/>
    <s v="Urban Retail"/>
    <n v="29673.4"/>
    <n v="296.73"/>
    <s v="Net Banking"/>
    <x v="0"/>
    <s v="Website"/>
    <s v="International"/>
    <s v="Transfer"/>
    <s v="High Value"/>
    <x v="3"/>
  </r>
  <r>
    <s v="TXN00359"/>
    <d v="2026-03-15T06:52:24"/>
    <s v="Mar-2026"/>
    <x v="102"/>
    <n v="2405316"/>
    <s v="CARD0095"/>
    <s v="MER012"/>
    <s v="Daily Hub"/>
    <n v="51420.75"/>
    <n v="514.21"/>
    <s v="UPI"/>
    <x v="1"/>
    <s v="Branch"/>
    <s v="Domestic"/>
    <s v="Cash Withdrawal"/>
    <s v="High Value"/>
    <x v="2"/>
  </r>
  <r>
    <s v="TXN00360"/>
    <d v="2026-03-25T19:01:46"/>
    <s v="Mar-2026"/>
    <x v="16"/>
    <n v="3376854"/>
    <s v="CARD0103"/>
    <s v="MER045"/>
    <s v="Blue Services"/>
    <n v="39547.040000000001"/>
    <n v="118.64"/>
    <s v="Wallet"/>
    <x v="0"/>
    <s v="Mobile App"/>
    <s v="Domestic"/>
    <s v="Retail Purchase"/>
    <s v="High Value"/>
    <x v="0"/>
  </r>
  <r>
    <s v="TXN00361"/>
    <d v="2026-01-08T07:14:54"/>
    <s v="Jan-2026"/>
    <x v="6"/>
    <n v="983587"/>
    <s v="CARD0060"/>
    <s v="MER028"/>
    <s v="Prime Pay"/>
    <n v="20384.04"/>
    <n v="203.84"/>
    <s v="Net Banking"/>
    <x v="0"/>
    <s v="POS"/>
    <s v="International"/>
    <s v="Cash Withdrawal"/>
    <s v="High Value"/>
    <x v="0"/>
  </r>
  <r>
    <s v="TXN00362"/>
    <d v="2025-12-31T17:19:27"/>
    <s v="Dec-2025"/>
    <x v="156"/>
    <n v="2693971"/>
    <s v="CARD0072"/>
    <s v="MER010"/>
    <s v="Blue Hub"/>
    <n v="40033.949999999997"/>
    <n v="400.34"/>
    <s v="Net Banking"/>
    <x v="3"/>
    <s v="Mobile App"/>
    <s v="Domestic"/>
    <s v="Transfer"/>
    <s v="High Value"/>
    <x v="8"/>
  </r>
  <r>
    <s v="TXN00363"/>
    <d v="2026-05-17T18:06:18"/>
    <s v="May-2026"/>
    <x v="157"/>
    <n v="448544"/>
    <s v="CARD0189"/>
    <s v="MER004"/>
    <s v="Daily Digital"/>
    <n v="13926.23"/>
    <n v="27.85"/>
    <s v="UPI"/>
    <x v="3"/>
    <s v="Branch"/>
    <s v="Domestic"/>
    <s v="Bill Payment"/>
    <s v="High Value"/>
    <x v="4"/>
  </r>
  <r>
    <s v="TXN00364"/>
    <d v="2026-01-27T22:00:44"/>
    <s v="Jan-2026"/>
    <x v="29"/>
    <n v="2802699"/>
    <s v="CARD0170"/>
    <s v="MER034"/>
    <s v="Urban Retail"/>
    <n v="40784.339999999997"/>
    <n v="81.569999999999993"/>
    <s v="Net Banking"/>
    <x v="0"/>
    <s v="Branch"/>
    <s v="Domestic"/>
    <s v="Transfer"/>
    <s v="High Value"/>
    <x v="8"/>
  </r>
  <r>
    <s v="TXN00365"/>
    <d v="2026-05-25T17:50:58"/>
    <s v="May-2026"/>
    <x v="136"/>
    <n v="2081740"/>
    <s v="CARD0111"/>
    <s v="MER008"/>
    <s v="Daily Services"/>
    <n v="30337.21"/>
    <n v="60.67"/>
    <s v="Net Banking"/>
    <x v="0"/>
    <s v="Branch"/>
    <s v="International"/>
    <s v="Cash Withdrawal"/>
    <s v="High Value"/>
    <x v="5"/>
  </r>
  <r>
    <s v="TXN00366"/>
    <d v="2026-03-30T16:44:08"/>
    <s v="Mar-2026"/>
    <x v="20"/>
    <n v="2785330"/>
    <s v="CARD0126"/>
    <s v="MER028"/>
    <s v="Prime Pay"/>
    <n v="2255.27"/>
    <n v="11.28"/>
    <s v="Credit Card"/>
    <x v="0"/>
    <s v="POS"/>
    <s v="International"/>
    <s v="Cash Withdrawal"/>
    <s v="Standard"/>
    <x v="0"/>
  </r>
  <r>
    <s v="TXN00367"/>
    <d v="2025-04-23T20:42:40"/>
    <s v="Apr-2025"/>
    <x v="54"/>
    <n v="1526615"/>
    <s v="CARD0144"/>
    <s v="MER011"/>
    <s v="Quick Pay"/>
    <n v="40533.97"/>
    <n v="405.34"/>
    <s v="Wallet"/>
    <x v="2"/>
    <s v="Mobile App"/>
    <s v="International"/>
    <s v="Transfer"/>
    <s v="High Value"/>
    <x v="4"/>
  </r>
  <r>
    <s v="TXN00368"/>
    <d v="2026-05-22T21:31:09"/>
    <s v="May-2026"/>
    <x v="103"/>
    <n v="2067729"/>
    <s v="CARD0083"/>
    <s v="MER004"/>
    <s v="Daily Digital"/>
    <n v="58255.16"/>
    <n v="291.27999999999997"/>
    <s v="UPI"/>
    <x v="0"/>
    <s v="Mobile App"/>
    <s v="Domestic"/>
    <s v="Transfer"/>
    <s v="High Value"/>
    <x v="4"/>
  </r>
  <r>
    <s v="TXN00369"/>
    <d v="2025-12-24T21:15:41"/>
    <s v="Dec-2025"/>
    <x v="55"/>
    <n v="2889113"/>
    <s v="CARD0025"/>
    <s v="MER028"/>
    <s v="Prime Pay"/>
    <n v="1711.3"/>
    <n v="8.56"/>
    <s v="Debit Card"/>
    <x v="1"/>
    <s v="POS"/>
    <s v="International"/>
    <s v="Transfer"/>
    <s v="Standard"/>
    <x v="0"/>
  </r>
  <r>
    <s v="TXN00370"/>
    <d v="2025-02-27T08:53:31"/>
    <s v="Feb-2025"/>
    <x v="13"/>
    <n v="1749932"/>
    <s v="CARD0017"/>
    <s v="MER020"/>
    <s v="Urban Retail"/>
    <n v="14932.07"/>
    <n v="29.86"/>
    <s v="UPI"/>
    <x v="2"/>
    <s v="POS"/>
    <s v="Domestic"/>
    <s v="Retail Purchase"/>
    <s v="High Value"/>
    <x v="3"/>
  </r>
  <r>
    <s v="TXN00371"/>
    <d v="2026-07-06T11:52:24"/>
    <s v="Jul-2026"/>
    <x v="120"/>
    <n v="842597"/>
    <s v="CARD0132"/>
    <s v="MER027"/>
    <s v="Prime Digital"/>
    <n v="2338.92"/>
    <n v="23.39"/>
    <s v="Debit Card"/>
    <x v="2"/>
    <s v="Mobile App"/>
    <s v="International"/>
    <s v="Retail Purchase"/>
    <s v="Standard"/>
    <x v="1"/>
  </r>
  <r>
    <s v="TXN00372"/>
    <d v="2025-11-21T13:45:10"/>
    <s v="Nov-2025"/>
    <x v="2"/>
    <n v="3367631"/>
    <s v="CARD0026"/>
    <s v="MER045"/>
    <s v="Blue Services"/>
    <n v="34264.18"/>
    <n v="68.53"/>
    <s v="Credit Card"/>
    <x v="0"/>
    <s v="POS"/>
    <s v="International"/>
    <s v="Transfer"/>
    <s v="High Value"/>
    <x v="0"/>
  </r>
  <r>
    <s v="TXN00373"/>
    <d v="2025-06-20T22:23:06"/>
    <s v="Jun-2025"/>
    <x v="21"/>
    <n v="1483380"/>
    <s v="CARD0163"/>
    <s v="MER005"/>
    <s v="Prime Foods"/>
    <n v="18041.3"/>
    <n v="54.12"/>
    <s v="Wallet"/>
    <x v="3"/>
    <s v="Website"/>
    <s v="International"/>
    <s v="Transfer"/>
    <s v="High Value"/>
    <x v="6"/>
  </r>
  <r>
    <s v="TXN00374"/>
    <d v="2025-02-18T10:49:30"/>
    <s v="Feb-2025"/>
    <x v="76"/>
    <n v="1164822"/>
    <s v="CARD0191"/>
    <s v="MER006"/>
    <s v="Nova Pay"/>
    <n v="59774.04"/>
    <n v="179.32"/>
    <s v="Wallet"/>
    <x v="0"/>
    <s v="Mobile App"/>
    <s v="International"/>
    <s v="Transfer"/>
    <s v="High Value"/>
    <x v="2"/>
  </r>
  <r>
    <s v="TXN00375"/>
    <d v="2025-03-10T20:37:22"/>
    <s v="Mar-2025"/>
    <x v="106"/>
    <n v="498752"/>
    <s v="CARD0204"/>
    <s v="MER005"/>
    <s v="Prime Foods"/>
    <n v="48091.02"/>
    <n v="144.27000000000001"/>
    <s v="Debit Card"/>
    <x v="0"/>
    <s v="POS"/>
    <s v="International"/>
    <s v="Transfer"/>
    <s v="High Value"/>
    <x v="6"/>
  </r>
  <r>
    <s v="TXN00376"/>
    <d v="2025-07-24T15:05:04"/>
    <s v="Jul-2025"/>
    <x v="47"/>
    <n v="1864504"/>
    <s v="CARD0196"/>
    <s v="MER036"/>
    <s v="Green Foods"/>
    <n v="24197.83"/>
    <n v="241.98"/>
    <s v="Credit Card"/>
    <x v="2"/>
    <s v="Mobile App"/>
    <s v="Domestic"/>
    <s v="Cash Withdrawal"/>
    <s v="High Value"/>
    <x v="3"/>
  </r>
  <r>
    <s v="TXN00377"/>
    <d v="2025-08-07T17:00:49"/>
    <s v="Aug-2025"/>
    <x v="41"/>
    <n v="2107578"/>
    <s v="CARD0187"/>
    <s v="MER041"/>
    <s v="Metro Pay"/>
    <n v="16149.36"/>
    <n v="161.49"/>
    <s v="UPI"/>
    <x v="2"/>
    <s v="Website"/>
    <s v="International"/>
    <s v="Cash Withdrawal"/>
    <s v="High Value"/>
    <x v="4"/>
  </r>
  <r>
    <s v="TXN00378"/>
    <d v="2025-06-01T08:45:06"/>
    <s v="Jun-2025"/>
    <x v="44"/>
    <n v="909026"/>
    <s v="CARD0106"/>
    <s v="MER021"/>
    <s v="Fresh Hub"/>
    <n v="9113.31"/>
    <n v="45.57"/>
    <s v="UPI"/>
    <x v="2"/>
    <s v="Website"/>
    <s v="International"/>
    <s v="Transfer"/>
    <s v="High Value"/>
    <x v="4"/>
  </r>
  <r>
    <s v="TXN00379"/>
    <d v="2025-10-21T23:31:18"/>
    <s v="Oct-2025"/>
    <x v="143"/>
    <n v="1693644"/>
    <s v="CARD0062"/>
    <s v="MER008"/>
    <s v="Daily Services"/>
    <n v="9719"/>
    <n v="29.16"/>
    <s v="Credit Card"/>
    <x v="2"/>
    <s v="Website"/>
    <s v="Domestic"/>
    <s v="Bill Payment"/>
    <s v="High Value"/>
    <x v="5"/>
  </r>
  <r>
    <s v="TXN00380"/>
    <d v="2025-11-14T16:53:58"/>
    <s v="Nov-2025"/>
    <x v="93"/>
    <n v="1157267"/>
    <s v="CARD0232"/>
    <s v="MER003"/>
    <s v="Fresh Mart"/>
    <n v="29174.400000000001"/>
    <n v="291.74"/>
    <s v="Credit Card"/>
    <x v="3"/>
    <s v="Website"/>
    <s v="International"/>
    <s v="Bill Payment"/>
    <s v="High Value"/>
    <x v="7"/>
  </r>
  <r>
    <s v="TXN00381"/>
    <d v="2025-01-30T09:24:28"/>
    <s v="Jan-2025"/>
    <x v="158"/>
    <n v="1201601"/>
    <s v="CARD0219"/>
    <s v="MER003"/>
    <s v="Fresh Mart"/>
    <n v="47401.22"/>
    <n v="142.19999999999999"/>
    <s v="Net Banking"/>
    <x v="0"/>
    <s v="Mobile App"/>
    <s v="Domestic"/>
    <s v="Retail Purchase"/>
    <s v="High Value"/>
    <x v="7"/>
  </r>
  <r>
    <s v="TXN00382"/>
    <d v="2025-11-18T21:54:12"/>
    <s v="Nov-2025"/>
    <x v="15"/>
    <n v="1202837"/>
    <s v="CARD0172"/>
    <s v="MER043"/>
    <s v="Metro Pay"/>
    <n v="17948.95"/>
    <n v="179.49"/>
    <s v="UPI"/>
    <x v="0"/>
    <s v="Branch"/>
    <s v="Domestic"/>
    <s v="Bill Payment"/>
    <s v="High Value"/>
    <x v="0"/>
  </r>
  <r>
    <s v="TXN00383"/>
    <d v="2025-04-25T20:47:18"/>
    <s v="Apr-2025"/>
    <x v="21"/>
    <n v="1483380"/>
    <s v="CARD0227"/>
    <s v="MER006"/>
    <s v="Nova Pay"/>
    <n v="44095.38"/>
    <n v="220.48"/>
    <s v="Credit Card"/>
    <x v="3"/>
    <s v="Mobile App"/>
    <s v="International"/>
    <s v="Transfer"/>
    <s v="High Value"/>
    <x v="2"/>
  </r>
  <r>
    <s v="TXN00384"/>
    <d v="2026-08-22T14:11:51"/>
    <s v="Aug-2026"/>
    <x v="159"/>
    <n v="1134604"/>
    <s v="CARD0037"/>
    <s v="MER007"/>
    <s v="Blue Hub"/>
    <n v="48369.91"/>
    <n v="483.7"/>
    <s v="Credit Card"/>
    <x v="2"/>
    <s v="Website"/>
    <s v="International"/>
    <s v="Cash Withdrawal"/>
    <s v="High Value"/>
    <x v="4"/>
  </r>
  <r>
    <s v="TXN00385"/>
    <d v="2026-02-23T09:15:32"/>
    <s v="Feb-2026"/>
    <x v="30"/>
    <n v="2603965"/>
    <s v="CARD0243"/>
    <s v="MER008"/>
    <s v="Daily Services"/>
    <n v="51787.71"/>
    <n v="258.94"/>
    <s v="Debit Card"/>
    <x v="0"/>
    <s v="Branch"/>
    <s v="International"/>
    <s v="Bill Payment"/>
    <s v="High Value"/>
    <x v="5"/>
  </r>
  <r>
    <s v="TXN00386"/>
    <d v="2025-10-12T05:16:33"/>
    <s v="Oct-2025"/>
    <x v="100"/>
    <n v="1622654"/>
    <s v="CARD0166"/>
    <s v="MER039"/>
    <s v="Fresh Foods"/>
    <n v="21843.58"/>
    <n v="109.22"/>
    <s v="UPI"/>
    <x v="2"/>
    <s v="Mobile App"/>
    <s v="Domestic"/>
    <s v="Transfer"/>
    <s v="High Value"/>
    <x v="4"/>
  </r>
  <r>
    <s v="TXN00387"/>
    <d v="2026-07-20T14:00:22"/>
    <s v="Jul-2026"/>
    <x v="138"/>
    <n v="2082112"/>
    <s v="CARD0032"/>
    <s v="MER035"/>
    <s v="Nova Hub"/>
    <n v="18625.18"/>
    <n v="93.13"/>
    <s v="Credit Card"/>
    <x v="3"/>
    <s v="Branch"/>
    <s v="International"/>
    <s v="Retail Purchase"/>
    <s v="High Value"/>
    <x v="1"/>
  </r>
  <r>
    <s v="TXN00388"/>
    <d v="2026-02-07T09:18:13"/>
    <s v="Feb-2026"/>
    <x v="142"/>
    <n v="1923883"/>
    <s v="CARD0054"/>
    <s v="MER011"/>
    <s v="Quick Pay"/>
    <n v="18123.2"/>
    <n v="54.37"/>
    <s v="Net Banking"/>
    <x v="3"/>
    <s v="POS"/>
    <s v="International"/>
    <s v="Retail Purchase"/>
    <s v="High Value"/>
    <x v="4"/>
  </r>
  <r>
    <s v="TXN00389"/>
    <d v="2025-10-08T02:54:58"/>
    <s v="Oct-2025"/>
    <x v="114"/>
    <n v="2587799"/>
    <s v="CARD0238"/>
    <s v="MER022"/>
    <s v="Urban Stores"/>
    <n v="49409.55"/>
    <n v="494.1"/>
    <s v="Net Banking"/>
    <x v="3"/>
    <s v="Mobile App"/>
    <s v="Domestic"/>
    <s v="Transfer"/>
    <s v="High Value"/>
    <x v="6"/>
  </r>
  <r>
    <s v="TXN00390"/>
    <d v="2026-06-03T02:24:58"/>
    <s v="Jun-2026"/>
    <x v="144"/>
    <n v="2145861"/>
    <s v="CARD0178"/>
    <s v="MER002"/>
    <s v="Daily Stores"/>
    <n v="21176.2"/>
    <n v="105.88"/>
    <s v="UPI"/>
    <x v="0"/>
    <s v="Website"/>
    <s v="International"/>
    <s v="Bill Payment"/>
    <s v="High Value"/>
    <x v="6"/>
  </r>
  <r>
    <s v="TXN00391"/>
    <d v="2025-01-04T14:35:15"/>
    <s v="Jan-2025"/>
    <x v="43"/>
    <n v="2596806"/>
    <s v="CARD0041"/>
    <s v="MER016"/>
    <s v="Blue Foods"/>
    <n v="12084.51"/>
    <n v="24.17"/>
    <s v="Wallet"/>
    <x v="0"/>
    <s v="Website"/>
    <s v="International"/>
    <s v="Transfer"/>
    <s v="High Value"/>
    <x v="0"/>
  </r>
  <r>
    <s v="TXN00392"/>
    <d v="2026-04-08T17:25:00"/>
    <s v="Apr-2026"/>
    <x v="138"/>
    <n v="2082112"/>
    <s v="CARD0152"/>
    <s v="MER021"/>
    <s v="Fresh Hub"/>
    <n v="52423"/>
    <n v="157.27000000000001"/>
    <s v="Debit Card"/>
    <x v="0"/>
    <s v="Website"/>
    <s v="Domestic"/>
    <s v="Cash Withdrawal"/>
    <s v="High Value"/>
    <x v="4"/>
  </r>
  <r>
    <s v="TXN00393"/>
    <d v="2026-01-12T06:37:20"/>
    <s v="Jan-2026"/>
    <x v="100"/>
    <n v="1622654"/>
    <s v="CARD0243"/>
    <s v="MER002"/>
    <s v="Daily Stores"/>
    <n v="23670.3"/>
    <n v="71.010000000000005"/>
    <s v="Wallet"/>
    <x v="0"/>
    <s v="Website"/>
    <s v="Domestic"/>
    <s v="Cash Withdrawal"/>
    <s v="High Value"/>
    <x v="6"/>
  </r>
  <r>
    <s v="TXN00394"/>
    <d v="2025-07-23T09:31:52"/>
    <s v="Jul-2025"/>
    <x v="160"/>
    <n v="669374"/>
    <s v="CARD0110"/>
    <s v="MER039"/>
    <s v="Fresh Foods"/>
    <n v="42105.54"/>
    <n v="421.06"/>
    <s v="Debit Card"/>
    <x v="0"/>
    <s v="Website"/>
    <s v="Domestic"/>
    <s v="Transfer"/>
    <s v="High Value"/>
    <x v="4"/>
  </r>
  <r>
    <s v="TXN00395"/>
    <d v="2025-06-24T20:39:09"/>
    <s v="Jun-2025"/>
    <x v="144"/>
    <n v="2145861"/>
    <s v="CARD0212"/>
    <s v="MER044"/>
    <s v="Blue Foods"/>
    <n v="7129.3"/>
    <n v="71.290000000000006"/>
    <s v="Net Banking"/>
    <x v="2"/>
    <s v="Mobile App"/>
    <s v="Domestic"/>
    <s v="Bill Payment"/>
    <s v="High Value"/>
    <x v="5"/>
  </r>
  <r>
    <s v="TXN00396"/>
    <d v="2025-07-15T09:41:31"/>
    <s v="Jul-2025"/>
    <x v="51"/>
    <n v="432624"/>
    <s v="CARD0220"/>
    <s v="MER014"/>
    <s v="Daily Stores"/>
    <n v="17348.919999999998"/>
    <n v="52.05"/>
    <s v="Wallet"/>
    <x v="0"/>
    <s v="Website"/>
    <s v="International"/>
    <s v="Bill Payment"/>
    <s v="High Value"/>
    <x v="0"/>
  </r>
  <r>
    <s v="TXN00397"/>
    <d v="2026-03-05T06:34:01"/>
    <s v="Mar-2026"/>
    <x v="77"/>
    <n v="3403277"/>
    <s v="CARD0061"/>
    <s v="MER040"/>
    <s v="Blue Retail"/>
    <n v="24570.59"/>
    <n v="122.85"/>
    <s v="Net Banking"/>
    <x v="0"/>
    <s v="Website"/>
    <s v="International"/>
    <s v="Cash Withdrawal"/>
    <s v="High Value"/>
    <x v="4"/>
  </r>
  <r>
    <s v="TXN00398"/>
    <d v="2025-03-29T00:22:32"/>
    <s v="Mar-2025"/>
    <x v="138"/>
    <n v="2082112"/>
    <s v="CARD0055"/>
    <s v="MER025"/>
    <s v="Smart Pay"/>
    <n v="28186.01"/>
    <n v="281.86"/>
    <s v="Net Banking"/>
    <x v="1"/>
    <s v="POS"/>
    <s v="Domestic"/>
    <s v="Retail Purchase"/>
    <s v="High Value"/>
    <x v="2"/>
  </r>
  <r>
    <s v="TXN00399"/>
    <d v="2026-07-25T02:08:20"/>
    <s v="Jul-2026"/>
    <x v="40"/>
    <n v="2236054"/>
    <s v="CARD0156"/>
    <s v="MER043"/>
    <s v="Metro Pay"/>
    <n v="3221.55"/>
    <n v="32.22"/>
    <s v="Wallet"/>
    <x v="3"/>
    <s v="Mobile App"/>
    <s v="Domestic"/>
    <s v="Transfer"/>
    <s v="High Value"/>
    <x v="0"/>
  </r>
  <r>
    <s v="TXN00400"/>
    <d v="2026-06-01T22:33:39"/>
    <s v="Jun-2026"/>
    <x v="34"/>
    <n v="241898"/>
    <s v="CARD0248"/>
    <s v="MER036"/>
    <s v="Green Foods"/>
    <n v="22918.17"/>
    <n v="114.59"/>
    <s v="UPI"/>
    <x v="3"/>
    <s v="Website"/>
    <s v="International"/>
    <s v="Bill Payment"/>
    <s v="High Value"/>
    <x v="3"/>
  </r>
  <r>
    <s v="TXN00401"/>
    <d v="2026-05-31T17:56:37"/>
    <s v="May-2026"/>
    <x v="83"/>
    <n v="470298"/>
    <s v="CARD0082"/>
    <s v="MER034"/>
    <s v="Urban Retail"/>
    <n v="55826.58"/>
    <n v="167.48"/>
    <s v="Net Banking"/>
    <x v="1"/>
    <s v="Website"/>
    <s v="International"/>
    <s v="Retail Purchase"/>
    <s v="High Value"/>
    <x v="8"/>
  </r>
  <r>
    <s v="TXN00402"/>
    <d v="2025-11-17T01:36:28"/>
    <s v="Nov-2025"/>
    <x v="79"/>
    <n v="3246146"/>
    <s v="CARD0238"/>
    <s v="MER028"/>
    <s v="Prime Pay"/>
    <n v="58713.14"/>
    <n v="293.57"/>
    <s v="Debit Card"/>
    <x v="0"/>
    <s v="POS"/>
    <s v="International"/>
    <s v="Transfer"/>
    <s v="High Value"/>
    <x v="0"/>
  </r>
  <r>
    <s v="TXN00403"/>
    <d v="2026-03-23T06:00:24"/>
    <s v="Mar-2026"/>
    <x v="33"/>
    <n v="2407873"/>
    <s v="CARD0219"/>
    <s v="MER043"/>
    <s v="Metro Pay"/>
    <n v="19001.02"/>
    <n v="57"/>
    <s v="Net Banking"/>
    <x v="3"/>
    <s v="Mobile App"/>
    <s v="Domestic"/>
    <s v="Bill Payment"/>
    <s v="High Value"/>
    <x v="0"/>
  </r>
  <r>
    <s v="TXN00404"/>
    <d v="2025-02-25T08:22:08"/>
    <s v="Feb-2025"/>
    <x v="90"/>
    <n v="3380711"/>
    <s v="CARD0112"/>
    <s v="MER008"/>
    <s v="Daily Services"/>
    <n v="11070.17"/>
    <n v="33.21"/>
    <s v="Net Banking"/>
    <x v="0"/>
    <s v="Mobile App"/>
    <s v="International"/>
    <s v="Transfer"/>
    <s v="High Value"/>
    <x v="5"/>
  </r>
  <r>
    <s v="TXN00405"/>
    <d v="2026-07-29T17:39:56"/>
    <s v="Jul-2026"/>
    <x v="6"/>
    <n v="983587"/>
    <s v="CARD0090"/>
    <s v="MER006"/>
    <s v="Nova Pay"/>
    <n v="27519.81"/>
    <n v="82.56"/>
    <s v="Credit Card"/>
    <x v="0"/>
    <s v="POS"/>
    <s v="Domestic"/>
    <s v="Bill Payment"/>
    <s v="High Value"/>
    <x v="2"/>
  </r>
  <r>
    <s v="TXN00406"/>
    <d v="2026-06-05T09:55:55"/>
    <s v="Jun-2026"/>
    <x v="39"/>
    <n v="1380385"/>
    <s v="CARD0249"/>
    <s v="MER001"/>
    <s v="Urban Services"/>
    <n v="33838.519999999997"/>
    <n v="101.52"/>
    <s v="Wallet"/>
    <x v="2"/>
    <s v="Website"/>
    <s v="International"/>
    <s v="Retail Purchase"/>
    <s v="High Value"/>
    <x v="2"/>
  </r>
  <r>
    <s v="TXN00407"/>
    <d v="2025-09-10T18:08:08"/>
    <s v="Sep-2025"/>
    <x v="103"/>
    <n v="2067729"/>
    <s v="CARD0175"/>
    <s v="MER044"/>
    <s v="Blue Foods"/>
    <n v="40646.82"/>
    <n v="81.290000000000006"/>
    <s v="UPI"/>
    <x v="1"/>
    <s v="Branch"/>
    <s v="International"/>
    <s v="Retail Purchase"/>
    <s v="High Value"/>
    <x v="5"/>
  </r>
  <r>
    <s v="TXN00408"/>
    <d v="2025-11-28T05:35:55"/>
    <s v="Nov-2025"/>
    <x v="144"/>
    <n v="2145861"/>
    <s v="CARD0161"/>
    <s v="MER018"/>
    <s v="Nova Retail"/>
    <n v="1829.58"/>
    <n v="18.3"/>
    <s v="Wallet"/>
    <x v="0"/>
    <s v="Mobile App"/>
    <s v="International"/>
    <s v="Retail Purchase"/>
    <s v="Standard"/>
    <x v="3"/>
  </r>
  <r>
    <s v="TXN00409"/>
    <d v="2026-09-30T16:29:48"/>
    <s v="Sep-2026"/>
    <x v="105"/>
    <n v="1784496"/>
    <s v="CARD0221"/>
    <s v="MER004"/>
    <s v="Daily Digital"/>
    <n v="19562.439999999999"/>
    <n v="58.69"/>
    <s v="Debit Card"/>
    <x v="2"/>
    <s v="POS"/>
    <s v="Domestic"/>
    <s v="Retail Purchase"/>
    <s v="High Value"/>
    <x v="4"/>
  </r>
  <r>
    <s v="TXN00410"/>
    <d v="2026-07-15T21:55:43"/>
    <s v="Jul-2026"/>
    <x v="161"/>
    <n v="2977151"/>
    <s v="CARD0248"/>
    <s v="MER026"/>
    <s v="Metro Services"/>
    <n v="22945.32"/>
    <n v="68.84"/>
    <s v="UPI"/>
    <x v="0"/>
    <s v="Mobile App"/>
    <s v="Domestic"/>
    <s v="Bill Payment"/>
    <s v="High Value"/>
    <x v="0"/>
  </r>
  <r>
    <s v="TXN00411"/>
    <d v="2026-02-02T14:39:02"/>
    <s v="Feb-2026"/>
    <x v="24"/>
    <n v="3004295"/>
    <s v="CARD0077"/>
    <s v="MER032"/>
    <s v="Urban Digital"/>
    <n v="17167.66"/>
    <n v="51.5"/>
    <s v="Net Banking"/>
    <x v="2"/>
    <s v="POS"/>
    <s v="Domestic"/>
    <s v="Transfer"/>
    <s v="High Value"/>
    <x v="8"/>
  </r>
  <r>
    <s v="TXN00412"/>
    <d v="2025-04-09T13:22:43"/>
    <s v="Apr-2025"/>
    <x v="54"/>
    <n v="1526615"/>
    <s v="CARD0069"/>
    <s v="MER037"/>
    <s v="Metro Pay"/>
    <n v="30807.93"/>
    <n v="308.08"/>
    <s v="Wallet"/>
    <x v="0"/>
    <s v="Branch"/>
    <s v="Domestic"/>
    <s v="Cash Withdrawal"/>
    <s v="High Value"/>
    <x v="2"/>
  </r>
  <r>
    <s v="TXN00413"/>
    <d v="2026-01-13T22:21:00"/>
    <s v="Jan-2026"/>
    <x v="127"/>
    <n v="1771551"/>
    <s v="CARD0132"/>
    <s v="MER022"/>
    <s v="Urban Stores"/>
    <n v="11262.71"/>
    <n v="22.53"/>
    <s v="Net Banking"/>
    <x v="2"/>
    <s v="Website"/>
    <s v="Domestic"/>
    <s v="Cash Withdrawal"/>
    <s v="High Value"/>
    <x v="6"/>
  </r>
  <r>
    <s v="TXN00414"/>
    <d v="2026-06-24T22:55:17"/>
    <s v="Jun-2026"/>
    <x v="44"/>
    <n v="909026"/>
    <s v="CARD0021"/>
    <s v="MER031"/>
    <s v="Daily Digital"/>
    <n v="38868.800000000003"/>
    <n v="388.69"/>
    <s v="Debit Card"/>
    <x v="0"/>
    <s v="Website"/>
    <s v="Domestic"/>
    <s v="Transfer"/>
    <s v="High Value"/>
    <x v="3"/>
  </r>
  <r>
    <s v="TXN00415"/>
    <d v="2025-09-12T19:02:42"/>
    <s v="Sep-2025"/>
    <x v="132"/>
    <n v="314638"/>
    <s v="CARD0132"/>
    <s v="MER007"/>
    <s v="Blue Hub"/>
    <n v="25721.14"/>
    <n v="51.44"/>
    <s v="Wallet"/>
    <x v="0"/>
    <s v="Branch"/>
    <s v="International"/>
    <s v="Retail Purchase"/>
    <s v="High Value"/>
    <x v="4"/>
  </r>
  <r>
    <s v="TXN00416"/>
    <d v="2026-04-21T20:41:51"/>
    <s v="Apr-2026"/>
    <x v="162"/>
    <n v="2115452"/>
    <s v="CARD0005"/>
    <s v="MER008"/>
    <s v="Daily Services"/>
    <n v="48788.2"/>
    <n v="97.58"/>
    <s v="Net Banking"/>
    <x v="0"/>
    <s v="Website"/>
    <s v="Domestic"/>
    <s v="Cash Withdrawal"/>
    <s v="High Value"/>
    <x v="5"/>
  </r>
  <r>
    <s v="TXN00417"/>
    <d v="2025-02-16T03:01:57"/>
    <s v="Feb-2025"/>
    <x v="163"/>
    <n v="3022750"/>
    <s v="CARD0186"/>
    <s v="MER030"/>
    <s v="Green Pay"/>
    <n v="25033.47"/>
    <n v="125.17"/>
    <s v="Net Banking"/>
    <x v="2"/>
    <s v="POS"/>
    <s v="International"/>
    <s v="Bill Payment"/>
    <s v="High Value"/>
    <x v="8"/>
  </r>
  <r>
    <s v="TXN00418"/>
    <d v="2025-08-05T06:44:19"/>
    <s v="Aug-2025"/>
    <x v="88"/>
    <n v="1531034"/>
    <s v="CARD0028"/>
    <s v="MER028"/>
    <s v="Prime Pay"/>
    <n v="4785.41"/>
    <n v="23.93"/>
    <s v="Wallet"/>
    <x v="3"/>
    <s v="Mobile App"/>
    <s v="Domestic"/>
    <s v="Cash Withdrawal"/>
    <s v="High Value"/>
    <x v="0"/>
  </r>
  <r>
    <s v="TXN00419"/>
    <d v="2025-04-30T00:29:03"/>
    <s v="Apr-2025"/>
    <x v="129"/>
    <n v="711663"/>
    <s v="CARD0248"/>
    <s v="MER039"/>
    <s v="Fresh Foods"/>
    <n v="10386.950000000001"/>
    <n v="103.87"/>
    <s v="Net Banking"/>
    <x v="0"/>
    <s v="POS"/>
    <s v="International"/>
    <s v="Cash Withdrawal"/>
    <s v="High Value"/>
    <x v="4"/>
  </r>
  <r>
    <s v="TXN00420"/>
    <d v="2025-11-06T03:11:26"/>
    <s v="Nov-2025"/>
    <x v="75"/>
    <n v="832128"/>
    <s v="CARD0179"/>
    <s v="MER013"/>
    <s v="Quick Retail"/>
    <n v="7592.86"/>
    <n v="15.19"/>
    <s v="UPI"/>
    <x v="0"/>
    <s v="Website"/>
    <s v="International"/>
    <s v="Bill Payment"/>
    <s v="High Value"/>
    <x v="3"/>
  </r>
  <r>
    <s v="TXN00421"/>
    <d v="2025-09-05T15:51:59"/>
    <s v="Sep-2025"/>
    <x v="83"/>
    <n v="470298"/>
    <s v="CARD0078"/>
    <s v="MER030"/>
    <s v="Green Pay"/>
    <n v="50541.17"/>
    <n v="151.62"/>
    <s v="Credit Card"/>
    <x v="1"/>
    <s v="Branch"/>
    <s v="International"/>
    <s v="Retail Purchase"/>
    <s v="High Value"/>
    <x v="8"/>
  </r>
  <r>
    <s v="TXN00422"/>
    <d v="2025-04-30T06:02:51"/>
    <s v="Apr-2025"/>
    <x v="111"/>
    <n v="966778"/>
    <s v="CARD0121"/>
    <s v="MER002"/>
    <s v="Daily Stores"/>
    <n v="54154.68"/>
    <n v="541.54999999999995"/>
    <s v="Net Banking"/>
    <x v="2"/>
    <s v="Website"/>
    <s v="Domestic"/>
    <s v="Transfer"/>
    <s v="High Value"/>
    <x v="6"/>
  </r>
  <r>
    <s v="TXN00423"/>
    <d v="2026-08-07T14:15:45"/>
    <s v="Aug-2026"/>
    <x v="81"/>
    <n v="1238971"/>
    <s v="CARD0218"/>
    <s v="MER032"/>
    <s v="Urban Digital"/>
    <n v="3150.24"/>
    <n v="31.5"/>
    <s v="Wallet"/>
    <x v="0"/>
    <s v="POS"/>
    <s v="Domestic"/>
    <s v="Cash Withdrawal"/>
    <s v="High Value"/>
    <x v="8"/>
  </r>
  <r>
    <s v="TXN00424"/>
    <d v="2026-02-14T17:41:54"/>
    <s v="Feb-2026"/>
    <x v="126"/>
    <n v="977248"/>
    <s v="CARD0183"/>
    <s v="MER004"/>
    <s v="Daily Digital"/>
    <n v="30850.01"/>
    <n v="308.5"/>
    <s v="Wallet"/>
    <x v="2"/>
    <s v="Mobile App"/>
    <s v="International"/>
    <s v="Transfer"/>
    <s v="High Value"/>
    <x v="4"/>
  </r>
  <r>
    <s v="TXN00425"/>
    <d v="2026-07-21T02:18:44"/>
    <s v="Jul-2026"/>
    <x v="91"/>
    <n v="586557"/>
    <s v="CARD0127"/>
    <s v="MER040"/>
    <s v="Blue Retail"/>
    <n v="16144.15"/>
    <n v="161.44"/>
    <s v="Debit Card"/>
    <x v="2"/>
    <s v="Branch"/>
    <s v="International"/>
    <s v="Retail Purchase"/>
    <s v="High Value"/>
    <x v="4"/>
  </r>
  <r>
    <s v="TXN00426"/>
    <d v="2025-06-15T10:29:10"/>
    <s v="Jun-2025"/>
    <x v="126"/>
    <n v="977248"/>
    <s v="CARD0130"/>
    <s v="MER015"/>
    <s v="Metro Pay"/>
    <n v="43599.93"/>
    <n v="436"/>
    <s v="Wallet"/>
    <x v="0"/>
    <s v="POS"/>
    <s v="International"/>
    <s v="Bill Payment"/>
    <s v="High Value"/>
    <x v="3"/>
  </r>
  <r>
    <s v="TXN00427"/>
    <d v="2025-10-28T14:12:46"/>
    <s v="Oct-2025"/>
    <x v="71"/>
    <n v="2635050"/>
    <s v="CARD0205"/>
    <s v="MER011"/>
    <s v="Quick Pay"/>
    <n v="57592.22"/>
    <n v="287.95999999999998"/>
    <s v="Wallet"/>
    <x v="1"/>
    <s v="Website"/>
    <s v="International"/>
    <s v="Retail Purchase"/>
    <s v="High Value"/>
    <x v="4"/>
  </r>
  <r>
    <s v="TXN00428"/>
    <d v="2026-05-10T04:42:00"/>
    <s v="May-2026"/>
    <x v="157"/>
    <n v="448544"/>
    <s v="CARD0204"/>
    <s v="MER027"/>
    <s v="Prime Digital"/>
    <n v="10480.14"/>
    <n v="104.8"/>
    <s v="Net Banking"/>
    <x v="0"/>
    <s v="POS"/>
    <s v="Domestic"/>
    <s v="Bill Payment"/>
    <s v="High Value"/>
    <x v="1"/>
  </r>
  <r>
    <s v="TXN00429"/>
    <d v="2026-07-25T01:42:46"/>
    <s v="Jul-2026"/>
    <x v="164"/>
    <n v="2006565"/>
    <s v="CARD0174"/>
    <s v="MER011"/>
    <s v="Quick Pay"/>
    <n v="59955.75"/>
    <n v="299.77999999999997"/>
    <s v="Credit Card"/>
    <x v="0"/>
    <s v="Mobile App"/>
    <s v="Domestic"/>
    <s v="Transfer"/>
    <s v="High Value"/>
    <x v="4"/>
  </r>
  <r>
    <s v="TXN00430"/>
    <d v="2026-03-17T04:08:58"/>
    <s v="Mar-2026"/>
    <x v="111"/>
    <n v="966778"/>
    <s v="CARD0067"/>
    <s v="MER022"/>
    <s v="Urban Stores"/>
    <n v="37092.019999999997"/>
    <n v="111.28"/>
    <s v="Debit Card"/>
    <x v="0"/>
    <s v="Mobile App"/>
    <s v="International"/>
    <s v="Bill Payment"/>
    <s v="High Value"/>
    <x v="6"/>
  </r>
  <r>
    <s v="TXN00431"/>
    <d v="2026-06-12T22:00:05"/>
    <s v="Jun-2026"/>
    <x v="4"/>
    <n v="2688347"/>
    <s v="CARD0247"/>
    <s v="MER008"/>
    <s v="Daily Services"/>
    <n v="40202.199999999997"/>
    <n v="402.02"/>
    <s v="UPI"/>
    <x v="2"/>
    <s v="Mobile App"/>
    <s v="Domestic"/>
    <s v="Retail Purchase"/>
    <s v="High Value"/>
    <x v="5"/>
  </r>
  <r>
    <s v="TXN00432"/>
    <d v="2025-06-21T22:56:05"/>
    <s v="Jun-2025"/>
    <x v="165"/>
    <n v="2550733"/>
    <s v="CARD0187"/>
    <s v="MER019"/>
    <s v="Metro Retail"/>
    <n v="7171.76"/>
    <n v="35.86"/>
    <s v="Net Banking"/>
    <x v="0"/>
    <s v="Branch"/>
    <s v="Domestic"/>
    <s v="Bill Payment"/>
    <s v="High Value"/>
    <x v="6"/>
  </r>
  <r>
    <s v="TXN00433"/>
    <d v="2026-01-08T12:10:57"/>
    <s v="Jan-2026"/>
    <x v="11"/>
    <n v="2150955"/>
    <s v="CARD0249"/>
    <s v="MER027"/>
    <s v="Prime Digital"/>
    <n v="49167.73"/>
    <n v="147.5"/>
    <s v="UPI"/>
    <x v="0"/>
    <s v="Website"/>
    <s v="International"/>
    <s v="Transfer"/>
    <s v="High Value"/>
    <x v="1"/>
  </r>
  <r>
    <s v="TXN00434"/>
    <d v="2025-10-21T18:23:14"/>
    <s v="Oct-2025"/>
    <x v="79"/>
    <n v="3246146"/>
    <s v="CARD0162"/>
    <s v="MER043"/>
    <s v="Metro Pay"/>
    <n v="10358.58"/>
    <n v="103.59"/>
    <s v="Credit Card"/>
    <x v="0"/>
    <s v="Website"/>
    <s v="International"/>
    <s v="Bill Payment"/>
    <s v="High Value"/>
    <x v="0"/>
  </r>
  <r>
    <s v="TXN00435"/>
    <d v="2025-05-22T15:36:46"/>
    <s v="May-2025"/>
    <x v="99"/>
    <n v="2438970"/>
    <s v="CARD0204"/>
    <s v="MER044"/>
    <s v="Blue Foods"/>
    <n v="24863.22"/>
    <n v="248.63"/>
    <s v="Debit Card"/>
    <x v="0"/>
    <s v="Mobile App"/>
    <s v="International"/>
    <s v="Bill Payment"/>
    <s v="High Value"/>
    <x v="5"/>
  </r>
  <r>
    <s v="TXN00436"/>
    <d v="2025-01-11T18:50:09"/>
    <s v="Jan-2025"/>
    <x v="109"/>
    <n v="3368543"/>
    <s v="CARD0198"/>
    <s v="MER011"/>
    <s v="Quick Pay"/>
    <n v="56624.21"/>
    <n v="283.12"/>
    <s v="Net Banking"/>
    <x v="0"/>
    <s v="Mobile App"/>
    <s v="International"/>
    <s v="Retail Purchase"/>
    <s v="High Value"/>
    <x v="4"/>
  </r>
  <r>
    <s v="TXN00437"/>
    <d v="2025-06-04T20:55:08"/>
    <s v="Jun-2025"/>
    <x v="37"/>
    <n v="2820086"/>
    <s v="CARD0103"/>
    <s v="MER044"/>
    <s v="Blue Foods"/>
    <n v="3562.81"/>
    <n v="17.809999999999999"/>
    <s v="Wallet"/>
    <x v="2"/>
    <s v="POS"/>
    <s v="International"/>
    <s v="Transfer"/>
    <s v="High Value"/>
    <x v="5"/>
  </r>
  <r>
    <s v="TXN00438"/>
    <d v="2025-01-09T10:11:11"/>
    <s v="Jan-2025"/>
    <x v="30"/>
    <n v="2603965"/>
    <s v="CARD0104"/>
    <s v="MER029"/>
    <s v="Fresh Hub"/>
    <n v="54022.49"/>
    <n v="162.07"/>
    <s v="Credit Card"/>
    <x v="0"/>
    <s v="Branch"/>
    <s v="International"/>
    <s v="Cash Withdrawal"/>
    <s v="High Value"/>
    <x v="4"/>
  </r>
  <r>
    <s v="TXN00439"/>
    <d v="2025-07-22T10:58:42"/>
    <s v="Jul-2025"/>
    <x v="45"/>
    <n v="2120402"/>
    <s v="CARD0134"/>
    <s v="MER035"/>
    <s v="Nova Hub"/>
    <n v="5148.43"/>
    <n v="51.48"/>
    <s v="Debit Card"/>
    <x v="0"/>
    <s v="Website"/>
    <s v="Domestic"/>
    <s v="Transfer"/>
    <s v="High Value"/>
    <x v="1"/>
  </r>
  <r>
    <s v="TXN00440"/>
    <d v="2026-06-18T12:24:17"/>
    <s v="Jun-2026"/>
    <x v="117"/>
    <n v="1558103"/>
    <s v="CARD0152"/>
    <s v="MER017"/>
    <s v="Quick Services"/>
    <n v="45447.07"/>
    <n v="90.89"/>
    <s v="Credit Card"/>
    <x v="0"/>
    <s v="POS"/>
    <s v="International"/>
    <s v="Retail Purchase"/>
    <s v="High Value"/>
    <x v="5"/>
  </r>
  <r>
    <s v="TXN00441"/>
    <d v="2025-03-03T13:34:47"/>
    <s v="Mar-2025"/>
    <x v="48"/>
    <n v="1071820"/>
    <s v="CARD0194"/>
    <s v="MER042"/>
    <s v="Blue Digital"/>
    <n v="15659.41"/>
    <n v="31.32"/>
    <s v="UPI"/>
    <x v="0"/>
    <s v="Branch"/>
    <s v="International"/>
    <s v="Retail Purchase"/>
    <s v="High Value"/>
    <x v="7"/>
  </r>
  <r>
    <s v="TXN00442"/>
    <d v="2026-04-10T12:20:30"/>
    <s v="Apr-2026"/>
    <x v="12"/>
    <n v="1636278"/>
    <s v="CARD0077"/>
    <s v="MER019"/>
    <s v="Metro Retail"/>
    <n v="58978.74"/>
    <n v="176.94"/>
    <s v="Wallet"/>
    <x v="1"/>
    <s v="Website"/>
    <s v="International"/>
    <s v="Bill Payment"/>
    <s v="High Value"/>
    <x v="6"/>
  </r>
  <r>
    <s v="TXN00443"/>
    <d v="2025-04-18T11:56:11"/>
    <s v="Apr-2025"/>
    <x v="144"/>
    <n v="2145861"/>
    <s v="CARD0026"/>
    <s v="MER010"/>
    <s v="Blue Hub"/>
    <n v="31035.46"/>
    <n v="155.18"/>
    <s v="Net Banking"/>
    <x v="0"/>
    <s v="Branch"/>
    <s v="Domestic"/>
    <s v="Retail Purchase"/>
    <s v="High Value"/>
    <x v="8"/>
  </r>
  <r>
    <s v="TXN00444"/>
    <d v="2025-03-05T15:28:10"/>
    <s v="Mar-2025"/>
    <x v="29"/>
    <n v="2802699"/>
    <s v="CARD0095"/>
    <s v="MER044"/>
    <s v="Blue Foods"/>
    <n v="53321.71"/>
    <n v="533.22"/>
    <s v="Wallet"/>
    <x v="0"/>
    <s v="Branch"/>
    <s v="International"/>
    <s v="Transfer"/>
    <s v="High Value"/>
    <x v="5"/>
  </r>
  <r>
    <s v="TXN00445"/>
    <d v="2026-08-22T18:09:42"/>
    <s v="Aug-2026"/>
    <x v="81"/>
    <n v="1238971"/>
    <s v="CARD0211"/>
    <s v="MER011"/>
    <s v="Quick Pay"/>
    <n v="38224.019999999997"/>
    <n v="382.24"/>
    <s v="Credit Card"/>
    <x v="3"/>
    <s v="Website"/>
    <s v="International"/>
    <s v="Cash Withdrawal"/>
    <s v="High Value"/>
    <x v="4"/>
  </r>
  <r>
    <s v="TXN00446"/>
    <d v="2025-05-13T18:41:04"/>
    <s v="May-2025"/>
    <x v="144"/>
    <n v="2145861"/>
    <s v="CARD0122"/>
    <s v="MER003"/>
    <s v="Fresh Mart"/>
    <n v="51809.97"/>
    <n v="155.43"/>
    <s v="Credit Card"/>
    <x v="0"/>
    <s v="POS"/>
    <s v="Domestic"/>
    <s v="Cash Withdrawal"/>
    <s v="High Value"/>
    <x v="7"/>
  </r>
  <r>
    <s v="TXN00447"/>
    <d v="2025-04-23T04:24:02"/>
    <s v="Apr-2025"/>
    <x v="24"/>
    <n v="3004295"/>
    <s v="CARD0096"/>
    <s v="MER020"/>
    <s v="Urban Retail"/>
    <n v="22238.2"/>
    <n v="66.709999999999994"/>
    <s v="Debit Card"/>
    <x v="0"/>
    <s v="POS"/>
    <s v="International"/>
    <s v="Cash Withdrawal"/>
    <s v="High Value"/>
    <x v="3"/>
  </r>
  <r>
    <s v="TXN00448"/>
    <d v="2025-01-29T05:12:06"/>
    <s v="Jan-2025"/>
    <x v="32"/>
    <n v="3315307"/>
    <s v="CARD0228"/>
    <s v="MER019"/>
    <s v="Metro Retail"/>
    <n v="8614.17"/>
    <n v="17.23"/>
    <s v="Credit Card"/>
    <x v="0"/>
    <s v="Website"/>
    <s v="International"/>
    <s v="Retail Purchase"/>
    <s v="High Value"/>
    <x v="6"/>
  </r>
  <r>
    <s v="TXN00449"/>
    <d v="2025-05-06T19:56:06"/>
    <s v="May-2025"/>
    <x v="82"/>
    <n v="666210"/>
    <s v="CARD0147"/>
    <s v="MER020"/>
    <s v="Urban Retail"/>
    <n v="20984.07"/>
    <n v="209.84"/>
    <s v="Wallet"/>
    <x v="1"/>
    <s v="Branch"/>
    <s v="International"/>
    <s v="Cash Withdrawal"/>
    <s v="High Value"/>
    <x v="3"/>
  </r>
  <r>
    <s v="TXN00450"/>
    <d v="2026-05-02T22:03:11"/>
    <s v="May-2026"/>
    <x v="112"/>
    <n v="875930"/>
    <s v="CARD0171"/>
    <s v="MER029"/>
    <s v="Fresh Hub"/>
    <n v="8055.3"/>
    <n v="80.55"/>
    <s v="Credit Card"/>
    <x v="0"/>
    <s v="POS"/>
    <s v="Domestic"/>
    <s v="Cash Withdrawal"/>
    <s v="High Value"/>
    <x v="4"/>
  </r>
  <r>
    <s v="TXN00451"/>
    <d v="2026-02-01T08:28:36"/>
    <s v="Feb-2026"/>
    <x v="47"/>
    <n v="1864504"/>
    <s v="CARD0228"/>
    <s v="MER029"/>
    <s v="Fresh Hub"/>
    <n v="54024.639999999999"/>
    <n v="108.05"/>
    <s v="Debit Card"/>
    <x v="0"/>
    <s v="Mobile App"/>
    <s v="Domestic"/>
    <s v="Retail Purchase"/>
    <s v="High Value"/>
    <x v="4"/>
  </r>
  <r>
    <s v="TXN00452"/>
    <d v="2026-08-09T22:56:29"/>
    <s v="Aug-2026"/>
    <x v="158"/>
    <n v="1201601"/>
    <s v="CARD0144"/>
    <s v="MER006"/>
    <s v="Nova Pay"/>
    <n v="47789.91"/>
    <n v="95.58"/>
    <s v="Credit Card"/>
    <x v="2"/>
    <s v="Mobile App"/>
    <s v="Domestic"/>
    <s v="Cash Withdrawal"/>
    <s v="High Value"/>
    <x v="2"/>
  </r>
  <r>
    <s v="TXN00453"/>
    <d v="2026-05-30T00:40:46"/>
    <s v="May-2026"/>
    <x v="75"/>
    <n v="832128"/>
    <s v="CARD0071"/>
    <s v="MER014"/>
    <s v="Daily Stores"/>
    <n v="7304.96"/>
    <n v="21.91"/>
    <s v="Credit Card"/>
    <x v="3"/>
    <s v="Branch"/>
    <s v="Domestic"/>
    <s v="Transfer"/>
    <s v="High Value"/>
    <x v="0"/>
  </r>
  <r>
    <s v="TXN00454"/>
    <d v="2026-02-16T21:26:27"/>
    <s v="Feb-2026"/>
    <x v="70"/>
    <n v="633399"/>
    <s v="CARD0112"/>
    <s v="MER012"/>
    <s v="Daily Hub"/>
    <n v="2794.52"/>
    <n v="5.59"/>
    <s v="Net Banking"/>
    <x v="1"/>
    <s v="Mobile App"/>
    <s v="International"/>
    <s v="Cash Withdrawal"/>
    <s v="High Value"/>
    <x v="2"/>
  </r>
  <r>
    <s v="TXN00455"/>
    <d v="2025-09-21T03:18:50"/>
    <s v="Sep-2025"/>
    <x v="133"/>
    <n v="1331745"/>
    <s v="CARD0037"/>
    <s v="MER012"/>
    <s v="Daily Hub"/>
    <n v="6967.21"/>
    <n v="20.9"/>
    <s v="Debit Card"/>
    <x v="0"/>
    <s v="Mobile App"/>
    <s v="Domestic"/>
    <s v="Transfer"/>
    <s v="High Value"/>
    <x v="2"/>
  </r>
  <r>
    <s v="TXN00456"/>
    <d v="2026-02-22T06:09:36"/>
    <s v="Feb-2026"/>
    <x v="69"/>
    <n v="2495426"/>
    <s v="CARD0183"/>
    <s v="MER004"/>
    <s v="Daily Digital"/>
    <n v="3628.93"/>
    <n v="10.89"/>
    <s v="Debit Card"/>
    <x v="3"/>
    <s v="Branch"/>
    <s v="Domestic"/>
    <s v="Transfer"/>
    <s v="High Value"/>
    <x v="4"/>
  </r>
  <r>
    <s v="TXN00457"/>
    <d v="2025-05-26T15:01:49"/>
    <s v="May-2025"/>
    <x v="125"/>
    <n v="3304710"/>
    <s v="CARD0052"/>
    <s v="MER016"/>
    <s v="Blue Foods"/>
    <n v="53591.360000000001"/>
    <n v="107.18"/>
    <s v="Wallet"/>
    <x v="0"/>
    <s v="Website"/>
    <s v="International"/>
    <s v="Cash Withdrawal"/>
    <s v="High Value"/>
    <x v="0"/>
  </r>
  <r>
    <s v="TXN00458"/>
    <d v="2025-04-28T09:48:16"/>
    <s v="Apr-2025"/>
    <x v="145"/>
    <n v="2143143"/>
    <s v="CARD0124"/>
    <s v="MER002"/>
    <s v="Daily Stores"/>
    <n v="3731.86"/>
    <n v="37.32"/>
    <s v="Net Banking"/>
    <x v="0"/>
    <s v="Website"/>
    <s v="Domestic"/>
    <s v="Transfer"/>
    <s v="High Value"/>
    <x v="6"/>
  </r>
  <r>
    <s v="TXN00459"/>
    <d v="2026-07-22T21:20:30"/>
    <s v="Jul-2026"/>
    <x v="166"/>
    <n v="2180598"/>
    <s v="CARD0146"/>
    <s v="MER027"/>
    <s v="Prime Digital"/>
    <n v="40538.339999999997"/>
    <n v="121.62"/>
    <s v="Net Banking"/>
    <x v="0"/>
    <s v="Mobile App"/>
    <s v="Domestic"/>
    <s v="Bill Payment"/>
    <s v="High Value"/>
    <x v="1"/>
  </r>
  <r>
    <s v="TXN00460"/>
    <d v="2026-01-18T19:40:36"/>
    <s v="Jan-2026"/>
    <x v="33"/>
    <n v="2407873"/>
    <s v="CARD0116"/>
    <s v="MER003"/>
    <s v="Fresh Mart"/>
    <n v="59119.99"/>
    <n v="591.20000000000005"/>
    <s v="UPI"/>
    <x v="1"/>
    <s v="Branch"/>
    <s v="International"/>
    <s v="Bill Payment"/>
    <s v="High Value"/>
    <x v="7"/>
  </r>
  <r>
    <s v="TXN00461"/>
    <d v="2025-01-01T02:11:27"/>
    <s v="Jan-2025"/>
    <x v="65"/>
    <n v="2926065"/>
    <s v="CARD0098"/>
    <s v="MER023"/>
    <s v="Smart Pay"/>
    <n v="56017.06"/>
    <n v="280.08999999999997"/>
    <s v="Credit Card"/>
    <x v="0"/>
    <s v="POS"/>
    <s v="Domestic"/>
    <s v="Bill Payment"/>
    <s v="High Value"/>
    <x v="6"/>
  </r>
  <r>
    <s v="TXN00462"/>
    <d v="2026-07-01T20:30:04"/>
    <s v="Jul-2026"/>
    <x v="167"/>
    <n v="1376421"/>
    <s v="CARD0186"/>
    <s v="MER036"/>
    <s v="Green Foods"/>
    <n v="4289.12"/>
    <n v="8.58"/>
    <s v="Debit Card"/>
    <x v="0"/>
    <s v="Branch"/>
    <s v="Domestic"/>
    <s v="Transfer"/>
    <s v="High Value"/>
    <x v="3"/>
  </r>
  <r>
    <s v="TXN00463"/>
    <d v="2025-12-17T23:07:32"/>
    <s v="Dec-2025"/>
    <x v="80"/>
    <n v="1097886"/>
    <s v="CARD0063"/>
    <s v="MER043"/>
    <s v="Metro Pay"/>
    <n v="15755.5"/>
    <n v="157.56"/>
    <s v="Debit Card"/>
    <x v="2"/>
    <s v="POS"/>
    <s v="Domestic"/>
    <s v="Cash Withdrawal"/>
    <s v="High Value"/>
    <x v="0"/>
  </r>
  <r>
    <s v="TXN00464"/>
    <d v="2026-09-06T11:57:31"/>
    <s v="Sep-2026"/>
    <x v="94"/>
    <n v="2430547"/>
    <s v="CARD0122"/>
    <s v="MER001"/>
    <s v="Urban Services"/>
    <n v="1050.8900000000001"/>
    <n v="2.1"/>
    <s v="UPI"/>
    <x v="2"/>
    <s v="Website"/>
    <s v="International"/>
    <s v="Cash Withdrawal"/>
    <s v="Standard"/>
    <x v="2"/>
  </r>
  <r>
    <s v="TXN00465"/>
    <d v="2026-02-07T19:35:33"/>
    <s v="Feb-2026"/>
    <x v="57"/>
    <n v="3457954"/>
    <s v="CARD0008"/>
    <s v="MER043"/>
    <s v="Metro Pay"/>
    <n v="4960.8100000000004"/>
    <n v="9.92"/>
    <s v="Net Banking"/>
    <x v="1"/>
    <s v="Mobile App"/>
    <s v="International"/>
    <s v="Cash Withdrawal"/>
    <s v="High Value"/>
    <x v="0"/>
  </r>
  <r>
    <s v="TXN00466"/>
    <d v="2026-09-08T13:01:59"/>
    <s v="Sep-2026"/>
    <x v="6"/>
    <n v="983587"/>
    <s v="CARD0119"/>
    <s v="MER024"/>
    <s v="Metro Stores"/>
    <n v="23266.39"/>
    <n v="46.53"/>
    <s v="Credit Card"/>
    <x v="1"/>
    <s v="Branch"/>
    <s v="Domestic"/>
    <s v="Bill Payment"/>
    <s v="High Value"/>
    <x v="4"/>
  </r>
  <r>
    <s v="TXN00467"/>
    <d v="2025-01-21T10:14:08"/>
    <s v="Jan-2025"/>
    <x v="7"/>
    <n v="1291728"/>
    <s v="CARD0209"/>
    <s v="MER040"/>
    <s v="Blue Retail"/>
    <n v="40865.21"/>
    <n v="122.6"/>
    <s v="Debit Card"/>
    <x v="2"/>
    <s v="Website"/>
    <s v="Domestic"/>
    <s v="Cash Withdrawal"/>
    <s v="High Value"/>
    <x v="4"/>
  </r>
  <r>
    <s v="TXN00468"/>
    <d v="2026-01-07T01:20:22"/>
    <s v="Jan-2026"/>
    <x v="135"/>
    <n v="544647"/>
    <s v="CARD0051"/>
    <s v="MER041"/>
    <s v="Metro Pay"/>
    <n v="16917.310000000001"/>
    <n v="50.75"/>
    <s v="Net Banking"/>
    <x v="3"/>
    <s v="Mobile App"/>
    <s v="International"/>
    <s v="Cash Withdrawal"/>
    <s v="High Value"/>
    <x v="4"/>
  </r>
  <r>
    <s v="TXN00469"/>
    <d v="2025-06-24T20:05:23"/>
    <s v="Jun-2025"/>
    <x v="145"/>
    <n v="2143143"/>
    <s v="CARD0151"/>
    <s v="MER009"/>
    <s v="Prime Mart"/>
    <n v="11706.84"/>
    <n v="35.119999999999997"/>
    <s v="UPI"/>
    <x v="2"/>
    <s v="Website"/>
    <s v="International"/>
    <s v="Bill Payment"/>
    <s v="High Value"/>
    <x v="5"/>
  </r>
  <r>
    <s v="TXN00470"/>
    <d v="2026-06-20T09:59:16"/>
    <s v="Jun-2026"/>
    <x v="65"/>
    <n v="2926065"/>
    <s v="CARD0144"/>
    <s v="MER030"/>
    <s v="Green Pay"/>
    <n v="11591.91"/>
    <n v="57.96"/>
    <s v="UPI"/>
    <x v="2"/>
    <s v="Branch"/>
    <s v="Domestic"/>
    <s v="Transfer"/>
    <s v="High Value"/>
    <x v="8"/>
  </r>
  <r>
    <s v="TXN00471"/>
    <d v="2026-03-19T14:48:50"/>
    <s v="Mar-2026"/>
    <x v="14"/>
    <n v="3108672"/>
    <s v="CARD0093"/>
    <s v="MER034"/>
    <s v="Urban Retail"/>
    <n v="16514.73"/>
    <n v="165.15"/>
    <s v="UPI"/>
    <x v="2"/>
    <s v="Website"/>
    <s v="Domestic"/>
    <s v="Transfer"/>
    <s v="High Value"/>
    <x v="8"/>
  </r>
  <r>
    <s v="TXN00472"/>
    <d v="2026-03-07T19:23:04"/>
    <s v="Mar-2026"/>
    <x v="27"/>
    <n v="1180530"/>
    <s v="CARD0021"/>
    <s v="MER037"/>
    <s v="Metro Pay"/>
    <n v="26986.799999999999"/>
    <n v="80.959999999999994"/>
    <s v="UPI"/>
    <x v="0"/>
    <s v="Website"/>
    <s v="International"/>
    <s v="Retail Purchase"/>
    <s v="High Value"/>
    <x v="2"/>
  </r>
  <r>
    <s v="TXN00473"/>
    <d v="2025-09-13T07:10:05"/>
    <s v="Sep-2025"/>
    <x v="35"/>
    <n v="3422483"/>
    <s v="CARD0123"/>
    <s v="MER028"/>
    <s v="Prime Pay"/>
    <n v="9952.4500000000007"/>
    <n v="19.899999999999999"/>
    <s v="UPI"/>
    <x v="0"/>
    <s v="POS"/>
    <s v="International"/>
    <s v="Bill Payment"/>
    <s v="High Value"/>
    <x v="0"/>
  </r>
  <r>
    <s v="TXN00474"/>
    <d v="2025-04-21T17:14:32"/>
    <s v="Apr-2025"/>
    <x v="27"/>
    <n v="1180530"/>
    <s v="CARD0134"/>
    <s v="MER016"/>
    <s v="Blue Foods"/>
    <n v="14377.72"/>
    <n v="28.76"/>
    <s v="UPI"/>
    <x v="0"/>
    <s v="Branch"/>
    <s v="Domestic"/>
    <s v="Cash Withdrawal"/>
    <s v="High Value"/>
    <x v="0"/>
  </r>
  <r>
    <s v="TXN00475"/>
    <d v="2026-08-16T04:32:41"/>
    <s v="Aug-2026"/>
    <x v="168"/>
    <n v="3200212"/>
    <s v="CARD0081"/>
    <s v="MER045"/>
    <s v="Blue Services"/>
    <n v="5223.53"/>
    <n v="10.45"/>
    <s v="UPI"/>
    <x v="0"/>
    <s v="Website"/>
    <s v="Domestic"/>
    <s v="Cash Withdrawal"/>
    <s v="High Value"/>
    <x v="0"/>
  </r>
  <r>
    <s v="TXN00476"/>
    <d v="2025-02-26T10:58:34"/>
    <s v="Feb-2025"/>
    <x v="102"/>
    <n v="2405316"/>
    <s v="CARD0015"/>
    <s v="MER036"/>
    <s v="Green Foods"/>
    <n v="36683.24"/>
    <n v="73.37"/>
    <s v="UPI"/>
    <x v="0"/>
    <s v="POS"/>
    <s v="International"/>
    <s v="Cash Withdrawal"/>
    <s v="High Value"/>
    <x v="3"/>
  </r>
  <r>
    <s v="TXN00477"/>
    <d v="2025-04-09T22:28:31"/>
    <s v="Apr-2025"/>
    <x v="144"/>
    <n v="2145861"/>
    <s v="CARD0099"/>
    <s v="MER030"/>
    <s v="Green Pay"/>
    <n v="45142.61"/>
    <n v="90.29"/>
    <s v="Net Banking"/>
    <x v="0"/>
    <s v="Mobile App"/>
    <s v="International"/>
    <s v="Retail Purchase"/>
    <s v="High Value"/>
    <x v="8"/>
  </r>
  <r>
    <s v="TXN00478"/>
    <d v="2026-04-10T18:49:52"/>
    <s v="Apr-2026"/>
    <x v="74"/>
    <n v="2651559"/>
    <s v="CARD0153"/>
    <s v="MER005"/>
    <s v="Prime Foods"/>
    <n v="19758.8"/>
    <n v="39.520000000000003"/>
    <s v="Wallet"/>
    <x v="0"/>
    <s v="Website"/>
    <s v="Domestic"/>
    <s v="Transfer"/>
    <s v="High Value"/>
    <x v="6"/>
  </r>
  <r>
    <s v="TXN00479"/>
    <d v="2025-12-30T15:19:42"/>
    <s v="Dec-2025"/>
    <x v="134"/>
    <n v="984635"/>
    <s v="CARD0036"/>
    <s v="MER003"/>
    <s v="Fresh Mart"/>
    <n v="28935.82"/>
    <n v="86.81"/>
    <s v="UPI"/>
    <x v="2"/>
    <s v="Website"/>
    <s v="International"/>
    <s v="Cash Withdrawal"/>
    <s v="High Value"/>
    <x v="7"/>
  </r>
  <r>
    <s v="TXN00480"/>
    <d v="2026-06-10T23:43:40"/>
    <s v="Jun-2026"/>
    <x v="110"/>
    <n v="2630218"/>
    <s v="CARD0121"/>
    <s v="MER020"/>
    <s v="Urban Retail"/>
    <n v="45286.98"/>
    <n v="135.86000000000001"/>
    <s v="Wallet"/>
    <x v="0"/>
    <s v="POS"/>
    <s v="International"/>
    <s v="Transfer"/>
    <s v="High Value"/>
    <x v="3"/>
  </r>
  <r>
    <s v="TXN00481"/>
    <d v="2025-01-09T18:50:53"/>
    <s v="Jan-2025"/>
    <x v="128"/>
    <n v="473491"/>
    <s v="CARD0130"/>
    <s v="MER036"/>
    <s v="Green Foods"/>
    <n v="35227.75"/>
    <n v="70.459999999999994"/>
    <s v="UPI"/>
    <x v="2"/>
    <s v="Branch"/>
    <s v="International"/>
    <s v="Bill Payment"/>
    <s v="High Value"/>
    <x v="3"/>
  </r>
  <r>
    <s v="TXN00482"/>
    <d v="2025-07-25T23:19:18"/>
    <s v="Jul-2025"/>
    <x v="131"/>
    <n v="1579037"/>
    <s v="CARD0171"/>
    <s v="MER031"/>
    <s v="Daily Digital"/>
    <n v="54519.16"/>
    <n v="272.60000000000002"/>
    <s v="Net Banking"/>
    <x v="1"/>
    <s v="POS"/>
    <s v="International"/>
    <s v="Transfer"/>
    <s v="High Value"/>
    <x v="3"/>
  </r>
  <r>
    <s v="TXN00483"/>
    <d v="2026-03-05T11:57:52"/>
    <s v="Mar-2026"/>
    <x v="14"/>
    <n v="3108672"/>
    <s v="CARD0057"/>
    <s v="MER001"/>
    <s v="Urban Services"/>
    <n v="9820.57"/>
    <n v="19.64"/>
    <s v="Credit Card"/>
    <x v="0"/>
    <s v="Website"/>
    <s v="International"/>
    <s v="Bill Payment"/>
    <s v="High Value"/>
    <x v="2"/>
  </r>
  <r>
    <s v="TXN00484"/>
    <d v="2025-09-02T17:30:12"/>
    <s v="Sep-2025"/>
    <x v="168"/>
    <n v="3200212"/>
    <s v="CARD0053"/>
    <s v="MER026"/>
    <s v="Metro Services"/>
    <n v="44101.71"/>
    <n v="220.51"/>
    <s v="Credit Card"/>
    <x v="3"/>
    <s v="Mobile App"/>
    <s v="International"/>
    <s v="Retail Purchase"/>
    <s v="High Value"/>
    <x v="0"/>
  </r>
  <r>
    <s v="TXN00485"/>
    <d v="2025-03-17T13:01:48"/>
    <s v="Mar-2025"/>
    <x v="11"/>
    <n v="2150955"/>
    <s v="CARD0050"/>
    <s v="MER041"/>
    <s v="Metro Pay"/>
    <n v="1898.05"/>
    <n v="9.49"/>
    <s v="Wallet"/>
    <x v="0"/>
    <s v="POS"/>
    <s v="Domestic"/>
    <s v="Retail Purchase"/>
    <s v="Standard"/>
    <x v="4"/>
  </r>
  <r>
    <s v="TXN00486"/>
    <d v="2025-07-23T07:12:09"/>
    <s v="Jul-2025"/>
    <x v="61"/>
    <n v="2458421"/>
    <s v="CARD0087"/>
    <s v="MER036"/>
    <s v="Green Foods"/>
    <n v="17117.64"/>
    <n v="85.59"/>
    <s v="Credit Card"/>
    <x v="0"/>
    <s v="Website"/>
    <s v="Domestic"/>
    <s v="Retail Purchase"/>
    <s v="High Value"/>
    <x v="3"/>
  </r>
  <r>
    <s v="TXN00487"/>
    <d v="2025-06-30T09:31:53"/>
    <s v="Jun-2025"/>
    <x v="55"/>
    <n v="2889113"/>
    <s v="CARD0168"/>
    <s v="MER008"/>
    <s v="Daily Services"/>
    <n v="54647.87"/>
    <n v="163.94"/>
    <s v="Debit Card"/>
    <x v="0"/>
    <s v="Website"/>
    <s v="International"/>
    <s v="Cash Withdrawal"/>
    <s v="High Value"/>
    <x v="5"/>
  </r>
  <r>
    <s v="TXN00488"/>
    <d v="2025-09-03T13:27:29"/>
    <s v="Sep-2025"/>
    <x v="145"/>
    <n v="2143143"/>
    <s v="CARD0031"/>
    <s v="MER010"/>
    <s v="Blue Hub"/>
    <n v="48588.32"/>
    <n v="485.88"/>
    <s v="Credit Card"/>
    <x v="2"/>
    <s v="Website"/>
    <s v="Domestic"/>
    <s v="Cash Withdrawal"/>
    <s v="High Value"/>
    <x v="8"/>
  </r>
  <r>
    <s v="TXN00489"/>
    <d v="2026-01-19T11:34:34"/>
    <s v="Jan-2026"/>
    <x v="132"/>
    <n v="314638"/>
    <s v="CARD0196"/>
    <s v="MER040"/>
    <s v="Blue Retail"/>
    <n v="36012.99"/>
    <n v="108.04"/>
    <s v="Wallet"/>
    <x v="3"/>
    <s v="Website"/>
    <s v="International"/>
    <s v="Bill Payment"/>
    <s v="High Value"/>
    <x v="4"/>
  </r>
  <r>
    <s v="TXN00490"/>
    <d v="2025-12-02T08:59:57"/>
    <s v="Dec-2025"/>
    <x v="156"/>
    <n v="2693971"/>
    <s v="CARD0248"/>
    <s v="MER038"/>
    <s v="Quick Hub"/>
    <n v="3290.21"/>
    <n v="9.8699999999999992"/>
    <s v="Net Banking"/>
    <x v="1"/>
    <s v="Website"/>
    <s v="Domestic"/>
    <s v="Cash Withdrawal"/>
    <s v="High Value"/>
    <x v="8"/>
  </r>
  <r>
    <s v="TXN00491"/>
    <d v="2026-09-22T02:21:43"/>
    <s v="Sep-2026"/>
    <x v="21"/>
    <n v="1483380"/>
    <s v="CARD0133"/>
    <s v="MER030"/>
    <s v="Green Pay"/>
    <n v="10129.27"/>
    <n v="50.65"/>
    <s v="Credit Card"/>
    <x v="0"/>
    <s v="POS"/>
    <s v="International"/>
    <s v="Cash Withdrawal"/>
    <s v="High Value"/>
    <x v="8"/>
  </r>
  <r>
    <s v="TXN00492"/>
    <d v="2026-05-22T17:14:56"/>
    <s v="May-2026"/>
    <x v="124"/>
    <n v="932293"/>
    <s v="CARD0057"/>
    <s v="MER013"/>
    <s v="Quick Retail"/>
    <n v="16173.29"/>
    <n v="32.35"/>
    <s v="Net Banking"/>
    <x v="0"/>
    <s v="Website"/>
    <s v="International"/>
    <s v="Bill Payment"/>
    <s v="High Value"/>
    <x v="3"/>
  </r>
  <r>
    <s v="TXN00493"/>
    <d v="2025-11-10T15:28:28"/>
    <s v="Nov-2025"/>
    <x v="78"/>
    <n v="1370286"/>
    <s v="CARD0141"/>
    <s v="MER006"/>
    <s v="Nova Pay"/>
    <n v="53333.66"/>
    <n v="266.67"/>
    <s v="Credit Card"/>
    <x v="0"/>
    <s v="Mobile App"/>
    <s v="International"/>
    <s v="Cash Withdrawal"/>
    <s v="High Value"/>
    <x v="2"/>
  </r>
  <r>
    <s v="TXN00494"/>
    <d v="2026-06-16T12:48:01"/>
    <s v="Jun-2026"/>
    <x v="8"/>
    <n v="2069594"/>
    <s v="CARD0116"/>
    <s v="MER030"/>
    <s v="Green Pay"/>
    <n v="13887.64"/>
    <n v="69.44"/>
    <s v="Net Banking"/>
    <x v="0"/>
    <s v="Branch"/>
    <s v="International"/>
    <s v="Cash Withdrawal"/>
    <s v="High Value"/>
    <x v="8"/>
  </r>
  <r>
    <s v="TXN00495"/>
    <d v="2025-11-21T09:56:25"/>
    <s v="Nov-2025"/>
    <x v="77"/>
    <n v="3403277"/>
    <s v="CARD0166"/>
    <s v="MER005"/>
    <s v="Prime Foods"/>
    <n v="23004.02"/>
    <n v="69.010000000000005"/>
    <s v="Debit Card"/>
    <x v="0"/>
    <s v="Mobile App"/>
    <s v="International"/>
    <s v="Retail Purchase"/>
    <s v="High Value"/>
    <x v="6"/>
  </r>
  <r>
    <s v="TXN00496"/>
    <d v="2025-10-11T08:17:30"/>
    <s v="Oct-2025"/>
    <x v="95"/>
    <n v="2769812"/>
    <s v="CARD0052"/>
    <s v="MER022"/>
    <s v="Urban Stores"/>
    <n v="5994.71"/>
    <n v="11.99"/>
    <s v="Credit Card"/>
    <x v="0"/>
    <s v="POS"/>
    <s v="International"/>
    <s v="Transfer"/>
    <s v="High Value"/>
    <x v="6"/>
  </r>
  <r>
    <s v="TXN00497"/>
    <d v="2025-10-09T06:56:27"/>
    <s v="Oct-2025"/>
    <x v="9"/>
    <n v="2705049"/>
    <s v="CARD0198"/>
    <s v="MER020"/>
    <s v="Urban Retail"/>
    <n v="42367.99"/>
    <n v="211.84"/>
    <s v="Debit Card"/>
    <x v="3"/>
    <s v="POS"/>
    <s v="International"/>
    <s v="Cash Withdrawal"/>
    <s v="High Value"/>
    <x v="3"/>
  </r>
  <r>
    <s v="TXN00498"/>
    <d v="2026-08-17T23:51:32"/>
    <s v="Aug-2026"/>
    <x v="16"/>
    <n v="3376854"/>
    <s v="CARD0059"/>
    <s v="MER015"/>
    <s v="Metro Pay"/>
    <n v="812.25"/>
    <n v="2.44"/>
    <s v="Credit Card"/>
    <x v="2"/>
    <s v="Branch"/>
    <s v="Domestic"/>
    <s v="Cash Withdrawal"/>
    <s v="Standard"/>
    <x v="3"/>
  </r>
  <r>
    <s v="TXN00499"/>
    <d v="2026-04-18T12:24:10"/>
    <s v="Apr-2026"/>
    <x v="8"/>
    <n v="2069594"/>
    <s v="CARD0198"/>
    <s v="MER045"/>
    <s v="Blue Services"/>
    <n v="47535.7"/>
    <n v="142.61000000000001"/>
    <s v="Net Banking"/>
    <x v="0"/>
    <s v="Website"/>
    <s v="International"/>
    <s v="Cash Withdrawal"/>
    <s v="High Value"/>
    <x v="0"/>
  </r>
  <r>
    <s v="TXN00500"/>
    <d v="2026-07-26T01:05:45"/>
    <s v="Jul-2026"/>
    <x v="32"/>
    <n v="3315307"/>
    <s v="CARD0242"/>
    <s v="MER001"/>
    <s v="Urban Services"/>
    <n v="22544.54"/>
    <n v="67.63"/>
    <s v="Net Banking"/>
    <x v="0"/>
    <s v="POS"/>
    <s v="International"/>
    <s v="Bill Payment"/>
    <s v="High Value"/>
    <x v="2"/>
  </r>
  <r>
    <s v="TXN00501"/>
    <d v="2026-03-06T15:29:59"/>
    <s v="Mar-2026"/>
    <x v="25"/>
    <n v="2152609"/>
    <s v="CARD0151"/>
    <s v="MER002"/>
    <s v="Daily Stores"/>
    <n v="41177.19"/>
    <n v="205.89"/>
    <s v="Wallet"/>
    <x v="0"/>
    <s v="Mobile App"/>
    <s v="Domestic"/>
    <s v="Bill Payment"/>
    <s v="High Value"/>
    <x v="6"/>
  </r>
  <r>
    <s v="TXN00502"/>
    <d v="2025-12-05T20:41:13"/>
    <s v="Dec-2025"/>
    <x v="55"/>
    <n v="2889113"/>
    <s v="CARD0053"/>
    <s v="MER026"/>
    <s v="Metro Services"/>
    <n v="37827.370000000003"/>
    <n v="378.27"/>
    <s v="UPI"/>
    <x v="0"/>
    <s v="Branch"/>
    <s v="Domestic"/>
    <s v="Cash Withdrawal"/>
    <s v="High Value"/>
    <x v="0"/>
  </r>
  <r>
    <s v="TXN00503"/>
    <d v="2025-04-22T11:58:21"/>
    <s v="Apr-2025"/>
    <x v="7"/>
    <n v="1291728"/>
    <s v="CARD0044"/>
    <s v="MER007"/>
    <s v="Blue Hub"/>
    <n v="34213.949999999997"/>
    <n v="171.07"/>
    <s v="Wallet"/>
    <x v="0"/>
    <s v="Website"/>
    <s v="Domestic"/>
    <s v="Cash Withdrawal"/>
    <s v="High Value"/>
    <x v="4"/>
  </r>
  <r>
    <s v="TXN00504"/>
    <d v="2025-01-28T06:47:50"/>
    <s v="Jan-2025"/>
    <x v="103"/>
    <n v="2067729"/>
    <s v="CARD0053"/>
    <s v="MER015"/>
    <s v="Metro Pay"/>
    <n v="12020.02"/>
    <n v="120.2"/>
    <s v="Debit Card"/>
    <x v="3"/>
    <s v="Mobile App"/>
    <s v="International"/>
    <s v="Retail Purchase"/>
    <s v="High Value"/>
    <x v="3"/>
  </r>
  <r>
    <s v="TXN00505"/>
    <d v="2026-01-13T18:52:44"/>
    <s v="Jan-2026"/>
    <x v="149"/>
    <n v="1234463"/>
    <s v="CARD0041"/>
    <s v="MER008"/>
    <s v="Daily Services"/>
    <n v="761.72"/>
    <n v="7.62"/>
    <s v="Credit Card"/>
    <x v="0"/>
    <s v="Branch"/>
    <s v="International"/>
    <s v="Retail Purchase"/>
    <s v="Standard"/>
    <x v="5"/>
  </r>
  <r>
    <s v="TXN00506"/>
    <d v="2026-02-03T07:31:03"/>
    <s v="Feb-2026"/>
    <x v="19"/>
    <n v="2759945"/>
    <s v="CARD0122"/>
    <s v="MER011"/>
    <s v="Quick Pay"/>
    <n v="7882.94"/>
    <n v="78.83"/>
    <s v="Wallet"/>
    <x v="0"/>
    <s v="POS"/>
    <s v="Domestic"/>
    <s v="Cash Withdrawal"/>
    <s v="High Value"/>
    <x v="4"/>
  </r>
  <r>
    <s v="TXN00507"/>
    <d v="2025-10-10T07:20:37"/>
    <s v="Oct-2025"/>
    <x v="109"/>
    <n v="3368543"/>
    <s v="CARD0155"/>
    <s v="MER016"/>
    <s v="Blue Foods"/>
    <n v="545.85"/>
    <n v="1.0900000000000001"/>
    <s v="Wallet"/>
    <x v="0"/>
    <s v="POS"/>
    <s v="International"/>
    <s v="Cash Withdrawal"/>
    <s v="Standard"/>
    <x v="0"/>
  </r>
  <r>
    <s v="TXN00508"/>
    <d v="2026-04-19T20:58:34"/>
    <s v="Apr-2026"/>
    <x v="106"/>
    <n v="498752"/>
    <s v="CARD0180"/>
    <s v="MER020"/>
    <s v="Urban Retail"/>
    <n v="2441.1799999999998"/>
    <n v="24.41"/>
    <s v="Net Banking"/>
    <x v="0"/>
    <s v="Website"/>
    <s v="International"/>
    <s v="Bill Payment"/>
    <s v="Standard"/>
    <x v="3"/>
  </r>
  <r>
    <s v="TXN00509"/>
    <d v="2025-07-03T22:29:27"/>
    <s v="Jul-2025"/>
    <x v="169"/>
    <n v="1903056"/>
    <s v="CARD0146"/>
    <s v="MER007"/>
    <s v="Blue Hub"/>
    <n v="44021.31"/>
    <n v="132.06"/>
    <s v="Net Banking"/>
    <x v="0"/>
    <s v="Mobile App"/>
    <s v="Domestic"/>
    <s v="Bill Payment"/>
    <s v="High Value"/>
    <x v="4"/>
  </r>
  <r>
    <s v="TXN00510"/>
    <d v="2025-10-08T22:52:04"/>
    <s v="Oct-2025"/>
    <x v="169"/>
    <n v="1903056"/>
    <s v="CARD0186"/>
    <s v="MER014"/>
    <s v="Daily Stores"/>
    <n v="32310.48"/>
    <n v="64.62"/>
    <s v="Net Banking"/>
    <x v="2"/>
    <s v="Branch"/>
    <s v="Domestic"/>
    <s v="Transfer"/>
    <s v="High Value"/>
    <x v="0"/>
  </r>
  <r>
    <s v="TXN00511"/>
    <d v="2025-03-20T03:49:51"/>
    <s v="Mar-2025"/>
    <x v="112"/>
    <n v="875930"/>
    <s v="CARD0043"/>
    <s v="MER017"/>
    <s v="Quick Services"/>
    <n v="30313.25"/>
    <n v="303.13"/>
    <s v="Credit Card"/>
    <x v="2"/>
    <s v="Mobile App"/>
    <s v="International"/>
    <s v="Retail Purchase"/>
    <s v="High Value"/>
    <x v="5"/>
  </r>
  <r>
    <s v="TXN00512"/>
    <d v="2025-03-16T23:15:37"/>
    <s v="Mar-2025"/>
    <x v="70"/>
    <n v="633399"/>
    <s v="CARD0191"/>
    <s v="MER026"/>
    <s v="Metro Services"/>
    <n v="41699.69"/>
    <n v="417"/>
    <s v="Credit Card"/>
    <x v="2"/>
    <s v="Branch"/>
    <s v="Domestic"/>
    <s v="Retail Purchase"/>
    <s v="High Value"/>
    <x v="0"/>
  </r>
  <r>
    <s v="TXN00513"/>
    <d v="2025-09-14T04:10:31"/>
    <s v="Sep-2025"/>
    <x v="111"/>
    <n v="966778"/>
    <s v="CARD0119"/>
    <s v="MER005"/>
    <s v="Prime Foods"/>
    <n v="42575.07"/>
    <n v="425.75"/>
    <s v="UPI"/>
    <x v="0"/>
    <s v="Website"/>
    <s v="International"/>
    <s v="Bill Payment"/>
    <s v="High Value"/>
    <x v="6"/>
  </r>
  <r>
    <s v="TXN00514"/>
    <d v="2026-04-28T10:09:47"/>
    <s v="Apr-2026"/>
    <x v="94"/>
    <n v="2430547"/>
    <s v="CARD0026"/>
    <s v="MER012"/>
    <s v="Daily Hub"/>
    <n v="50509.599999999999"/>
    <n v="101.02"/>
    <s v="Debit Card"/>
    <x v="0"/>
    <s v="Mobile App"/>
    <s v="International"/>
    <s v="Bill Payment"/>
    <s v="High Value"/>
    <x v="2"/>
  </r>
  <r>
    <s v="TXN00515"/>
    <d v="2025-03-21T00:24:29"/>
    <s v="Mar-2025"/>
    <x v="101"/>
    <n v="743257"/>
    <s v="CARD0056"/>
    <s v="MER003"/>
    <s v="Fresh Mart"/>
    <n v="40675.25"/>
    <n v="203.38"/>
    <s v="Wallet"/>
    <x v="0"/>
    <s v="Website"/>
    <s v="International"/>
    <s v="Retail Purchase"/>
    <s v="High Value"/>
    <x v="7"/>
  </r>
  <r>
    <s v="TXN00516"/>
    <d v="2026-06-20T23:20:18"/>
    <s v="Jun-2026"/>
    <x v="38"/>
    <n v="1621823"/>
    <s v="CARD0177"/>
    <s v="MER020"/>
    <s v="Urban Retail"/>
    <n v="39786.14"/>
    <n v="79.569999999999993"/>
    <s v="Net Banking"/>
    <x v="2"/>
    <s v="Mobile App"/>
    <s v="Domestic"/>
    <s v="Retail Purchase"/>
    <s v="High Value"/>
    <x v="3"/>
  </r>
  <r>
    <s v="TXN00517"/>
    <d v="2026-01-22T07:20:42"/>
    <s v="Jan-2026"/>
    <x v="58"/>
    <n v="347331"/>
    <s v="CARD0024"/>
    <s v="MER002"/>
    <s v="Daily Stores"/>
    <n v="55736.35"/>
    <n v="167.21"/>
    <s v="Net Banking"/>
    <x v="0"/>
    <s v="Mobile App"/>
    <s v="Domestic"/>
    <s v="Transfer"/>
    <s v="High Value"/>
    <x v="6"/>
  </r>
  <r>
    <s v="TXN00518"/>
    <d v="2025-07-16T02:18:00"/>
    <s v="Jul-2025"/>
    <x v="20"/>
    <n v="2785330"/>
    <s v="CARD0012"/>
    <s v="MER027"/>
    <s v="Prime Digital"/>
    <n v="13312.01"/>
    <n v="39.94"/>
    <s v="Wallet"/>
    <x v="1"/>
    <s v="Mobile App"/>
    <s v="International"/>
    <s v="Transfer"/>
    <s v="High Value"/>
    <x v="1"/>
  </r>
  <r>
    <s v="TXN00519"/>
    <d v="2026-07-30T22:49:14"/>
    <s v="Jul-2026"/>
    <x v="8"/>
    <n v="2069594"/>
    <s v="CARD0031"/>
    <s v="MER015"/>
    <s v="Metro Pay"/>
    <n v="11453.9"/>
    <n v="114.54"/>
    <s v="Credit Card"/>
    <x v="0"/>
    <s v="Mobile App"/>
    <s v="International"/>
    <s v="Transfer"/>
    <s v="High Value"/>
    <x v="3"/>
  </r>
  <r>
    <s v="TXN00520"/>
    <d v="2025-06-27T00:32:45"/>
    <s v="Jun-2025"/>
    <x v="105"/>
    <n v="1784496"/>
    <s v="CARD0118"/>
    <s v="MER015"/>
    <s v="Metro Pay"/>
    <n v="24188.16"/>
    <n v="241.88"/>
    <s v="UPI"/>
    <x v="0"/>
    <s v="POS"/>
    <s v="International"/>
    <s v="Retail Purchase"/>
    <s v="High Value"/>
    <x v="3"/>
  </r>
  <r>
    <s v="TXN00521"/>
    <d v="2025-03-10T07:57:27"/>
    <s v="Mar-2025"/>
    <x v="10"/>
    <n v="210160"/>
    <s v="CARD0183"/>
    <s v="MER035"/>
    <s v="Nova Hub"/>
    <n v="24724.7"/>
    <n v="247.25"/>
    <s v="Wallet"/>
    <x v="2"/>
    <s v="Website"/>
    <s v="International"/>
    <s v="Retail Purchase"/>
    <s v="High Value"/>
    <x v="1"/>
  </r>
  <r>
    <s v="TXN00522"/>
    <d v="2026-09-07T11:48:33"/>
    <s v="Sep-2026"/>
    <x v="27"/>
    <n v="1180530"/>
    <s v="CARD0045"/>
    <s v="MER041"/>
    <s v="Metro Pay"/>
    <n v="58886.81"/>
    <n v="176.66"/>
    <s v="Debit Card"/>
    <x v="2"/>
    <s v="Branch"/>
    <s v="Domestic"/>
    <s v="Transfer"/>
    <s v="High Value"/>
    <x v="4"/>
  </r>
  <r>
    <s v="TXN00523"/>
    <d v="2025-01-19T22:09:21"/>
    <s v="Jan-2025"/>
    <x v="162"/>
    <n v="2115452"/>
    <s v="CARD0151"/>
    <s v="MER001"/>
    <s v="Urban Services"/>
    <n v="54734.98"/>
    <n v="164.2"/>
    <s v="Credit Card"/>
    <x v="0"/>
    <s v="Mobile App"/>
    <s v="Domestic"/>
    <s v="Transfer"/>
    <s v="High Value"/>
    <x v="2"/>
  </r>
  <r>
    <s v="TXN00524"/>
    <d v="2025-08-31T15:36:04"/>
    <s v="Aug-2025"/>
    <x v="167"/>
    <n v="1376421"/>
    <s v="CARD0096"/>
    <s v="MER032"/>
    <s v="Urban Digital"/>
    <n v="45459.02"/>
    <n v="90.92"/>
    <s v="Debit Card"/>
    <x v="0"/>
    <s v="Website"/>
    <s v="Domestic"/>
    <s v="Cash Withdrawal"/>
    <s v="High Value"/>
    <x v="8"/>
  </r>
  <r>
    <s v="TXN00525"/>
    <d v="2025-07-29T23:22:33"/>
    <s v="Jul-2025"/>
    <x v="72"/>
    <n v="3456728"/>
    <s v="CARD0035"/>
    <s v="MER018"/>
    <s v="Nova Retail"/>
    <n v="2370.61"/>
    <n v="23.71"/>
    <s v="Debit Card"/>
    <x v="3"/>
    <s v="Mobile App"/>
    <s v="International"/>
    <s v="Transfer"/>
    <s v="Standard"/>
    <x v="3"/>
  </r>
  <r>
    <s v="TXN00526"/>
    <d v="2025-01-25T08:20:16"/>
    <s v="Jan-2025"/>
    <x v="0"/>
    <n v="1884470"/>
    <s v="CARD0139"/>
    <s v="MER004"/>
    <s v="Daily Digital"/>
    <n v="50831.4"/>
    <n v="152.49"/>
    <s v="Credit Card"/>
    <x v="0"/>
    <s v="Website"/>
    <s v="International"/>
    <s v="Transfer"/>
    <s v="High Value"/>
    <x v="4"/>
  </r>
  <r>
    <s v="TXN00527"/>
    <d v="2025-07-07T16:06:21"/>
    <s v="Jul-2025"/>
    <x v="118"/>
    <n v="3039300"/>
    <s v="CARD0245"/>
    <s v="MER013"/>
    <s v="Quick Retail"/>
    <n v="37823.97"/>
    <n v="378.24"/>
    <s v="UPI"/>
    <x v="0"/>
    <s v="Website"/>
    <s v="Domestic"/>
    <s v="Bill Payment"/>
    <s v="High Value"/>
    <x v="3"/>
  </r>
  <r>
    <s v="TXN00528"/>
    <d v="2025-04-04T06:19:24"/>
    <s v="Apr-2025"/>
    <x v="128"/>
    <n v="473491"/>
    <s v="CARD0130"/>
    <s v="MER006"/>
    <s v="Nova Pay"/>
    <n v="35598.58"/>
    <n v="106.8"/>
    <s v="Net Banking"/>
    <x v="1"/>
    <s v="Branch"/>
    <s v="International"/>
    <s v="Bill Payment"/>
    <s v="High Value"/>
    <x v="2"/>
  </r>
  <r>
    <s v="TXN00529"/>
    <d v="2025-07-22T08:55:02"/>
    <s v="Jul-2025"/>
    <x v="133"/>
    <n v="1331745"/>
    <s v="CARD0148"/>
    <s v="MER029"/>
    <s v="Fresh Hub"/>
    <n v="25498.6"/>
    <n v="127.49"/>
    <s v="Credit Card"/>
    <x v="0"/>
    <s v="POS"/>
    <s v="International"/>
    <s v="Retail Purchase"/>
    <s v="High Value"/>
    <x v="4"/>
  </r>
  <r>
    <s v="TXN00530"/>
    <d v="2026-01-04T14:29:58"/>
    <s v="Jan-2026"/>
    <x v="85"/>
    <n v="1922692"/>
    <s v="CARD0157"/>
    <s v="MER028"/>
    <s v="Prime Pay"/>
    <n v="22725.279999999999"/>
    <n v="227.25"/>
    <s v="Credit Card"/>
    <x v="0"/>
    <s v="Branch"/>
    <s v="Domestic"/>
    <s v="Cash Withdrawal"/>
    <s v="High Value"/>
    <x v="0"/>
  </r>
  <r>
    <s v="TXN00531"/>
    <d v="2026-03-14T03:01:49"/>
    <s v="Mar-2026"/>
    <x v="84"/>
    <n v="1540525"/>
    <s v="CARD0187"/>
    <s v="MER012"/>
    <s v="Daily Hub"/>
    <n v="45555.61"/>
    <n v="136.66999999999999"/>
    <s v="Debit Card"/>
    <x v="3"/>
    <s v="Branch"/>
    <s v="International"/>
    <s v="Transfer"/>
    <s v="High Value"/>
    <x v="2"/>
  </r>
  <r>
    <s v="TXN00532"/>
    <d v="2026-04-10T10:18:42"/>
    <s v="Apr-2026"/>
    <x v="27"/>
    <n v="1180530"/>
    <s v="CARD0035"/>
    <s v="MER031"/>
    <s v="Daily Digital"/>
    <n v="22571.3"/>
    <n v="45.14"/>
    <s v="Credit Card"/>
    <x v="0"/>
    <s v="Website"/>
    <s v="Domestic"/>
    <s v="Retail Purchase"/>
    <s v="High Value"/>
    <x v="3"/>
  </r>
  <r>
    <s v="TXN00533"/>
    <d v="2025-01-14T18:13:47"/>
    <s v="Jan-2025"/>
    <x v="81"/>
    <n v="1238971"/>
    <s v="CARD0241"/>
    <s v="MER026"/>
    <s v="Metro Services"/>
    <n v="43849.08"/>
    <n v="438.49"/>
    <s v="Debit Card"/>
    <x v="0"/>
    <s v="Branch"/>
    <s v="International"/>
    <s v="Transfer"/>
    <s v="High Value"/>
    <x v="0"/>
  </r>
  <r>
    <s v="TXN00534"/>
    <d v="2026-08-26T02:35:36"/>
    <s v="Aug-2026"/>
    <x v="139"/>
    <n v="3081565"/>
    <s v="CARD0239"/>
    <s v="MER037"/>
    <s v="Metro Pay"/>
    <n v="24586.38"/>
    <n v="49.17"/>
    <s v="Credit Card"/>
    <x v="0"/>
    <s v="Website"/>
    <s v="International"/>
    <s v="Transfer"/>
    <s v="High Value"/>
    <x v="2"/>
  </r>
  <r>
    <s v="TXN00535"/>
    <d v="2025-12-23T18:33:15"/>
    <s v="Dec-2025"/>
    <x v="169"/>
    <n v="1903056"/>
    <s v="CARD0015"/>
    <s v="MER042"/>
    <s v="Blue Digital"/>
    <n v="42576.800000000003"/>
    <n v="212.88"/>
    <s v="Net Banking"/>
    <x v="2"/>
    <s v="Branch"/>
    <s v="Domestic"/>
    <s v="Bill Payment"/>
    <s v="High Value"/>
    <x v="7"/>
  </r>
  <r>
    <s v="TXN00536"/>
    <d v="2026-05-05T01:15:22"/>
    <s v="May-2026"/>
    <x v="169"/>
    <n v="1903056"/>
    <s v="CARD0171"/>
    <s v="MER042"/>
    <s v="Blue Digital"/>
    <n v="55295.97"/>
    <n v="110.59"/>
    <s v="Credit Card"/>
    <x v="0"/>
    <s v="POS"/>
    <s v="International"/>
    <s v="Bill Payment"/>
    <s v="High Value"/>
    <x v="7"/>
  </r>
  <r>
    <s v="TXN00537"/>
    <d v="2025-09-18T09:00:29"/>
    <s v="Sep-2025"/>
    <x v="74"/>
    <n v="2651559"/>
    <s v="CARD0030"/>
    <s v="MER006"/>
    <s v="Nova Pay"/>
    <n v="36168.74"/>
    <n v="108.51"/>
    <s v="Net Banking"/>
    <x v="3"/>
    <s v="Branch"/>
    <s v="Domestic"/>
    <s v="Bill Payment"/>
    <s v="High Value"/>
    <x v="2"/>
  </r>
  <r>
    <s v="TXN00538"/>
    <d v="2026-03-10T06:02:14"/>
    <s v="Mar-2026"/>
    <x v="162"/>
    <n v="2115452"/>
    <s v="CARD0248"/>
    <s v="MER035"/>
    <s v="Nova Hub"/>
    <n v="49802"/>
    <n v="249.01"/>
    <s v="Net Banking"/>
    <x v="0"/>
    <s v="POS"/>
    <s v="International"/>
    <s v="Retail Purchase"/>
    <s v="High Value"/>
    <x v="1"/>
  </r>
  <r>
    <s v="TXN00539"/>
    <d v="2025-04-22T23:09:45"/>
    <s v="Apr-2025"/>
    <x v="66"/>
    <n v="2253568"/>
    <s v="CARD0192"/>
    <s v="MER014"/>
    <s v="Daily Stores"/>
    <n v="34399.440000000002"/>
    <n v="103.2"/>
    <s v="Net Banking"/>
    <x v="1"/>
    <s v="POS"/>
    <s v="Domestic"/>
    <s v="Bill Payment"/>
    <s v="High Value"/>
    <x v="0"/>
  </r>
  <r>
    <s v="TXN00540"/>
    <d v="2026-05-19T00:03:26"/>
    <s v="May-2026"/>
    <x v="42"/>
    <n v="3303519"/>
    <s v="CARD0107"/>
    <s v="MER042"/>
    <s v="Blue Digital"/>
    <n v="5902.55"/>
    <n v="59.03"/>
    <s v="Debit Card"/>
    <x v="2"/>
    <s v="Branch"/>
    <s v="Domestic"/>
    <s v="Bill Payment"/>
    <s v="High Value"/>
    <x v="7"/>
  </r>
  <r>
    <s v="TXN00541"/>
    <d v="2026-01-19T06:47:11"/>
    <s v="Jan-2026"/>
    <x v="162"/>
    <n v="2115452"/>
    <s v="CARD0243"/>
    <s v="MER008"/>
    <s v="Daily Services"/>
    <n v="42272.43"/>
    <n v="126.82"/>
    <s v="Net Banking"/>
    <x v="0"/>
    <s v="Website"/>
    <s v="Domestic"/>
    <s v="Bill Payment"/>
    <s v="High Value"/>
    <x v="5"/>
  </r>
  <r>
    <s v="TXN00542"/>
    <d v="2025-03-02T06:39:10"/>
    <s v="Mar-2025"/>
    <x v="11"/>
    <n v="2150955"/>
    <s v="CARD0161"/>
    <s v="MER040"/>
    <s v="Blue Retail"/>
    <n v="48569.8"/>
    <n v="485.7"/>
    <s v="UPI"/>
    <x v="0"/>
    <s v="Website"/>
    <s v="Domestic"/>
    <s v="Transfer"/>
    <s v="High Value"/>
    <x v="4"/>
  </r>
  <r>
    <s v="TXN00543"/>
    <d v="2025-03-29T13:45:09"/>
    <s v="Mar-2025"/>
    <x v="39"/>
    <n v="1380385"/>
    <s v="CARD0061"/>
    <s v="MER031"/>
    <s v="Daily Digital"/>
    <n v="7568.43"/>
    <n v="15.14"/>
    <s v="Net Banking"/>
    <x v="0"/>
    <s v="Mobile App"/>
    <s v="Domestic"/>
    <s v="Retail Purchase"/>
    <s v="High Value"/>
    <x v="3"/>
  </r>
  <r>
    <s v="TXN00544"/>
    <d v="2025-09-30T00:15:47"/>
    <s v="Sep-2025"/>
    <x v="92"/>
    <n v="1853494"/>
    <s v="CARD0055"/>
    <s v="MER034"/>
    <s v="Urban Retail"/>
    <n v="39952.800000000003"/>
    <n v="79.91"/>
    <s v="UPI"/>
    <x v="1"/>
    <s v="Branch"/>
    <s v="International"/>
    <s v="Cash Withdrawal"/>
    <s v="High Value"/>
    <x v="8"/>
  </r>
  <r>
    <s v="TXN00545"/>
    <d v="2026-04-30T12:16:15"/>
    <s v="Apr-2026"/>
    <x v="140"/>
    <n v="2789934"/>
    <s v="CARD0210"/>
    <s v="MER016"/>
    <s v="Blue Foods"/>
    <n v="36301.86"/>
    <n v="181.51"/>
    <s v="Debit Card"/>
    <x v="0"/>
    <s v="Branch"/>
    <s v="International"/>
    <s v="Retail Purchase"/>
    <s v="High Value"/>
    <x v="0"/>
  </r>
  <r>
    <s v="TXN00546"/>
    <d v="2025-12-31T12:01:27"/>
    <s v="Dec-2025"/>
    <x v="167"/>
    <n v="1376421"/>
    <s v="CARD0007"/>
    <s v="MER039"/>
    <s v="Fresh Foods"/>
    <n v="48395.59"/>
    <n v="483.96"/>
    <s v="UPI"/>
    <x v="0"/>
    <s v="POS"/>
    <s v="Domestic"/>
    <s v="Transfer"/>
    <s v="High Value"/>
    <x v="4"/>
  </r>
  <r>
    <s v="TXN00547"/>
    <d v="2026-04-08T22:30:48"/>
    <s v="Apr-2026"/>
    <x v="52"/>
    <n v="3443239"/>
    <s v="CARD0049"/>
    <s v="MER001"/>
    <s v="Urban Services"/>
    <n v="41202.480000000003"/>
    <n v="412.02"/>
    <s v="Debit Card"/>
    <x v="1"/>
    <s v="Mobile App"/>
    <s v="International"/>
    <s v="Retail Purchase"/>
    <s v="High Value"/>
    <x v="2"/>
  </r>
  <r>
    <s v="TXN00548"/>
    <d v="2025-11-30T16:10:36"/>
    <s v="Nov-2025"/>
    <x v="12"/>
    <n v="1636278"/>
    <s v="CARD0110"/>
    <s v="MER031"/>
    <s v="Daily Digital"/>
    <n v="14090.16"/>
    <n v="28.18"/>
    <s v="UPI"/>
    <x v="0"/>
    <s v="Branch"/>
    <s v="International"/>
    <s v="Bill Payment"/>
    <s v="High Value"/>
    <x v="3"/>
  </r>
  <r>
    <s v="TXN00549"/>
    <d v="2025-05-27T18:56:04"/>
    <s v="May-2025"/>
    <x v="45"/>
    <n v="2120402"/>
    <s v="CARD0128"/>
    <s v="MER006"/>
    <s v="Nova Pay"/>
    <n v="52586.42"/>
    <n v="105.17"/>
    <s v="Debit Card"/>
    <x v="1"/>
    <s v="Branch"/>
    <s v="Domestic"/>
    <s v="Cash Withdrawal"/>
    <s v="High Value"/>
    <x v="2"/>
  </r>
  <r>
    <s v="TXN00550"/>
    <d v="2025-04-29T17:33:18"/>
    <s v="Apr-2025"/>
    <x v="98"/>
    <n v="735563"/>
    <s v="CARD0193"/>
    <s v="MER043"/>
    <s v="Metro Pay"/>
    <n v="39792.26"/>
    <n v="119.38"/>
    <s v="UPI"/>
    <x v="0"/>
    <s v="Mobile App"/>
    <s v="International"/>
    <s v="Retail Purchase"/>
    <s v="High Value"/>
    <x v="0"/>
  </r>
  <r>
    <s v="TXN00551"/>
    <d v="2025-06-14T11:53:15"/>
    <s v="Jun-2025"/>
    <x v="78"/>
    <n v="1370286"/>
    <s v="CARD0171"/>
    <s v="MER031"/>
    <s v="Daily Digital"/>
    <n v="54168.65"/>
    <n v="162.51"/>
    <s v="UPI"/>
    <x v="2"/>
    <s v="Website"/>
    <s v="International"/>
    <s v="Retail Purchase"/>
    <s v="High Value"/>
    <x v="3"/>
  </r>
  <r>
    <s v="TXN00552"/>
    <d v="2025-12-07T08:08:54"/>
    <s v="Dec-2025"/>
    <x v="158"/>
    <n v="1201601"/>
    <s v="CARD0088"/>
    <s v="MER025"/>
    <s v="Smart Pay"/>
    <n v="55913.62"/>
    <n v="111.83"/>
    <s v="Net Banking"/>
    <x v="2"/>
    <s v="Branch"/>
    <s v="Domestic"/>
    <s v="Bill Payment"/>
    <s v="High Value"/>
    <x v="2"/>
  </r>
  <r>
    <s v="TXN00553"/>
    <d v="2025-09-23T04:12:43"/>
    <s v="Sep-2025"/>
    <x v="150"/>
    <n v="1710338"/>
    <s v="CARD0240"/>
    <s v="MER013"/>
    <s v="Quick Retail"/>
    <n v="17529.490000000002"/>
    <n v="87.65"/>
    <s v="UPI"/>
    <x v="0"/>
    <s v="POS"/>
    <s v="Domestic"/>
    <s v="Transfer"/>
    <s v="High Value"/>
    <x v="3"/>
  </r>
  <r>
    <s v="TXN00554"/>
    <d v="2026-01-25T21:00:17"/>
    <s v="Jan-2026"/>
    <x v="38"/>
    <n v="1621823"/>
    <s v="CARD0109"/>
    <s v="MER021"/>
    <s v="Fresh Hub"/>
    <n v="44241.38"/>
    <n v="132.72"/>
    <s v="Debit Card"/>
    <x v="0"/>
    <s v="Website"/>
    <s v="Domestic"/>
    <s v="Retail Purchase"/>
    <s v="High Value"/>
    <x v="4"/>
  </r>
  <r>
    <s v="TXN00555"/>
    <d v="2026-02-09T00:20:04"/>
    <s v="Feb-2026"/>
    <x v="170"/>
    <n v="3142936"/>
    <s v="CARD0215"/>
    <s v="MER015"/>
    <s v="Metro Pay"/>
    <n v="32343.75"/>
    <n v="97.03"/>
    <s v="Net Banking"/>
    <x v="0"/>
    <s v="Branch"/>
    <s v="Domestic"/>
    <s v="Transfer"/>
    <s v="High Value"/>
    <x v="3"/>
  </r>
  <r>
    <s v="TXN00556"/>
    <d v="2025-05-30T01:15:01"/>
    <s v="May-2025"/>
    <x v="68"/>
    <n v="739264"/>
    <s v="CARD0218"/>
    <s v="MER037"/>
    <s v="Metro Pay"/>
    <n v="35972.93"/>
    <n v="71.95"/>
    <s v="Net Banking"/>
    <x v="0"/>
    <s v="Website"/>
    <s v="International"/>
    <s v="Transfer"/>
    <s v="High Value"/>
    <x v="2"/>
  </r>
  <r>
    <s v="TXN00557"/>
    <d v="2026-01-21T02:08:28"/>
    <s v="Jan-2026"/>
    <x v="89"/>
    <n v="1275615"/>
    <s v="CARD0180"/>
    <s v="MER004"/>
    <s v="Daily Digital"/>
    <n v="58870.45"/>
    <n v="176.61"/>
    <s v="Credit Card"/>
    <x v="0"/>
    <s v="Branch"/>
    <s v="International"/>
    <s v="Transfer"/>
    <s v="High Value"/>
    <x v="4"/>
  </r>
  <r>
    <s v="TXN00558"/>
    <d v="2025-06-13T00:47:06"/>
    <s v="Jun-2025"/>
    <x v="12"/>
    <n v="1636278"/>
    <s v="CARD0194"/>
    <s v="MER026"/>
    <s v="Metro Services"/>
    <n v="32921.78"/>
    <n v="329.22"/>
    <s v="Net Banking"/>
    <x v="0"/>
    <s v="Mobile App"/>
    <s v="International"/>
    <s v="Transfer"/>
    <s v="High Value"/>
    <x v="0"/>
  </r>
  <r>
    <s v="TXN00559"/>
    <d v="2025-07-19T19:57:08"/>
    <s v="Jul-2025"/>
    <x v="166"/>
    <n v="2180598"/>
    <s v="CARD0118"/>
    <s v="MER042"/>
    <s v="Blue Digital"/>
    <n v="23686.97"/>
    <n v="47.37"/>
    <s v="Credit Card"/>
    <x v="0"/>
    <s v="Website"/>
    <s v="International"/>
    <s v="Cash Withdrawal"/>
    <s v="High Value"/>
    <x v="7"/>
  </r>
  <r>
    <s v="TXN00560"/>
    <d v="2025-10-26T05:16:22"/>
    <s v="Oct-2025"/>
    <x v="87"/>
    <n v="2445827"/>
    <s v="CARD0003"/>
    <s v="MER024"/>
    <s v="Metro Stores"/>
    <n v="12665"/>
    <n v="37.99"/>
    <s v="Wallet"/>
    <x v="1"/>
    <s v="Mobile App"/>
    <s v="Domestic"/>
    <s v="Cash Withdrawal"/>
    <s v="High Value"/>
    <x v="4"/>
  </r>
  <r>
    <s v="TXN00561"/>
    <d v="2026-03-14T06:07:29"/>
    <s v="Mar-2026"/>
    <x v="101"/>
    <n v="743257"/>
    <s v="CARD0242"/>
    <s v="MER004"/>
    <s v="Daily Digital"/>
    <n v="55566.52"/>
    <n v="555.66999999999996"/>
    <s v="UPI"/>
    <x v="0"/>
    <s v="POS"/>
    <s v="International"/>
    <s v="Bill Payment"/>
    <s v="High Value"/>
    <x v="4"/>
  </r>
  <r>
    <s v="TXN00562"/>
    <d v="2026-02-18T08:55:12"/>
    <s v="Feb-2026"/>
    <x v="166"/>
    <n v="2180598"/>
    <s v="CARD0177"/>
    <s v="MER039"/>
    <s v="Fresh Foods"/>
    <n v="2136.17"/>
    <n v="21.36"/>
    <s v="Credit Card"/>
    <x v="0"/>
    <s v="Branch"/>
    <s v="Domestic"/>
    <s v="Cash Withdrawal"/>
    <s v="Standard"/>
    <x v="4"/>
  </r>
  <r>
    <s v="TXN00563"/>
    <d v="2026-01-27T10:01:13"/>
    <s v="Jan-2026"/>
    <x v="24"/>
    <n v="3004295"/>
    <s v="CARD0030"/>
    <s v="MER006"/>
    <s v="Nova Pay"/>
    <n v="37976.78"/>
    <n v="75.95"/>
    <s v="UPI"/>
    <x v="0"/>
    <s v="Branch"/>
    <s v="Domestic"/>
    <s v="Retail Purchase"/>
    <s v="High Value"/>
    <x v="2"/>
  </r>
  <r>
    <s v="TXN00564"/>
    <d v="2026-08-24T20:51:41"/>
    <s v="Aug-2026"/>
    <x v="150"/>
    <n v="1710338"/>
    <s v="CARD0047"/>
    <s v="MER025"/>
    <s v="Smart Pay"/>
    <n v="59242.23"/>
    <n v="118.48"/>
    <s v="Net Banking"/>
    <x v="0"/>
    <s v="Branch"/>
    <s v="International"/>
    <s v="Bill Payment"/>
    <s v="High Value"/>
    <x v="2"/>
  </r>
  <r>
    <s v="TXN00565"/>
    <d v="2025-04-12T11:50:28"/>
    <s v="Apr-2025"/>
    <x v="143"/>
    <n v="1693644"/>
    <s v="CARD0209"/>
    <s v="MER045"/>
    <s v="Blue Services"/>
    <n v="3903.55"/>
    <n v="11.71"/>
    <s v="UPI"/>
    <x v="3"/>
    <s v="Branch"/>
    <s v="International"/>
    <s v="Retail Purchase"/>
    <s v="High Value"/>
    <x v="0"/>
  </r>
  <r>
    <s v="TXN00566"/>
    <d v="2026-06-16T21:17:20"/>
    <s v="Jun-2026"/>
    <x v="124"/>
    <n v="932293"/>
    <s v="CARD0248"/>
    <s v="MER043"/>
    <s v="Metro Pay"/>
    <n v="32385.01"/>
    <n v="64.77"/>
    <s v="UPI"/>
    <x v="1"/>
    <s v="Website"/>
    <s v="Domestic"/>
    <s v="Retail Purchase"/>
    <s v="High Value"/>
    <x v="0"/>
  </r>
  <r>
    <s v="TXN00567"/>
    <d v="2026-07-23T16:16:59"/>
    <s v="Jul-2026"/>
    <x v="49"/>
    <n v="1174912"/>
    <s v="CARD0053"/>
    <s v="MER042"/>
    <s v="Blue Digital"/>
    <n v="48050.73"/>
    <n v="144.15"/>
    <s v="Credit Card"/>
    <x v="0"/>
    <s v="Mobile App"/>
    <s v="International"/>
    <s v="Retail Purchase"/>
    <s v="High Value"/>
    <x v="7"/>
  </r>
  <r>
    <s v="TXN00568"/>
    <d v="2025-03-28T04:32:26"/>
    <s v="Mar-2025"/>
    <x v="171"/>
    <n v="676821"/>
    <s v="CARD0242"/>
    <s v="MER043"/>
    <s v="Metro Pay"/>
    <n v="30418.28"/>
    <n v="91.25"/>
    <s v="UPI"/>
    <x v="0"/>
    <s v="Website"/>
    <s v="International"/>
    <s v="Retail Purchase"/>
    <s v="High Value"/>
    <x v="0"/>
  </r>
  <r>
    <s v="TXN00569"/>
    <d v="2026-06-16T10:40:56"/>
    <s v="Jun-2026"/>
    <x v="147"/>
    <n v="585020"/>
    <s v="CARD0081"/>
    <s v="MER034"/>
    <s v="Urban Retail"/>
    <n v="39583.54"/>
    <n v="395.84"/>
    <s v="Debit Card"/>
    <x v="0"/>
    <s v="Website"/>
    <s v="Domestic"/>
    <s v="Retail Purchase"/>
    <s v="High Value"/>
    <x v="8"/>
  </r>
  <r>
    <s v="TXN00570"/>
    <d v="2025-08-31T01:20:14"/>
    <s v="Aug-2025"/>
    <x v="1"/>
    <n v="1862084"/>
    <s v="CARD0155"/>
    <s v="MER036"/>
    <s v="Green Foods"/>
    <n v="11365.61"/>
    <n v="34.1"/>
    <s v="Credit Card"/>
    <x v="0"/>
    <s v="POS"/>
    <s v="International"/>
    <s v="Bill Payment"/>
    <s v="High Value"/>
    <x v="3"/>
  </r>
  <r>
    <s v="TXN00571"/>
    <d v="2026-09-30T15:21:54"/>
    <s v="Sep-2026"/>
    <x v="87"/>
    <n v="2445827"/>
    <s v="CARD0232"/>
    <s v="MER011"/>
    <s v="Quick Pay"/>
    <n v="4554.1400000000003"/>
    <n v="45.54"/>
    <s v="Net Banking"/>
    <x v="0"/>
    <s v="Branch"/>
    <s v="Domestic"/>
    <s v="Transfer"/>
    <s v="High Value"/>
    <x v="4"/>
  </r>
  <r>
    <s v="TXN00572"/>
    <d v="2026-03-12T05:12:55"/>
    <s v="Mar-2026"/>
    <x v="73"/>
    <n v="596723"/>
    <s v="CARD0179"/>
    <s v="MER042"/>
    <s v="Blue Digital"/>
    <n v="32200.67"/>
    <n v="161"/>
    <s v="Credit Card"/>
    <x v="0"/>
    <s v="POS"/>
    <s v="Domestic"/>
    <s v="Cash Withdrawal"/>
    <s v="High Value"/>
    <x v="7"/>
  </r>
  <r>
    <s v="TXN00573"/>
    <d v="2025-06-07T11:31:05"/>
    <s v="Jun-2025"/>
    <x v="86"/>
    <n v="3016707"/>
    <s v="CARD0064"/>
    <s v="MER005"/>
    <s v="Prime Foods"/>
    <n v="59547.69"/>
    <n v="119.1"/>
    <s v="Debit Card"/>
    <x v="0"/>
    <s v="Mobile App"/>
    <s v="Domestic"/>
    <s v="Cash Withdrawal"/>
    <s v="High Value"/>
    <x v="6"/>
  </r>
  <r>
    <s v="TXN00574"/>
    <d v="2025-03-09T11:59:29"/>
    <s v="Mar-2025"/>
    <x v="80"/>
    <n v="1097886"/>
    <s v="CARD0038"/>
    <s v="MER015"/>
    <s v="Metro Pay"/>
    <n v="38446.629999999997"/>
    <n v="192.23"/>
    <s v="Debit Card"/>
    <x v="0"/>
    <s v="Mobile App"/>
    <s v="Domestic"/>
    <s v="Cash Withdrawal"/>
    <s v="High Value"/>
    <x v="3"/>
  </r>
  <r>
    <s v="TXN00575"/>
    <d v="2025-08-16T13:47:08"/>
    <s v="Aug-2025"/>
    <x v="61"/>
    <n v="2458421"/>
    <s v="CARD0135"/>
    <s v="MER020"/>
    <s v="Urban Retail"/>
    <n v="57111.79"/>
    <n v="114.22"/>
    <s v="Wallet"/>
    <x v="1"/>
    <s v="Branch"/>
    <s v="Domestic"/>
    <s v="Transfer"/>
    <s v="High Value"/>
    <x v="3"/>
  </r>
  <r>
    <s v="TXN00576"/>
    <d v="2026-08-09T10:16:01"/>
    <s v="Aug-2026"/>
    <x v="98"/>
    <n v="735563"/>
    <s v="CARD0082"/>
    <s v="MER025"/>
    <s v="Smart Pay"/>
    <n v="33137.379999999997"/>
    <n v="66.27"/>
    <s v="Credit Card"/>
    <x v="0"/>
    <s v="POS"/>
    <s v="International"/>
    <s v="Cash Withdrawal"/>
    <s v="High Value"/>
    <x v="2"/>
  </r>
  <r>
    <s v="TXN00577"/>
    <d v="2026-08-30T04:38:41"/>
    <s v="Aug-2026"/>
    <x v="129"/>
    <n v="711663"/>
    <s v="CARD0033"/>
    <s v="MER010"/>
    <s v="Blue Hub"/>
    <n v="15617.76"/>
    <n v="46.85"/>
    <s v="Net Banking"/>
    <x v="2"/>
    <s v="POS"/>
    <s v="Domestic"/>
    <s v="Transfer"/>
    <s v="High Value"/>
    <x v="8"/>
  </r>
  <r>
    <s v="TXN00578"/>
    <d v="2025-09-13T22:09:43"/>
    <s v="Sep-2025"/>
    <x v="40"/>
    <n v="2236054"/>
    <s v="CARD0205"/>
    <s v="MER030"/>
    <s v="Green Pay"/>
    <n v="25152.799999999999"/>
    <n v="251.53"/>
    <s v="Wallet"/>
    <x v="0"/>
    <s v="POS"/>
    <s v="International"/>
    <s v="Cash Withdrawal"/>
    <s v="High Value"/>
    <x v="8"/>
  </r>
  <r>
    <s v="TXN00579"/>
    <d v="2026-06-18T08:19:44"/>
    <s v="Jun-2026"/>
    <x v="172"/>
    <n v="408698"/>
    <s v="CARD0198"/>
    <s v="MER021"/>
    <s v="Fresh Hub"/>
    <n v="18380.73"/>
    <n v="91.9"/>
    <s v="UPI"/>
    <x v="1"/>
    <s v="Mobile App"/>
    <s v="Domestic"/>
    <s v="Bill Payment"/>
    <s v="High Value"/>
    <x v="4"/>
  </r>
  <r>
    <s v="TXN00580"/>
    <d v="2025-04-06T06:00:41"/>
    <s v="Apr-2025"/>
    <x v="84"/>
    <n v="1540525"/>
    <s v="CARD0238"/>
    <s v="MER032"/>
    <s v="Urban Digital"/>
    <n v="34561.47"/>
    <n v="172.81"/>
    <s v="UPI"/>
    <x v="0"/>
    <s v="Branch"/>
    <s v="Domestic"/>
    <s v="Cash Withdrawal"/>
    <s v="High Value"/>
    <x v="8"/>
  </r>
  <r>
    <s v="TXN00581"/>
    <d v="2026-05-25T18:45:03"/>
    <s v="May-2026"/>
    <x v="143"/>
    <n v="1693644"/>
    <s v="CARD0004"/>
    <s v="MER040"/>
    <s v="Blue Retail"/>
    <n v="41138.800000000003"/>
    <n v="82.28"/>
    <s v="Credit Card"/>
    <x v="2"/>
    <s v="Mobile App"/>
    <s v="International"/>
    <s v="Transfer"/>
    <s v="High Value"/>
    <x v="4"/>
  </r>
  <r>
    <s v="TXN00582"/>
    <d v="2025-09-08T19:13:40"/>
    <s v="Sep-2025"/>
    <x v="98"/>
    <n v="735563"/>
    <s v="CARD0173"/>
    <s v="MER034"/>
    <s v="Urban Retail"/>
    <n v="41076.28"/>
    <n v="410.76"/>
    <s v="Credit Card"/>
    <x v="0"/>
    <s v="Website"/>
    <s v="Domestic"/>
    <s v="Transfer"/>
    <s v="High Value"/>
    <x v="8"/>
  </r>
  <r>
    <s v="TXN00583"/>
    <d v="2025-05-17T18:42:09"/>
    <s v="May-2025"/>
    <x v="55"/>
    <n v="2889113"/>
    <s v="CARD0044"/>
    <s v="MER024"/>
    <s v="Metro Stores"/>
    <n v="21262.16"/>
    <n v="212.62"/>
    <s v="UPI"/>
    <x v="0"/>
    <s v="POS"/>
    <s v="Domestic"/>
    <s v="Retail Purchase"/>
    <s v="High Value"/>
    <x v="4"/>
  </r>
  <r>
    <s v="TXN00584"/>
    <d v="2025-10-25T10:53:33"/>
    <s v="Oct-2025"/>
    <x v="173"/>
    <n v="1353315"/>
    <s v="CARD0146"/>
    <s v="MER026"/>
    <s v="Metro Services"/>
    <n v="29039.17"/>
    <n v="58.08"/>
    <s v="Credit Card"/>
    <x v="0"/>
    <s v="POS"/>
    <s v="Domestic"/>
    <s v="Cash Withdrawal"/>
    <s v="High Value"/>
    <x v="0"/>
  </r>
  <r>
    <s v="TXN00585"/>
    <d v="2026-09-25T17:46:38"/>
    <s v="Sep-2026"/>
    <x v="72"/>
    <n v="3456728"/>
    <s v="CARD0077"/>
    <s v="MER023"/>
    <s v="Smart Pay"/>
    <n v="3544.05"/>
    <n v="35.44"/>
    <s v="UPI"/>
    <x v="0"/>
    <s v="Mobile App"/>
    <s v="International"/>
    <s v="Bill Payment"/>
    <s v="High Value"/>
    <x v="6"/>
  </r>
  <r>
    <s v="TXN00586"/>
    <d v="2026-02-16T12:54:29"/>
    <s v="Feb-2026"/>
    <x v="17"/>
    <n v="1702451"/>
    <s v="CARD0136"/>
    <s v="MER033"/>
    <s v="Nova Services"/>
    <n v="630.94000000000005"/>
    <n v="1.89"/>
    <s v="Credit Card"/>
    <x v="0"/>
    <s v="Branch"/>
    <s v="Domestic"/>
    <s v="Cash Withdrawal"/>
    <s v="Standard"/>
    <x v="7"/>
  </r>
  <r>
    <s v="TXN00587"/>
    <d v="2025-01-08T05:39:58"/>
    <s v="Jan-2025"/>
    <x v="16"/>
    <n v="3376854"/>
    <s v="CARD0096"/>
    <s v="MER020"/>
    <s v="Urban Retail"/>
    <n v="46189.91"/>
    <n v="461.9"/>
    <s v="Debit Card"/>
    <x v="0"/>
    <s v="Branch"/>
    <s v="Domestic"/>
    <s v="Transfer"/>
    <s v="High Value"/>
    <x v="3"/>
  </r>
  <r>
    <s v="TXN00588"/>
    <d v="2025-04-22T15:58:04"/>
    <s v="Apr-2025"/>
    <x v="40"/>
    <n v="2236054"/>
    <s v="CARD0192"/>
    <s v="MER028"/>
    <s v="Prime Pay"/>
    <n v="39411.15"/>
    <n v="118.23"/>
    <s v="UPI"/>
    <x v="0"/>
    <s v="POS"/>
    <s v="Domestic"/>
    <s v="Retail Purchase"/>
    <s v="High Value"/>
    <x v="0"/>
  </r>
  <r>
    <s v="TXN00589"/>
    <d v="2025-07-14T10:22:22"/>
    <s v="Jul-2025"/>
    <x v="136"/>
    <n v="2081740"/>
    <s v="CARD0042"/>
    <s v="MER043"/>
    <s v="Metro Pay"/>
    <n v="2511.35"/>
    <n v="12.56"/>
    <s v="Credit Card"/>
    <x v="0"/>
    <s v="Branch"/>
    <s v="International"/>
    <s v="Retail Purchase"/>
    <s v="High Value"/>
    <x v="0"/>
  </r>
  <r>
    <s v="TXN00590"/>
    <d v="2026-03-08T17:48:23"/>
    <s v="Mar-2026"/>
    <x v="25"/>
    <n v="2152609"/>
    <s v="CARD0193"/>
    <s v="MER026"/>
    <s v="Metro Services"/>
    <n v="33052.410000000003"/>
    <n v="99.16"/>
    <s v="Wallet"/>
    <x v="1"/>
    <s v="Branch"/>
    <s v="Domestic"/>
    <s v="Retail Purchase"/>
    <s v="High Value"/>
    <x v="0"/>
  </r>
  <r>
    <s v="TXN00591"/>
    <d v="2025-04-21T00:46:12"/>
    <s v="Apr-2025"/>
    <x v="138"/>
    <n v="2082112"/>
    <s v="CARD0061"/>
    <s v="MER004"/>
    <s v="Daily Digital"/>
    <n v="7654.8"/>
    <n v="15.31"/>
    <s v="Debit Card"/>
    <x v="0"/>
    <s v="Branch"/>
    <s v="Domestic"/>
    <s v="Cash Withdrawal"/>
    <s v="High Value"/>
    <x v="4"/>
  </r>
  <r>
    <s v="TXN00592"/>
    <d v="2026-05-07T10:32:20"/>
    <s v="May-2026"/>
    <x v="174"/>
    <n v="181702"/>
    <s v="CARD0159"/>
    <s v="MER010"/>
    <s v="Blue Hub"/>
    <n v="17005.18"/>
    <n v="170.05"/>
    <s v="Wallet"/>
    <x v="0"/>
    <s v="Website"/>
    <s v="Domestic"/>
    <s v="Transfer"/>
    <s v="High Value"/>
    <x v="8"/>
  </r>
  <r>
    <s v="TXN00593"/>
    <d v="2025-04-28T09:35:41"/>
    <s v="Apr-2025"/>
    <x v="153"/>
    <n v="1728604"/>
    <s v="CARD0122"/>
    <s v="MER007"/>
    <s v="Blue Hub"/>
    <n v="59656"/>
    <n v="596.55999999999995"/>
    <s v="Wallet"/>
    <x v="0"/>
    <s v="Website"/>
    <s v="Domestic"/>
    <s v="Bill Payment"/>
    <s v="High Value"/>
    <x v="4"/>
  </r>
  <r>
    <s v="TXN00594"/>
    <d v="2025-08-23T04:23:09"/>
    <s v="Aug-2025"/>
    <x v="110"/>
    <n v="2630218"/>
    <s v="CARD0110"/>
    <s v="MER002"/>
    <s v="Daily Stores"/>
    <n v="8024.52"/>
    <n v="24.07"/>
    <s v="Wallet"/>
    <x v="0"/>
    <s v="Website"/>
    <s v="Domestic"/>
    <s v="Retail Purchase"/>
    <s v="High Value"/>
    <x v="6"/>
  </r>
  <r>
    <s v="TXN00595"/>
    <d v="2026-01-25T14:49:45"/>
    <s v="Jan-2026"/>
    <x v="96"/>
    <n v="3423567"/>
    <s v="CARD0087"/>
    <s v="MER028"/>
    <s v="Prime Pay"/>
    <n v="31545.77"/>
    <n v="94.64"/>
    <s v="Net Banking"/>
    <x v="2"/>
    <s v="Mobile App"/>
    <s v="International"/>
    <s v="Retail Purchase"/>
    <s v="High Value"/>
    <x v="0"/>
  </r>
  <r>
    <s v="TXN00596"/>
    <d v="2025-11-08T04:00:25"/>
    <s v="Nov-2025"/>
    <x v="37"/>
    <n v="2820086"/>
    <s v="CARD0064"/>
    <s v="MER021"/>
    <s v="Fresh Hub"/>
    <n v="16227.84"/>
    <n v="81.14"/>
    <s v="UPI"/>
    <x v="0"/>
    <s v="Website"/>
    <s v="Domestic"/>
    <s v="Retail Purchase"/>
    <s v="High Value"/>
    <x v="4"/>
  </r>
  <r>
    <s v="TXN00597"/>
    <d v="2025-02-23T11:42:37"/>
    <s v="Feb-2025"/>
    <x v="51"/>
    <n v="432624"/>
    <s v="CARD0048"/>
    <s v="MER017"/>
    <s v="Quick Services"/>
    <n v="12797.46"/>
    <n v="25.59"/>
    <s v="Net Banking"/>
    <x v="0"/>
    <s v="POS"/>
    <s v="International"/>
    <s v="Transfer"/>
    <s v="High Value"/>
    <x v="5"/>
  </r>
  <r>
    <s v="TXN00598"/>
    <d v="2025-04-25T03:31:39"/>
    <s v="Apr-2025"/>
    <x v="72"/>
    <n v="3456728"/>
    <s v="CARD0093"/>
    <s v="MER024"/>
    <s v="Metro Stores"/>
    <n v="40169.96"/>
    <n v="120.51"/>
    <s v="Wallet"/>
    <x v="2"/>
    <s v="POS"/>
    <s v="Domestic"/>
    <s v="Transfer"/>
    <s v="High Value"/>
    <x v="4"/>
  </r>
  <r>
    <s v="TXN00599"/>
    <d v="2025-08-04T21:16:28"/>
    <s v="Aug-2025"/>
    <x v="173"/>
    <n v="1353315"/>
    <s v="CARD0191"/>
    <s v="MER039"/>
    <s v="Fresh Foods"/>
    <n v="23104.560000000001"/>
    <n v="69.31"/>
    <s v="UPI"/>
    <x v="1"/>
    <s v="Mobile App"/>
    <s v="Domestic"/>
    <s v="Bill Payment"/>
    <s v="High Value"/>
    <x v="4"/>
  </r>
  <r>
    <s v="TXN00600"/>
    <d v="2026-04-02T03:35:28"/>
    <s v="Apr-2026"/>
    <x v="166"/>
    <n v="2180598"/>
    <s v="CARD0186"/>
    <s v="MER031"/>
    <s v="Daily Digital"/>
    <n v="4585.29"/>
    <n v="22.93"/>
    <s v="Credit Card"/>
    <x v="0"/>
    <s v="Website"/>
    <s v="Domestic"/>
    <s v="Bill Payment"/>
    <s v="High Value"/>
    <x v="3"/>
  </r>
  <r>
    <s v="TXN00601"/>
    <d v="2025-07-16T15:13:35"/>
    <s v="Jul-2025"/>
    <x v="15"/>
    <n v="1202837"/>
    <s v="CARD0115"/>
    <s v="MER041"/>
    <s v="Metro Pay"/>
    <n v="33074.69"/>
    <n v="165.37"/>
    <s v="UPI"/>
    <x v="0"/>
    <s v="Branch"/>
    <s v="Domestic"/>
    <s v="Cash Withdrawal"/>
    <s v="High Value"/>
    <x v="4"/>
  </r>
  <r>
    <s v="TXN00602"/>
    <d v="2026-03-06T19:04:10"/>
    <s v="Mar-2026"/>
    <x v="20"/>
    <n v="2785330"/>
    <s v="CARD0154"/>
    <s v="MER018"/>
    <s v="Nova Retail"/>
    <n v="55886.81"/>
    <n v="111.77"/>
    <s v="Credit Card"/>
    <x v="0"/>
    <s v="POS"/>
    <s v="Domestic"/>
    <s v="Retail Purchase"/>
    <s v="High Value"/>
    <x v="3"/>
  </r>
  <r>
    <s v="TXN00603"/>
    <d v="2025-07-14T14:28:20"/>
    <s v="Jul-2025"/>
    <x v="20"/>
    <n v="2785330"/>
    <s v="CARD0113"/>
    <s v="MER033"/>
    <s v="Nova Services"/>
    <n v="29752.05"/>
    <n v="59.5"/>
    <s v="Net Banking"/>
    <x v="0"/>
    <s v="Branch"/>
    <s v="International"/>
    <s v="Transfer"/>
    <s v="High Value"/>
    <x v="7"/>
  </r>
  <r>
    <s v="TXN00604"/>
    <d v="2025-07-31T06:42:05"/>
    <s v="Jul-2025"/>
    <x v="3"/>
    <n v="1300603"/>
    <s v="CARD0117"/>
    <s v="MER033"/>
    <s v="Nova Services"/>
    <n v="315.67"/>
    <n v="0.63"/>
    <s v="Wallet"/>
    <x v="0"/>
    <s v="POS"/>
    <s v="International"/>
    <s v="Bill Payment"/>
    <s v="Standard"/>
    <x v="7"/>
  </r>
  <r>
    <s v="TXN00605"/>
    <d v="2025-10-31T09:46:34"/>
    <s v="Oct-2025"/>
    <x v="137"/>
    <n v="2385998"/>
    <s v="CARD0061"/>
    <s v="MER019"/>
    <s v="Metro Retail"/>
    <n v="33173.839999999997"/>
    <n v="66.349999999999994"/>
    <s v="UPI"/>
    <x v="0"/>
    <s v="Website"/>
    <s v="International"/>
    <s v="Bill Payment"/>
    <s v="High Value"/>
    <x v="6"/>
  </r>
  <r>
    <s v="TXN00606"/>
    <d v="2025-10-04T01:52:32"/>
    <s v="Oct-2025"/>
    <x v="137"/>
    <n v="2385998"/>
    <s v="CARD0030"/>
    <s v="MER001"/>
    <s v="Urban Services"/>
    <n v="38580.550000000003"/>
    <n v="115.74"/>
    <s v="Debit Card"/>
    <x v="0"/>
    <s v="POS"/>
    <s v="International"/>
    <s v="Retail Purchase"/>
    <s v="High Value"/>
    <x v="2"/>
  </r>
  <r>
    <s v="TXN00607"/>
    <d v="2026-07-17T09:36:48"/>
    <s v="Jul-2026"/>
    <x v="25"/>
    <n v="2152609"/>
    <s v="CARD0015"/>
    <s v="MER041"/>
    <s v="Metro Pay"/>
    <n v="43352.57"/>
    <n v="216.76"/>
    <s v="UPI"/>
    <x v="0"/>
    <s v="POS"/>
    <s v="Domestic"/>
    <s v="Transfer"/>
    <s v="High Value"/>
    <x v="4"/>
  </r>
  <r>
    <s v="TXN00608"/>
    <d v="2025-06-30T09:19:12"/>
    <s v="Jun-2025"/>
    <x v="13"/>
    <n v="1749932"/>
    <s v="CARD0098"/>
    <s v="MER042"/>
    <s v="Blue Digital"/>
    <n v="58299.12"/>
    <n v="116.6"/>
    <s v="Debit Card"/>
    <x v="0"/>
    <s v="Website"/>
    <s v="International"/>
    <s v="Bill Payment"/>
    <s v="High Value"/>
    <x v="7"/>
  </r>
  <r>
    <s v="TXN00609"/>
    <d v="2025-11-29T09:47:11"/>
    <s v="Nov-2025"/>
    <x v="31"/>
    <n v="2569391"/>
    <s v="CARD0115"/>
    <s v="MER015"/>
    <s v="Metro Pay"/>
    <n v="12314.73"/>
    <n v="123.15"/>
    <s v="Net Banking"/>
    <x v="2"/>
    <s v="POS"/>
    <s v="Domestic"/>
    <s v="Cash Withdrawal"/>
    <s v="High Value"/>
    <x v="3"/>
  </r>
  <r>
    <s v="TXN00610"/>
    <d v="2025-04-06T18:03:26"/>
    <s v="Apr-2025"/>
    <x v="131"/>
    <n v="1579037"/>
    <s v="CARD0146"/>
    <s v="MER032"/>
    <s v="Urban Digital"/>
    <n v="10972.66"/>
    <n v="32.92"/>
    <s v="Credit Card"/>
    <x v="0"/>
    <s v="POS"/>
    <s v="Domestic"/>
    <s v="Transfer"/>
    <s v="High Value"/>
    <x v="8"/>
  </r>
  <r>
    <s v="TXN00611"/>
    <d v="2025-06-16T06:28:15"/>
    <s v="Jun-2025"/>
    <x v="118"/>
    <n v="3039300"/>
    <s v="CARD0037"/>
    <s v="MER005"/>
    <s v="Prime Foods"/>
    <n v="49068.2"/>
    <n v="147.19999999999999"/>
    <s v="Net Banking"/>
    <x v="2"/>
    <s v="Website"/>
    <s v="International"/>
    <s v="Cash Withdrawal"/>
    <s v="High Value"/>
    <x v="6"/>
  </r>
  <r>
    <s v="TXN00612"/>
    <d v="2025-04-13T19:10:45"/>
    <s v="Apr-2025"/>
    <x v="86"/>
    <n v="3016707"/>
    <s v="CARD0026"/>
    <s v="MER025"/>
    <s v="Smart Pay"/>
    <n v="8323.75"/>
    <n v="16.649999999999999"/>
    <s v="Net Banking"/>
    <x v="2"/>
    <s v="Mobile App"/>
    <s v="Domestic"/>
    <s v="Retail Purchase"/>
    <s v="High Value"/>
    <x v="2"/>
  </r>
  <r>
    <s v="TXN00613"/>
    <d v="2025-02-14T04:48:44"/>
    <s v="Feb-2025"/>
    <x v="175"/>
    <n v="1937945"/>
    <s v="CARD0154"/>
    <s v="MER001"/>
    <s v="Urban Services"/>
    <n v="14975.74"/>
    <n v="44.93"/>
    <s v="UPI"/>
    <x v="0"/>
    <s v="Mobile App"/>
    <s v="International"/>
    <s v="Retail Purchase"/>
    <s v="High Value"/>
    <x v="2"/>
  </r>
  <r>
    <s v="TXN00614"/>
    <d v="2025-07-27T05:04:09"/>
    <s v="Jul-2025"/>
    <x v="148"/>
    <n v="1840046"/>
    <s v="CARD0079"/>
    <s v="MER022"/>
    <s v="Urban Stores"/>
    <n v="28877.48"/>
    <n v="288.77"/>
    <s v="Net Banking"/>
    <x v="0"/>
    <s v="Website"/>
    <s v="Domestic"/>
    <s v="Retail Purchase"/>
    <s v="High Value"/>
    <x v="6"/>
  </r>
  <r>
    <s v="TXN00615"/>
    <d v="2026-07-11T09:44:16"/>
    <s v="Jul-2026"/>
    <x v="10"/>
    <n v="210160"/>
    <s v="CARD0140"/>
    <s v="MER019"/>
    <s v="Metro Retail"/>
    <n v="37686.400000000001"/>
    <n v="75.37"/>
    <s v="UPI"/>
    <x v="0"/>
    <s v="Branch"/>
    <s v="Domestic"/>
    <s v="Retail Purchase"/>
    <s v="High Value"/>
    <x v="6"/>
  </r>
  <r>
    <s v="TXN00616"/>
    <d v="2025-08-18T00:52:25"/>
    <s v="Aug-2025"/>
    <x v="104"/>
    <n v="1682577"/>
    <s v="CARD0074"/>
    <s v="MER015"/>
    <s v="Metro Pay"/>
    <n v="13677.84"/>
    <n v="68.39"/>
    <s v="Net Banking"/>
    <x v="0"/>
    <s v="Mobile App"/>
    <s v="International"/>
    <s v="Bill Payment"/>
    <s v="High Value"/>
    <x v="3"/>
  </r>
  <r>
    <s v="TXN00617"/>
    <d v="2025-04-23T08:10:28"/>
    <s v="Apr-2025"/>
    <x v="29"/>
    <n v="2802699"/>
    <s v="CARD0158"/>
    <s v="MER022"/>
    <s v="Urban Stores"/>
    <n v="6194"/>
    <n v="30.97"/>
    <s v="UPI"/>
    <x v="3"/>
    <s v="POS"/>
    <s v="Domestic"/>
    <s v="Retail Purchase"/>
    <s v="High Value"/>
    <x v="6"/>
  </r>
  <r>
    <s v="TXN00618"/>
    <d v="2026-09-12T05:30:05"/>
    <s v="Sep-2026"/>
    <x v="102"/>
    <n v="2405316"/>
    <s v="CARD0109"/>
    <s v="MER010"/>
    <s v="Blue Hub"/>
    <n v="10766.26"/>
    <n v="32.299999999999997"/>
    <s v="Debit Card"/>
    <x v="0"/>
    <s v="POS"/>
    <s v="International"/>
    <s v="Retail Purchase"/>
    <s v="High Value"/>
    <x v="8"/>
  </r>
  <r>
    <s v="TXN00619"/>
    <d v="2025-10-05T18:10:37"/>
    <s v="Oct-2025"/>
    <x v="53"/>
    <n v="284902"/>
    <s v="CARD0221"/>
    <s v="MER010"/>
    <s v="Blue Hub"/>
    <n v="39737.730000000003"/>
    <n v="79.48"/>
    <s v="Credit Card"/>
    <x v="3"/>
    <s v="POS"/>
    <s v="Domestic"/>
    <s v="Cash Withdrawal"/>
    <s v="High Value"/>
    <x v="8"/>
  </r>
  <r>
    <s v="TXN00620"/>
    <d v="2026-04-03T17:25:09"/>
    <s v="Apr-2026"/>
    <x v="28"/>
    <n v="3196853"/>
    <s v="CARD0038"/>
    <s v="MER006"/>
    <s v="Nova Pay"/>
    <n v="48897.52"/>
    <n v="488.98"/>
    <s v="Debit Card"/>
    <x v="0"/>
    <s v="Website"/>
    <s v="Domestic"/>
    <s v="Cash Withdrawal"/>
    <s v="High Value"/>
    <x v="2"/>
  </r>
  <r>
    <s v="TXN00621"/>
    <d v="2025-12-28T11:37:33"/>
    <s v="Dec-2025"/>
    <x v="86"/>
    <n v="3016707"/>
    <s v="CARD0204"/>
    <s v="MER041"/>
    <s v="Metro Pay"/>
    <n v="29702.97"/>
    <n v="297.02999999999997"/>
    <s v="Debit Card"/>
    <x v="0"/>
    <s v="Website"/>
    <s v="Domestic"/>
    <s v="Cash Withdrawal"/>
    <s v="High Value"/>
    <x v="4"/>
  </r>
  <r>
    <s v="TXN00622"/>
    <d v="2026-03-05T20:00:02"/>
    <s v="Mar-2026"/>
    <x v="139"/>
    <n v="3081565"/>
    <s v="CARD0022"/>
    <s v="MER038"/>
    <s v="Quick Hub"/>
    <n v="29876.43"/>
    <n v="89.63"/>
    <s v="Net Banking"/>
    <x v="0"/>
    <s v="Website"/>
    <s v="Domestic"/>
    <s v="Bill Payment"/>
    <s v="High Value"/>
    <x v="8"/>
  </r>
  <r>
    <s v="TXN00623"/>
    <d v="2026-01-06T00:06:15"/>
    <s v="Jan-2026"/>
    <x v="33"/>
    <n v="2407873"/>
    <s v="CARD0122"/>
    <s v="MER009"/>
    <s v="Prime Mart"/>
    <n v="12276.45"/>
    <n v="61.38"/>
    <s v="UPI"/>
    <x v="1"/>
    <s v="Mobile App"/>
    <s v="International"/>
    <s v="Transfer"/>
    <s v="High Value"/>
    <x v="5"/>
  </r>
  <r>
    <s v="TXN00624"/>
    <d v="2025-05-23T10:43:46"/>
    <s v="May-2025"/>
    <x v="134"/>
    <n v="984635"/>
    <s v="CARD0054"/>
    <s v="MER015"/>
    <s v="Metro Pay"/>
    <n v="27677.26"/>
    <n v="276.77"/>
    <s v="UPI"/>
    <x v="1"/>
    <s v="Website"/>
    <s v="Domestic"/>
    <s v="Bill Payment"/>
    <s v="High Value"/>
    <x v="3"/>
  </r>
  <r>
    <s v="TXN00625"/>
    <d v="2026-01-22T00:57:33"/>
    <s v="Jan-2026"/>
    <x v="30"/>
    <n v="2603965"/>
    <s v="CARD0028"/>
    <s v="MER043"/>
    <s v="Metro Pay"/>
    <n v="41797.74"/>
    <n v="83.6"/>
    <s v="Wallet"/>
    <x v="0"/>
    <s v="Mobile App"/>
    <s v="International"/>
    <s v="Bill Payment"/>
    <s v="High Value"/>
    <x v="0"/>
  </r>
  <r>
    <s v="TXN00626"/>
    <d v="2025-01-31T05:20:52"/>
    <s v="Jan-2025"/>
    <x v="74"/>
    <n v="2651559"/>
    <s v="CARD0146"/>
    <s v="MER027"/>
    <s v="Prime Digital"/>
    <n v="21978.13"/>
    <n v="43.96"/>
    <s v="Credit Card"/>
    <x v="0"/>
    <s v="Website"/>
    <s v="International"/>
    <s v="Bill Payment"/>
    <s v="High Value"/>
    <x v="1"/>
  </r>
  <r>
    <s v="TXN00627"/>
    <d v="2026-06-25T10:54:17"/>
    <s v="Jun-2026"/>
    <x v="93"/>
    <n v="1157267"/>
    <s v="CARD0178"/>
    <s v="MER001"/>
    <s v="Urban Services"/>
    <n v="28264.05"/>
    <n v="282.64"/>
    <s v="Debit Card"/>
    <x v="2"/>
    <s v="Mobile App"/>
    <s v="Domestic"/>
    <s v="Retail Purchase"/>
    <s v="High Value"/>
    <x v="2"/>
  </r>
  <r>
    <s v="TXN00628"/>
    <d v="2025-02-02T21:59:50"/>
    <s v="Feb-2025"/>
    <x v="16"/>
    <n v="3376854"/>
    <s v="CARD0214"/>
    <s v="MER028"/>
    <s v="Prime Pay"/>
    <n v="45092.86"/>
    <n v="90.19"/>
    <s v="Net Banking"/>
    <x v="0"/>
    <s v="POS"/>
    <s v="International"/>
    <s v="Bill Payment"/>
    <s v="High Value"/>
    <x v="0"/>
  </r>
  <r>
    <s v="TXN00629"/>
    <d v="2026-03-10T05:42:32"/>
    <s v="Mar-2026"/>
    <x v="45"/>
    <n v="2120402"/>
    <s v="CARD0191"/>
    <s v="MER014"/>
    <s v="Daily Stores"/>
    <n v="16382.47"/>
    <n v="163.82"/>
    <s v="Net Banking"/>
    <x v="0"/>
    <s v="Mobile App"/>
    <s v="Domestic"/>
    <s v="Cash Withdrawal"/>
    <s v="High Value"/>
    <x v="0"/>
  </r>
  <r>
    <s v="TXN00630"/>
    <d v="2025-07-08T20:21:47"/>
    <s v="Jul-2025"/>
    <x v="108"/>
    <n v="3369767"/>
    <s v="CARD0081"/>
    <s v="MER042"/>
    <s v="Blue Digital"/>
    <n v="36344.5"/>
    <n v="363.44"/>
    <s v="Net Banking"/>
    <x v="0"/>
    <s v="Branch"/>
    <s v="Domestic"/>
    <s v="Retail Purchase"/>
    <s v="High Value"/>
    <x v="7"/>
  </r>
  <r>
    <s v="TXN00631"/>
    <d v="2026-01-16T23:32:37"/>
    <s v="Jan-2026"/>
    <x v="29"/>
    <n v="2802699"/>
    <s v="CARD0093"/>
    <s v="MER039"/>
    <s v="Fresh Foods"/>
    <n v="25510.89"/>
    <n v="51.02"/>
    <s v="Debit Card"/>
    <x v="0"/>
    <s v="Mobile App"/>
    <s v="Domestic"/>
    <s v="Transfer"/>
    <s v="High Value"/>
    <x v="4"/>
  </r>
  <r>
    <s v="TXN00632"/>
    <d v="2025-06-16T19:43:04"/>
    <s v="Jun-2025"/>
    <x v="18"/>
    <n v="301738"/>
    <s v="CARD0049"/>
    <s v="MER036"/>
    <s v="Green Foods"/>
    <n v="6477.23"/>
    <n v="12.95"/>
    <s v="Credit Card"/>
    <x v="0"/>
    <s v="Mobile App"/>
    <s v="Domestic"/>
    <s v="Transfer"/>
    <s v="High Value"/>
    <x v="3"/>
  </r>
  <r>
    <s v="TXN00633"/>
    <d v="2025-03-29T20:45:27"/>
    <s v="Mar-2025"/>
    <x v="132"/>
    <n v="314638"/>
    <s v="CARD0013"/>
    <s v="MER021"/>
    <s v="Fresh Hub"/>
    <n v="33931.33"/>
    <n v="339.31"/>
    <s v="UPI"/>
    <x v="0"/>
    <s v="POS"/>
    <s v="Domestic"/>
    <s v="Transfer"/>
    <s v="High Value"/>
    <x v="4"/>
  </r>
  <r>
    <s v="TXN00634"/>
    <d v="2025-10-17T14:29:44"/>
    <s v="Oct-2025"/>
    <x v="164"/>
    <n v="2006565"/>
    <s v="CARD0250"/>
    <s v="MER009"/>
    <s v="Prime Mart"/>
    <n v="30062.94"/>
    <n v="300.63"/>
    <s v="UPI"/>
    <x v="0"/>
    <s v="POS"/>
    <s v="International"/>
    <s v="Retail Purchase"/>
    <s v="High Value"/>
    <x v="5"/>
  </r>
  <r>
    <s v="TXN00635"/>
    <d v="2026-05-30T05:28:05"/>
    <s v="May-2026"/>
    <x v="163"/>
    <n v="3022750"/>
    <s v="CARD0223"/>
    <s v="MER003"/>
    <s v="Fresh Mart"/>
    <n v="1518.75"/>
    <n v="15.19"/>
    <s v="Debit Card"/>
    <x v="1"/>
    <s v="Website"/>
    <s v="Domestic"/>
    <s v="Cash Withdrawal"/>
    <s v="Standard"/>
    <x v="7"/>
  </r>
  <r>
    <s v="TXN00636"/>
    <d v="2025-03-22T22:47:24"/>
    <s v="Mar-2025"/>
    <x v="65"/>
    <n v="2926065"/>
    <s v="CARD0168"/>
    <s v="MER010"/>
    <s v="Blue Hub"/>
    <n v="5688.12"/>
    <n v="17.059999999999999"/>
    <s v="Credit Card"/>
    <x v="2"/>
    <s v="POS"/>
    <s v="International"/>
    <s v="Bill Payment"/>
    <s v="High Value"/>
    <x v="8"/>
  </r>
  <r>
    <s v="TXN00637"/>
    <d v="2025-12-14T10:35:21"/>
    <s v="Dec-2025"/>
    <x v="127"/>
    <n v="1771551"/>
    <s v="CARD0229"/>
    <s v="MER044"/>
    <s v="Blue Foods"/>
    <n v="21682.95"/>
    <n v="216.83"/>
    <s v="Net Banking"/>
    <x v="1"/>
    <s v="Website"/>
    <s v="Domestic"/>
    <s v="Retail Purchase"/>
    <s v="High Value"/>
    <x v="5"/>
  </r>
  <r>
    <s v="TXN00638"/>
    <d v="2025-06-06T20:38:24"/>
    <s v="Jun-2025"/>
    <x v="141"/>
    <n v="425296"/>
    <s v="CARD0197"/>
    <s v="MER020"/>
    <s v="Urban Retail"/>
    <n v="37704.6"/>
    <n v="75.41"/>
    <s v="Wallet"/>
    <x v="0"/>
    <s v="Mobile App"/>
    <s v="International"/>
    <s v="Retail Purchase"/>
    <s v="High Value"/>
    <x v="3"/>
  </r>
  <r>
    <s v="TXN00639"/>
    <d v="2026-04-11T11:25:19"/>
    <s v="Apr-2026"/>
    <x v="28"/>
    <n v="3196853"/>
    <s v="CARD0148"/>
    <s v="MER024"/>
    <s v="Metro Stores"/>
    <n v="10266.09"/>
    <n v="20.53"/>
    <s v="Debit Card"/>
    <x v="0"/>
    <s v="Mobile App"/>
    <s v="Domestic"/>
    <s v="Bill Payment"/>
    <s v="High Value"/>
    <x v="4"/>
  </r>
  <r>
    <s v="TXN00640"/>
    <d v="2026-04-17T09:23:29"/>
    <s v="Apr-2026"/>
    <x v="87"/>
    <n v="2445827"/>
    <s v="CARD0237"/>
    <s v="MER009"/>
    <s v="Prime Mart"/>
    <n v="59169.98"/>
    <n v="591.70000000000005"/>
    <s v="UPI"/>
    <x v="3"/>
    <s v="Branch"/>
    <s v="Domestic"/>
    <s v="Transfer"/>
    <s v="High Value"/>
    <x v="5"/>
  </r>
  <r>
    <s v="TXN00641"/>
    <d v="2025-10-21T14:35:51"/>
    <s v="Oct-2025"/>
    <x v="11"/>
    <n v="2150955"/>
    <s v="CARD0094"/>
    <s v="MER033"/>
    <s v="Nova Services"/>
    <n v="24601.09"/>
    <n v="73.8"/>
    <s v="Wallet"/>
    <x v="0"/>
    <s v="POS"/>
    <s v="International"/>
    <s v="Retail Purchase"/>
    <s v="High Value"/>
    <x v="7"/>
  </r>
  <r>
    <s v="TXN00642"/>
    <d v="2026-02-28T18:25:14"/>
    <s v="Feb-2026"/>
    <x v="160"/>
    <n v="669374"/>
    <s v="CARD0165"/>
    <s v="MER004"/>
    <s v="Daily Digital"/>
    <n v="27060.53"/>
    <n v="54.12"/>
    <s v="Credit Card"/>
    <x v="1"/>
    <s v="Mobile App"/>
    <s v="Domestic"/>
    <s v="Retail Purchase"/>
    <s v="High Value"/>
    <x v="4"/>
  </r>
  <r>
    <s v="TXN00643"/>
    <d v="2025-10-25T13:40:59"/>
    <s v="Oct-2025"/>
    <x v="89"/>
    <n v="1275615"/>
    <s v="CARD0100"/>
    <s v="MER030"/>
    <s v="Green Pay"/>
    <n v="9576.5300000000007"/>
    <n v="19.149999999999999"/>
    <s v="UPI"/>
    <x v="0"/>
    <s v="POS"/>
    <s v="International"/>
    <s v="Cash Withdrawal"/>
    <s v="High Value"/>
    <x v="8"/>
  </r>
  <r>
    <s v="TXN00644"/>
    <d v="2026-07-02T16:55:29"/>
    <s v="Jul-2026"/>
    <x v="16"/>
    <n v="3376854"/>
    <s v="CARD0197"/>
    <s v="MER028"/>
    <s v="Prime Pay"/>
    <n v="6636.23"/>
    <n v="13.27"/>
    <s v="Credit Card"/>
    <x v="0"/>
    <s v="Branch"/>
    <s v="International"/>
    <s v="Retail Purchase"/>
    <s v="High Value"/>
    <x v="0"/>
  </r>
  <r>
    <s v="TXN00645"/>
    <d v="2025-11-21T12:28:02"/>
    <s v="Nov-2025"/>
    <x v="91"/>
    <n v="586557"/>
    <s v="CARD0072"/>
    <s v="MER030"/>
    <s v="Green Pay"/>
    <n v="59786.65"/>
    <n v="597.87"/>
    <s v="UPI"/>
    <x v="0"/>
    <s v="Website"/>
    <s v="International"/>
    <s v="Bill Payment"/>
    <s v="High Value"/>
    <x v="8"/>
  </r>
  <r>
    <s v="TXN00646"/>
    <d v="2025-08-07T11:39:27"/>
    <s v="Aug-2025"/>
    <x v="116"/>
    <n v="821062"/>
    <s v="CARD0240"/>
    <s v="MER024"/>
    <s v="Metro Stores"/>
    <n v="34135.57"/>
    <n v="341.36"/>
    <s v="Net Banking"/>
    <x v="3"/>
    <s v="Branch"/>
    <s v="Domestic"/>
    <s v="Retail Purchase"/>
    <s v="High Value"/>
    <x v="4"/>
  </r>
  <r>
    <s v="TXN00647"/>
    <d v="2025-08-05T00:50:07"/>
    <s v="Aug-2025"/>
    <x v="67"/>
    <n v="2034552"/>
    <s v="CARD0163"/>
    <s v="MER012"/>
    <s v="Daily Hub"/>
    <n v="57163.44"/>
    <n v="285.82"/>
    <s v="UPI"/>
    <x v="2"/>
    <s v="Website"/>
    <s v="Domestic"/>
    <s v="Transfer"/>
    <s v="High Value"/>
    <x v="2"/>
  </r>
  <r>
    <s v="TXN00648"/>
    <d v="2026-02-19T02:58:29"/>
    <s v="Feb-2026"/>
    <x v="42"/>
    <n v="3303519"/>
    <s v="CARD0055"/>
    <s v="MER043"/>
    <s v="Metro Pay"/>
    <n v="17970.37"/>
    <n v="179.7"/>
    <s v="Debit Card"/>
    <x v="2"/>
    <s v="Website"/>
    <s v="Domestic"/>
    <s v="Retail Purchase"/>
    <s v="High Value"/>
    <x v="0"/>
  </r>
  <r>
    <s v="TXN00649"/>
    <d v="2026-03-15T12:27:09"/>
    <s v="Mar-2026"/>
    <x v="12"/>
    <n v="1636278"/>
    <s v="CARD0242"/>
    <s v="MER027"/>
    <s v="Prime Digital"/>
    <n v="57805.61"/>
    <n v="173.42"/>
    <s v="Net Banking"/>
    <x v="0"/>
    <s v="Branch"/>
    <s v="Domestic"/>
    <s v="Cash Withdrawal"/>
    <s v="High Value"/>
    <x v="1"/>
  </r>
  <r>
    <s v="TXN00650"/>
    <d v="2025-12-30T20:45:52"/>
    <s v="Dec-2025"/>
    <x v="29"/>
    <n v="2802699"/>
    <s v="CARD0186"/>
    <s v="MER043"/>
    <s v="Metro Pay"/>
    <n v="23409.360000000001"/>
    <n v="70.23"/>
    <s v="Wallet"/>
    <x v="0"/>
    <s v="Website"/>
    <s v="International"/>
    <s v="Transfer"/>
    <s v="High Value"/>
    <x v="0"/>
  </r>
  <r>
    <s v="TXN00651"/>
    <d v="2025-01-15T05:28:47"/>
    <s v="Jan-2025"/>
    <x v="130"/>
    <n v="749164"/>
    <s v="CARD0030"/>
    <s v="MER044"/>
    <s v="Blue Foods"/>
    <n v="53800.42"/>
    <n v="538"/>
    <s v="Net Banking"/>
    <x v="3"/>
    <s v="POS"/>
    <s v="Domestic"/>
    <s v="Cash Withdrawal"/>
    <s v="High Value"/>
    <x v="5"/>
  </r>
  <r>
    <s v="TXN00652"/>
    <d v="2025-05-09T23:05:38"/>
    <s v="May-2025"/>
    <x v="23"/>
    <n v="3123647"/>
    <s v="CARD0056"/>
    <s v="MER013"/>
    <s v="Quick Retail"/>
    <n v="27014.79"/>
    <n v="54.03"/>
    <s v="Net Banking"/>
    <x v="3"/>
    <s v="Website"/>
    <s v="International"/>
    <s v="Bill Payment"/>
    <s v="High Value"/>
    <x v="3"/>
  </r>
  <r>
    <s v="TXN00653"/>
    <d v="2025-12-23T07:38:14"/>
    <s v="Dec-2025"/>
    <x v="176"/>
    <n v="2253271"/>
    <s v="CARD0209"/>
    <s v="MER024"/>
    <s v="Metro Stores"/>
    <n v="57147.38"/>
    <n v="114.29"/>
    <s v="UPI"/>
    <x v="3"/>
    <s v="POS"/>
    <s v="International"/>
    <s v="Retail Purchase"/>
    <s v="High Value"/>
    <x v="4"/>
  </r>
  <r>
    <s v="TXN00654"/>
    <d v="2026-05-27T23:37:34"/>
    <s v="May-2026"/>
    <x v="40"/>
    <n v="2236054"/>
    <s v="CARD0213"/>
    <s v="MER035"/>
    <s v="Nova Hub"/>
    <n v="59942.99"/>
    <n v="299.70999999999998"/>
    <s v="Net Banking"/>
    <x v="0"/>
    <s v="POS"/>
    <s v="Domestic"/>
    <s v="Bill Payment"/>
    <s v="High Value"/>
    <x v="1"/>
  </r>
  <r>
    <s v="TXN00655"/>
    <d v="2026-04-15T15:35:49"/>
    <s v="Apr-2026"/>
    <x v="117"/>
    <n v="1558103"/>
    <s v="CARD0112"/>
    <s v="MER025"/>
    <s v="Smart Pay"/>
    <n v="22449.98"/>
    <n v="67.349999999999994"/>
    <s v="Debit Card"/>
    <x v="0"/>
    <s v="Branch"/>
    <s v="International"/>
    <s v="Retail Purchase"/>
    <s v="High Value"/>
    <x v="2"/>
  </r>
  <r>
    <s v="TXN00656"/>
    <d v="2025-03-31T03:46:46"/>
    <s v="Mar-2025"/>
    <x v="10"/>
    <n v="210160"/>
    <s v="CARD0128"/>
    <s v="MER040"/>
    <s v="Blue Retail"/>
    <n v="5469.31"/>
    <n v="54.69"/>
    <s v="Wallet"/>
    <x v="0"/>
    <s v="Mobile App"/>
    <s v="International"/>
    <s v="Retail Purchase"/>
    <s v="High Value"/>
    <x v="4"/>
  </r>
  <r>
    <s v="TXN00657"/>
    <d v="2025-10-24T15:18:54"/>
    <s v="Oct-2025"/>
    <x v="91"/>
    <n v="586557"/>
    <s v="CARD0051"/>
    <s v="MER031"/>
    <s v="Daily Digital"/>
    <n v="12791.08"/>
    <n v="127.91"/>
    <s v="UPI"/>
    <x v="2"/>
    <s v="POS"/>
    <s v="International"/>
    <s v="Cash Withdrawal"/>
    <s v="High Value"/>
    <x v="3"/>
  </r>
  <r>
    <s v="TXN00658"/>
    <d v="2026-02-10T00:16:36"/>
    <s v="Feb-2026"/>
    <x v="66"/>
    <n v="2253568"/>
    <s v="CARD0226"/>
    <s v="MER043"/>
    <s v="Metro Pay"/>
    <n v="56383.05"/>
    <n v="281.92"/>
    <s v="Debit Card"/>
    <x v="1"/>
    <s v="POS"/>
    <s v="International"/>
    <s v="Bill Payment"/>
    <s v="High Value"/>
    <x v="0"/>
  </r>
  <r>
    <s v="TXN00659"/>
    <d v="2025-01-05T15:05:36"/>
    <s v="Jan-2025"/>
    <x v="99"/>
    <n v="2438970"/>
    <s v="CARD0210"/>
    <s v="MER039"/>
    <s v="Fresh Foods"/>
    <n v="2057.21"/>
    <n v="10.29"/>
    <s v="Debit Card"/>
    <x v="0"/>
    <s v="POS"/>
    <s v="Domestic"/>
    <s v="Cash Withdrawal"/>
    <s v="Standard"/>
    <x v="4"/>
  </r>
  <r>
    <s v="TXN00660"/>
    <d v="2025-09-05T20:14:01"/>
    <s v="Sep-2025"/>
    <x v="125"/>
    <n v="3304710"/>
    <s v="CARD0206"/>
    <s v="MER037"/>
    <s v="Metro Pay"/>
    <n v="58412.07"/>
    <n v="584.12"/>
    <s v="Net Banking"/>
    <x v="0"/>
    <s v="Website"/>
    <s v="International"/>
    <s v="Bill Payment"/>
    <s v="High Value"/>
    <x v="2"/>
  </r>
  <r>
    <s v="TXN00661"/>
    <d v="2026-02-17T11:34:57"/>
    <s v="Feb-2026"/>
    <x v="45"/>
    <n v="2120402"/>
    <s v="CARD0130"/>
    <s v="MER008"/>
    <s v="Daily Services"/>
    <n v="31084.9"/>
    <n v="62.17"/>
    <s v="Wallet"/>
    <x v="0"/>
    <s v="Branch"/>
    <s v="International"/>
    <s v="Bill Payment"/>
    <s v="High Value"/>
    <x v="5"/>
  </r>
  <r>
    <s v="TXN00662"/>
    <d v="2025-11-27T07:25:07"/>
    <s v="Nov-2025"/>
    <x v="175"/>
    <n v="1937945"/>
    <s v="CARD0198"/>
    <s v="MER038"/>
    <s v="Quick Hub"/>
    <n v="5685.94"/>
    <n v="11.37"/>
    <s v="Credit Card"/>
    <x v="0"/>
    <s v="Mobile App"/>
    <s v="Domestic"/>
    <s v="Cash Withdrawal"/>
    <s v="High Value"/>
    <x v="8"/>
  </r>
  <r>
    <s v="TXN00663"/>
    <d v="2025-01-26T04:45:11"/>
    <s v="Jan-2025"/>
    <x v="177"/>
    <n v="1233278"/>
    <s v="CARD0062"/>
    <s v="MER042"/>
    <s v="Blue Digital"/>
    <n v="59006.51"/>
    <n v="295.02999999999997"/>
    <s v="Credit Card"/>
    <x v="2"/>
    <s v="POS"/>
    <s v="Domestic"/>
    <s v="Bill Payment"/>
    <s v="High Value"/>
    <x v="7"/>
  </r>
  <r>
    <s v="TXN00664"/>
    <d v="2026-01-23T09:29:01"/>
    <s v="Jan-2026"/>
    <x v="175"/>
    <n v="1937945"/>
    <s v="CARD0006"/>
    <s v="MER041"/>
    <s v="Metro Pay"/>
    <n v="39589.54"/>
    <n v="118.77"/>
    <s v="Wallet"/>
    <x v="0"/>
    <s v="Mobile App"/>
    <s v="Domestic"/>
    <s v="Cash Withdrawal"/>
    <s v="High Value"/>
    <x v="4"/>
  </r>
  <r>
    <s v="TXN00665"/>
    <d v="2026-09-03T04:28:00"/>
    <s v="Sep-2026"/>
    <x v="7"/>
    <n v="1291728"/>
    <s v="CARD0020"/>
    <s v="MER032"/>
    <s v="Urban Digital"/>
    <n v="6513.89"/>
    <n v="19.54"/>
    <s v="Debit Card"/>
    <x v="0"/>
    <s v="Website"/>
    <s v="International"/>
    <s v="Retail Purchase"/>
    <s v="High Value"/>
    <x v="8"/>
  </r>
  <r>
    <s v="TXN00666"/>
    <d v="2026-05-18T00:47:57"/>
    <s v="May-2026"/>
    <x v="124"/>
    <n v="932293"/>
    <s v="CARD0176"/>
    <s v="MER027"/>
    <s v="Prime Digital"/>
    <n v="24883.33"/>
    <n v="49.77"/>
    <s v="Net Banking"/>
    <x v="0"/>
    <s v="POS"/>
    <s v="International"/>
    <s v="Bill Payment"/>
    <s v="High Value"/>
    <x v="1"/>
  </r>
  <r>
    <s v="TXN00667"/>
    <d v="2025-07-04T10:52:38"/>
    <s v="Jul-2025"/>
    <x v="24"/>
    <n v="3004295"/>
    <s v="CARD0250"/>
    <s v="MER022"/>
    <s v="Urban Stores"/>
    <n v="707.4"/>
    <n v="1.41"/>
    <s v="Debit Card"/>
    <x v="0"/>
    <s v="Branch"/>
    <s v="Domestic"/>
    <s v="Bill Payment"/>
    <s v="Standard"/>
    <x v="6"/>
  </r>
  <r>
    <s v="TXN00668"/>
    <d v="2026-06-19T09:15:57"/>
    <s v="Jun-2026"/>
    <x v="57"/>
    <n v="3457954"/>
    <s v="CARD0006"/>
    <s v="MER034"/>
    <s v="Urban Retail"/>
    <n v="55602.33"/>
    <n v="111.2"/>
    <s v="Wallet"/>
    <x v="0"/>
    <s v="Website"/>
    <s v="Domestic"/>
    <s v="Transfer"/>
    <s v="High Value"/>
    <x v="8"/>
  </r>
  <r>
    <s v="TXN00669"/>
    <d v="2025-04-28T07:53:57"/>
    <s v="Apr-2025"/>
    <x v="147"/>
    <n v="585020"/>
    <s v="CARD0241"/>
    <s v="MER009"/>
    <s v="Prime Mart"/>
    <n v="1866.91"/>
    <n v="3.73"/>
    <s v="Debit Card"/>
    <x v="0"/>
    <s v="POS"/>
    <s v="International"/>
    <s v="Bill Payment"/>
    <s v="Standard"/>
    <x v="5"/>
  </r>
  <r>
    <s v="TXN00670"/>
    <d v="2025-04-05T12:41:25"/>
    <s v="Apr-2025"/>
    <x v="14"/>
    <n v="3108672"/>
    <s v="CARD0112"/>
    <s v="MER033"/>
    <s v="Nova Services"/>
    <n v="42514.21"/>
    <n v="425.14"/>
    <s v="Net Banking"/>
    <x v="2"/>
    <s v="Website"/>
    <s v="International"/>
    <s v="Bill Payment"/>
    <s v="High Value"/>
    <x v="7"/>
  </r>
  <r>
    <s v="TXN00671"/>
    <d v="2025-07-22T10:14:02"/>
    <s v="Jul-2025"/>
    <x v="20"/>
    <n v="2785330"/>
    <s v="CARD0204"/>
    <s v="MER014"/>
    <s v="Daily Stores"/>
    <n v="57716.09"/>
    <n v="288.58"/>
    <s v="Net Banking"/>
    <x v="0"/>
    <s v="Branch"/>
    <s v="International"/>
    <s v="Cash Withdrawal"/>
    <s v="High Value"/>
    <x v="0"/>
  </r>
  <r>
    <s v="TXN00672"/>
    <d v="2026-09-03T09:53:28"/>
    <s v="Sep-2026"/>
    <x v="8"/>
    <n v="2069594"/>
    <s v="CARD0052"/>
    <s v="MER037"/>
    <s v="Metro Pay"/>
    <n v="48971.94"/>
    <n v="489.72"/>
    <s v="Debit Card"/>
    <x v="2"/>
    <s v="POS"/>
    <s v="Domestic"/>
    <s v="Cash Withdrawal"/>
    <s v="High Value"/>
    <x v="2"/>
  </r>
  <r>
    <s v="TXN00673"/>
    <d v="2025-06-21T01:13:44"/>
    <s v="Jun-2025"/>
    <x v="170"/>
    <n v="3142936"/>
    <s v="CARD0155"/>
    <s v="MER042"/>
    <s v="Blue Digital"/>
    <n v="57490.04"/>
    <n v="574.9"/>
    <s v="Wallet"/>
    <x v="0"/>
    <s v="POS"/>
    <s v="International"/>
    <s v="Retail Purchase"/>
    <s v="High Value"/>
    <x v="7"/>
  </r>
  <r>
    <s v="TXN00674"/>
    <d v="2025-04-28T06:33:00"/>
    <s v="Apr-2025"/>
    <x v="164"/>
    <n v="2006565"/>
    <s v="CARD0063"/>
    <s v="MER005"/>
    <s v="Prime Foods"/>
    <n v="48561.52"/>
    <n v="145.68"/>
    <s v="Credit Card"/>
    <x v="0"/>
    <s v="POS"/>
    <s v="International"/>
    <s v="Bill Payment"/>
    <s v="High Value"/>
    <x v="6"/>
  </r>
  <r>
    <s v="TXN00675"/>
    <d v="2025-11-18T04:27:10"/>
    <s v="Nov-2025"/>
    <x v="105"/>
    <n v="1784496"/>
    <s v="CARD0120"/>
    <s v="MER037"/>
    <s v="Metro Pay"/>
    <n v="677.02"/>
    <n v="3.39"/>
    <s v="Debit Card"/>
    <x v="2"/>
    <s v="Website"/>
    <s v="Domestic"/>
    <s v="Cash Withdrawal"/>
    <s v="Standard"/>
    <x v="2"/>
  </r>
  <r>
    <s v="TXN00676"/>
    <d v="2025-10-18T21:54:39"/>
    <s v="Oct-2025"/>
    <x v="94"/>
    <n v="2430547"/>
    <s v="CARD0243"/>
    <s v="MER043"/>
    <s v="Metro Pay"/>
    <n v="12809.29"/>
    <n v="64.05"/>
    <s v="UPI"/>
    <x v="0"/>
    <s v="Branch"/>
    <s v="International"/>
    <s v="Transfer"/>
    <s v="High Value"/>
    <x v="0"/>
  </r>
  <r>
    <s v="TXN00677"/>
    <d v="2025-11-24T07:12:51"/>
    <s v="Nov-2025"/>
    <x v="132"/>
    <n v="314638"/>
    <s v="CARD0071"/>
    <s v="MER027"/>
    <s v="Prime Digital"/>
    <n v="11907.68"/>
    <n v="119.08"/>
    <s v="UPI"/>
    <x v="1"/>
    <s v="Mobile App"/>
    <s v="International"/>
    <s v="Bill Payment"/>
    <s v="High Value"/>
    <x v="1"/>
  </r>
  <r>
    <s v="TXN00678"/>
    <d v="2026-09-08T11:54:04"/>
    <s v="Sep-2026"/>
    <x v="103"/>
    <n v="2067729"/>
    <s v="CARD0005"/>
    <s v="MER042"/>
    <s v="Blue Digital"/>
    <n v="35511.15"/>
    <n v="71.02"/>
    <s v="Wallet"/>
    <x v="0"/>
    <s v="Mobile App"/>
    <s v="International"/>
    <s v="Transfer"/>
    <s v="High Value"/>
    <x v="7"/>
  </r>
  <r>
    <s v="TXN00679"/>
    <d v="2025-05-15T14:39:57"/>
    <s v="May-2025"/>
    <x v="5"/>
    <n v="3396603"/>
    <s v="CARD0166"/>
    <s v="MER002"/>
    <s v="Daily Stores"/>
    <n v="2316.79"/>
    <n v="4.63"/>
    <s v="UPI"/>
    <x v="0"/>
    <s v="Branch"/>
    <s v="Domestic"/>
    <s v="Cash Withdrawal"/>
    <s v="Standard"/>
    <x v="6"/>
  </r>
  <r>
    <s v="TXN00680"/>
    <d v="2025-11-05T10:00:02"/>
    <s v="Nov-2025"/>
    <x v="33"/>
    <n v="2407873"/>
    <s v="CARD0199"/>
    <s v="MER021"/>
    <s v="Fresh Hub"/>
    <n v="19099.66"/>
    <n v="38.200000000000003"/>
    <s v="Net Banking"/>
    <x v="0"/>
    <s v="Mobile App"/>
    <s v="International"/>
    <s v="Transfer"/>
    <s v="High Value"/>
    <x v="4"/>
  </r>
  <r>
    <s v="TXN00681"/>
    <d v="2026-04-11T17:57:42"/>
    <s v="Apr-2026"/>
    <x v="62"/>
    <n v="1352972"/>
    <s v="CARD0241"/>
    <s v="MER040"/>
    <s v="Blue Retail"/>
    <n v="50935.47"/>
    <n v="101.87"/>
    <s v="UPI"/>
    <x v="3"/>
    <s v="Mobile App"/>
    <s v="Domestic"/>
    <s v="Retail Purchase"/>
    <s v="High Value"/>
    <x v="4"/>
  </r>
  <r>
    <s v="TXN00682"/>
    <d v="2025-01-11T05:03:04"/>
    <s v="Jan-2025"/>
    <x v="89"/>
    <n v="1275615"/>
    <s v="CARD0044"/>
    <s v="MER006"/>
    <s v="Nova Pay"/>
    <n v="6397.63"/>
    <n v="63.98"/>
    <s v="Credit Card"/>
    <x v="0"/>
    <s v="POS"/>
    <s v="Domestic"/>
    <s v="Retail Purchase"/>
    <s v="High Value"/>
    <x v="2"/>
  </r>
  <r>
    <s v="TXN00683"/>
    <d v="2025-09-23T01:34:06"/>
    <s v="Sep-2025"/>
    <x v="77"/>
    <n v="3403277"/>
    <s v="CARD0085"/>
    <s v="MER045"/>
    <s v="Blue Services"/>
    <n v="6737.14"/>
    <n v="13.47"/>
    <s v="Wallet"/>
    <x v="3"/>
    <s v="Branch"/>
    <s v="International"/>
    <s v="Bill Payment"/>
    <s v="High Value"/>
    <x v="0"/>
  </r>
  <r>
    <s v="TXN00684"/>
    <d v="2025-05-22T21:14:34"/>
    <s v="May-2025"/>
    <x v="39"/>
    <n v="1380385"/>
    <s v="CARD0228"/>
    <s v="MER027"/>
    <s v="Prime Digital"/>
    <n v="27695.56"/>
    <n v="83.09"/>
    <s v="Net Banking"/>
    <x v="0"/>
    <s v="Mobile App"/>
    <s v="Domestic"/>
    <s v="Cash Withdrawal"/>
    <s v="High Value"/>
    <x v="1"/>
  </r>
  <r>
    <s v="TXN00685"/>
    <d v="2026-05-17T10:12:51"/>
    <s v="May-2026"/>
    <x v="7"/>
    <n v="1291728"/>
    <s v="CARD0068"/>
    <s v="MER019"/>
    <s v="Metro Retail"/>
    <n v="19382.490000000002"/>
    <n v="58.15"/>
    <s v="UPI"/>
    <x v="2"/>
    <s v="POS"/>
    <s v="Domestic"/>
    <s v="Bill Payment"/>
    <s v="High Value"/>
    <x v="6"/>
  </r>
  <r>
    <s v="TXN00686"/>
    <d v="2025-03-21T02:44:09"/>
    <s v="Mar-2025"/>
    <x v="47"/>
    <n v="1864504"/>
    <s v="CARD0056"/>
    <s v="MER030"/>
    <s v="Green Pay"/>
    <n v="58308.74"/>
    <n v="116.62"/>
    <s v="Net Banking"/>
    <x v="0"/>
    <s v="Website"/>
    <s v="International"/>
    <s v="Retail Purchase"/>
    <s v="High Value"/>
    <x v="8"/>
  </r>
  <r>
    <s v="TXN00687"/>
    <d v="2025-12-15T07:35:49"/>
    <s v="Dec-2025"/>
    <x v="18"/>
    <n v="301738"/>
    <s v="CARD0182"/>
    <s v="MER030"/>
    <s v="Green Pay"/>
    <n v="48858.33"/>
    <n v="244.29"/>
    <s v="Credit Card"/>
    <x v="2"/>
    <s v="Mobile App"/>
    <s v="Domestic"/>
    <s v="Bill Payment"/>
    <s v="High Value"/>
    <x v="8"/>
  </r>
  <r>
    <s v="TXN00688"/>
    <d v="2026-01-08T14:02:18"/>
    <s v="Jan-2026"/>
    <x v="109"/>
    <n v="3368543"/>
    <s v="CARD0049"/>
    <s v="MER005"/>
    <s v="Prime Foods"/>
    <n v="58506.37"/>
    <n v="175.52"/>
    <s v="Debit Card"/>
    <x v="1"/>
    <s v="Branch"/>
    <s v="Domestic"/>
    <s v="Transfer"/>
    <s v="High Value"/>
    <x v="6"/>
  </r>
  <r>
    <s v="TXN00689"/>
    <d v="2026-08-15T23:36:24"/>
    <s v="Aug-2026"/>
    <x v="43"/>
    <n v="2596806"/>
    <s v="CARD0062"/>
    <s v="MER002"/>
    <s v="Daily Stores"/>
    <n v="6213.65"/>
    <n v="12.43"/>
    <s v="Net Banking"/>
    <x v="0"/>
    <s v="Website"/>
    <s v="International"/>
    <s v="Retail Purchase"/>
    <s v="High Value"/>
    <x v="6"/>
  </r>
  <r>
    <s v="TXN00690"/>
    <d v="2026-05-03T19:19:44"/>
    <s v="May-2026"/>
    <x v="40"/>
    <n v="2236054"/>
    <s v="CARD0111"/>
    <s v="MER014"/>
    <s v="Daily Stores"/>
    <n v="27213.19"/>
    <n v="54.43"/>
    <s v="Credit Card"/>
    <x v="0"/>
    <s v="Branch"/>
    <s v="International"/>
    <s v="Transfer"/>
    <s v="High Value"/>
    <x v="0"/>
  </r>
  <r>
    <s v="TXN00691"/>
    <d v="2025-02-24T16:04:07"/>
    <s v="Feb-2025"/>
    <x v="171"/>
    <n v="676821"/>
    <s v="CARD0050"/>
    <s v="MER019"/>
    <s v="Metro Retail"/>
    <n v="16428.07"/>
    <n v="164.28"/>
    <s v="Credit Card"/>
    <x v="0"/>
    <s v="Branch"/>
    <s v="Domestic"/>
    <s v="Transfer"/>
    <s v="High Value"/>
    <x v="6"/>
  </r>
  <r>
    <s v="TXN00692"/>
    <d v="2026-06-27T22:06:59"/>
    <s v="Jun-2026"/>
    <x v="93"/>
    <n v="1157267"/>
    <s v="CARD0064"/>
    <s v="MER008"/>
    <s v="Daily Services"/>
    <n v="29667.61"/>
    <n v="59.34"/>
    <s v="Credit Card"/>
    <x v="0"/>
    <s v="Mobile App"/>
    <s v="Domestic"/>
    <s v="Retail Purchase"/>
    <s v="High Value"/>
    <x v="5"/>
  </r>
  <r>
    <s v="TXN00693"/>
    <d v="2026-08-13T09:41:28"/>
    <s v="Aug-2026"/>
    <x v="89"/>
    <n v="1275615"/>
    <s v="CARD0226"/>
    <s v="MER040"/>
    <s v="Blue Retail"/>
    <n v="14402.15"/>
    <n v="72.010000000000005"/>
    <s v="Net Banking"/>
    <x v="0"/>
    <s v="Branch"/>
    <s v="International"/>
    <s v="Retail Purchase"/>
    <s v="High Value"/>
    <x v="4"/>
  </r>
  <r>
    <s v="TXN00694"/>
    <d v="2025-08-14T09:46:02"/>
    <s v="Aug-2025"/>
    <x v="106"/>
    <n v="498752"/>
    <s v="CARD0164"/>
    <s v="MER019"/>
    <s v="Metro Retail"/>
    <n v="29760.78"/>
    <n v="89.28"/>
    <s v="Wallet"/>
    <x v="0"/>
    <s v="POS"/>
    <s v="Domestic"/>
    <s v="Retail Purchase"/>
    <s v="High Value"/>
    <x v="6"/>
  </r>
  <r>
    <s v="TXN00695"/>
    <d v="2025-07-09T18:19:20"/>
    <s v="Jul-2025"/>
    <x v="13"/>
    <n v="1749932"/>
    <s v="CARD0062"/>
    <s v="MER011"/>
    <s v="Quick Pay"/>
    <n v="54476.17"/>
    <n v="272.38"/>
    <s v="Debit Card"/>
    <x v="2"/>
    <s v="Mobile App"/>
    <s v="Domestic"/>
    <s v="Bill Payment"/>
    <s v="High Value"/>
    <x v="4"/>
  </r>
  <r>
    <s v="TXN00696"/>
    <d v="2025-12-07T16:34:26"/>
    <s v="Dec-2025"/>
    <x v="8"/>
    <n v="2069594"/>
    <s v="CARD0086"/>
    <s v="MER002"/>
    <s v="Daily Stores"/>
    <n v="8595.84"/>
    <n v="85.96"/>
    <s v="Credit Card"/>
    <x v="0"/>
    <s v="POS"/>
    <s v="Domestic"/>
    <s v="Bill Payment"/>
    <s v="High Value"/>
    <x v="6"/>
  </r>
  <r>
    <s v="TXN00697"/>
    <d v="2025-01-10T21:37:37"/>
    <s v="Jan-2025"/>
    <x v="2"/>
    <n v="3367631"/>
    <s v="CARD0224"/>
    <s v="MER016"/>
    <s v="Blue Foods"/>
    <n v="21193.4"/>
    <n v="42.39"/>
    <s v="Net Banking"/>
    <x v="0"/>
    <s v="Mobile App"/>
    <s v="Domestic"/>
    <s v="Retail Purchase"/>
    <s v="High Value"/>
    <x v="0"/>
  </r>
  <r>
    <s v="TXN00698"/>
    <d v="2026-08-04T10:34:57"/>
    <s v="Aug-2026"/>
    <x v="110"/>
    <n v="2630218"/>
    <s v="CARD0199"/>
    <s v="MER007"/>
    <s v="Blue Hub"/>
    <n v="50138.01"/>
    <n v="150.41"/>
    <s v="UPI"/>
    <x v="0"/>
    <s v="POS"/>
    <s v="International"/>
    <s v="Cash Withdrawal"/>
    <s v="High Value"/>
    <x v="4"/>
  </r>
  <r>
    <s v="TXN00699"/>
    <d v="2026-05-18T12:46:17"/>
    <s v="May-2026"/>
    <x v="67"/>
    <n v="2034552"/>
    <s v="CARD0094"/>
    <s v="MER030"/>
    <s v="Green Pay"/>
    <n v="59388.61"/>
    <n v="593.89"/>
    <s v="UPI"/>
    <x v="0"/>
    <s v="POS"/>
    <s v="International"/>
    <s v="Transfer"/>
    <s v="High Value"/>
    <x v="8"/>
  </r>
  <r>
    <s v="TXN00700"/>
    <d v="2026-06-15T21:41:25"/>
    <s v="Jun-2026"/>
    <x v="110"/>
    <n v="2630218"/>
    <s v="CARD0106"/>
    <s v="MER015"/>
    <s v="Metro Pay"/>
    <n v="29112.85"/>
    <n v="58.23"/>
    <s v="Credit Card"/>
    <x v="0"/>
    <s v="POS"/>
    <s v="International"/>
    <s v="Retail Purchase"/>
    <s v="High Value"/>
    <x v="3"/>
  </r>
  <r>
    <s v="TXN00701"/>
    <d v="2025-09-08T21:01:45"/>
    <s v="Sep-2025"/>
    <x v="0"/>
    <n v="1884470"/>
    <s v="CARD0191"/>
    <s v="MER006"/>
    <s v="Nova Pay"/>
    <n v="44486.64"/>
    <n v="222.43"/>
    <s v="Credit Card"/>
    <x v="3"/>
    <s v="Branch"/>
    <s v="Domestic"/>
    <s v="Transfer"/>
    <s v="High Value"/>
    <x v="2"/>
  </r>
  <r>
    <s v="TXN00702"/>
    <d v="2026-07-12T16:21:26"/>
    <s v="Jul-2026"/>
    <x v="77"/>
    <n v="3403277"/>
    <s v="CARD0234"/>
    <s v="MER044"/>
    <s v="Blue Foods"/>
    <n v="59241.17"/>
    <n v="177.72"/>
    <s v="Debit Card"/>
    <x v="1"/>
    <s v="POS"/>
    <s v="International"/>
    <s v="Cash Withdrawal"/>
    <s v="High Value"/>
    <x v="5"/>
  </r>
  <r>
    <s v="TXN00703"/>
    <d v="2025-10-10T11:15:43"/>
    <s v="Oct-2025"/>
    <x v="119"/>
    <n v="2858269"/>
    <s v="CARD0032"/>
    <s v="MER028"/>
    <s v="Prime Pay"/>
    <n v="11515.3"/>
    <n v="57.58"/>
    <s v="Net Banking"/>
    <x v="0"/>
    <s v="POS"/>
    <s v="International"/>
    <s v="Retail Purchase"/>
    <s v="High Value"/>
    <x v="0"/>
  </r>
  <r>
    <s v="TXN00704"/>
    <d v="2025-01-09T18:09:55"/>
    <s v="Jan-2025"/>
    <x v="59"/>
    <n v="971265"/>
    <s v="CARD0248"/>
    <s v="MER019"/>
    <s v="Metro Retail"/>
    <n v="55641.26"/>
    <n v="166.92"/>
    <s v="Wallet"/>
    <x v="0"/>
    <s v="Website"/>
    <s v="International"/>
    <s v="Cash Withdrawal"/>
    <s v="High Value"/>
    <x v="6"/>
  </r>
  <r>
    <s v="TXN00705"/>
    <d v="2025-10-23T02:21:09"/>
    <s v="Oct-2025"/>
    <x v="159"/>
    <n v="1134604"/>
    <s v="CARD0073"/>
    <s v="MER038"/>
    <s v="Quick Hub"/>
    <n v="48007.13"/>
    <n v="96.01"/>
    <s v="UPI"/>
    <x v="0"/>
    <s v="Mobile App"/>
    <s v="International"/>
    <s v="Transfer"/>
    <s v="High Value"/>
    <x v="8"/>
  </r>
  <r>
    <s v="TXN00706"/>
    <d v="2025-01-06T15:40:03"/>
    <s v="Jan-2025"/>
    <x v="67"/>
    <n v="2034552"/>
    <s v="CARD0036"/>
    <s v="MER023"/>
    <s v="Smart Pay"/>
    <n v="21200.11"/>
    <n v="42.4"/>
    <s v="Debit Card"/>
    <x v="1"/>
    <s v="Website"/>
    <s v="Domestic"/>
    <s v="Transfer"/>
    <s v="High Value"/>
    <x v="6"/>
  </r>
  <r>
    <s v="TXN00707"/>
    <d v="2025-05-27T07:09:45"/>
    <s v="May-2025"/>
    <x v="96"/>
    <n v="3423567"/>
    <s v="CARD0009"/>
    <s v="MER031"/>
    <s v="Daily Digital"/>
    <n v="25979.84"/>
    <n v="129.9"/>
    <s v="Debit Card"/>
    <x v="3"/>
    <s v="Website"/>
    <s v="International"/>
    <s v="Cash Withdrawal"/>
    <s v="High Value"/>
    <x v="3"/>
  </r>
  <r>
    <s v="TXN00708"/>
    <d v="2026-02-13T03:34:23"/>
    <s v="Feb-2026"/>
    <x v="61"/>
    <n v="2458421"/>
    <s v="CARD0145"/>
    <s v="MER028"/>
    <s v="Prime Pay"/>
    <n v="53592.72"/>
    <n v="267.95999999999998"/>
    <s v="Debit Card"/>
    <x v="3"/>
    <s v="Website"/>
    <s v="Domestic"/>
    <s v="Transfer"/>
    <s v="High Value"/>
    <x v="0"/>
  </r>
  <r>
    <s v="TXN00709"/>
    <d v="2025-05-19T15:09:26"/>
    <s v="May-2025"/>
    <x v="142"/>
    <n v="1923883"/>
    <s v="CARD0146"/>
    <s v="MER041"/>
    <s v="Metro Pay"/>
    <n v="33301.599999999999"/>
    <n v="66.599999999999994"/>
    <s v="Net Banking"/>
    <x v="0"/>
    <s v="Website"/>
    <s v="International"/>
    <s v="Cash Withdrawal"/>
    <s v="High Value"/>
    <x v="4"/>
  </r>
  <r>
    <s v="TXN00710"/>
    <d v="2025-04-09T05:02:47"/>
    <s v="Apr-2025"/>
    <x v="90"/>
    <n v="3380711"/>
    <s v="CARD0091"/>
    <s v="MER028"/>
    <s v="Prime Pay"/>
    <n v="31641.63"/>
    <n v="158.21"/>
    <s v="Net Banking"/>
    <x v="2"/>
    <s v="Branch"/>
    <s v="International"/>
    <s v="Cash Withdrawal"/>
    <s v="High Value"/>
    <x v="0"/>
  </r>
  <r>
    <s v="TXN00711"/>
    <d v="2025-01-29T20:20:57"/>
    <s v="Jan-2025"/>
    <x v="167"/>
    <n v="1376421"/>
    <s v="CARD0158"/>
    <s v="MER020"/>
    <s v="Urban Retail"/>
    <n v="1682.69"/>
    <n v="3.37"/>
    <s v="Credit Card"/>
    <x v="2"/>
    <s v="POS"/>
    <s v="Domestic"/>
    <s v="Transfer"/>
    <s v="Standard"/>
    <x v="3"/>
  </r>
  <r>
    <s v="TXN00712"/>
    <d v="2025-02-24T14:17:46"/>
    <s v="Feb-2025"/>
    <x v="99"/>
    <n v="2438970"/>
    <s v="CARD0118"/>
    <s v="MER004"/>
    <s v="Daily Digital"/>
    <n v="7643.56"/>
    <n v="76.44"/>
    <s v="UPI"/>
    <x v="2"/>
    <s v="Mobile App"/>
    <s v="International"/>
    <s v="Retail Purchase"/>
    <s v="High Value"/>
    <x v="4"/>
  </r>
  <r>
    <s v="TXN00713"/>
    <d v="2025-12-08T21:38:21"/>
    <s v="Dec-2025"/>
    <x v="13"/>
    <n v="1749932"/>
    <s v="CARD0085"/>
    <s v="MER004"/>
    <s v="Daily Digital"/>
    <n v="5934.2"/>
    <n v="59.34"/>
    <s v="UPI"/>
    <x v="0"/>
    <s v="Mobile App"/>
    <s v="Domestic"/>
    <s v="Bill Payment"/>
    <s v="High Value"/>
    <x v="4"/>
  </r>
  <r>
    <s v="TXN00714"/>
    <d v="2026-07-30T18:02:00"/>
    <s v="Jul-2026"/>
    <x v="166"/>
    <n v="2180598"/>
    <s v="CARD0161"/>
    <s v="MER020"/>
    <s v="Urban Retail"/>
    <n v="8270.52"/>
    <n v="24.81"/>
    <s v="UPI"/>
    <x v="1"/>
    <s v="Branch"/>
    <s v="Domestic"/>
    <s v="Retail Purchase"/>
    <s v="High Value"/>
    <x v="3"/>
  </r>
  <r>
    <s v="TXN00715"/>
    <d v="2025-03-10T00:00:04"/>
    <s v="Mar-2025"/>
    <x v="174"/>
    <n v="181702"/>
    <s v="CARD0053"/>
    <s v="MER007"/>
    <s v="Blue Hub"/>
    <n v="9266.02"/>
    <n v="18.53"/>
    <s v="Net Banking"/>
    <x v="1"/>
    <s v="Mobile App"/>
    <s v="International"/>
    <s v="Cash Withdrawal"/>
    <s v="High Value"/>
    <x v="4"/>
  </r>
  <r>
    <s v="TXN00716"/>
    <d v="2025-02-26T04:26:06"/>
    <s v="Feb-2025"/>
    <x v="128"/>
    <n v="473491"/>
    <s v="CARD0216"/>
    <s v="MER035"/>
    <s v="Nova Hub"/>
    <n v="18065.43"/>
    <n v="54.2"/>
    <s v="Debit Card"/>
    <x v="0"/>
    <s v="Branch"/>
    <s v="Domestic"/>
    <s v="Cash Withdrawal"/>
    <s v="High Value"/>
    <x v="1"/>
  </r>
  <r>
    <s v="TXN00717"/>
    <d v="2025-05-30T23:09:47"/>
    <s v="May-2025"/>
    <x v="98"/>
    <n v="735563"/>
    <s v="CARD0131"/>
    <s v="MER045"/>
    <s v="Blue Services"/>
    <n v="1397.31"/>
    <n v="4.1900000000000004"/>
    <s v="Wallet"/>
    <x v="0"/>
    <s v="Website"/>
    <s v="International"/>
    <s v="Cash Withdrawal"/>
    <s v="Standard"/>
    <x v="0"/>
  </r>
  <r>
    <s v="TXN00718"/>
    <d v="2025-10-24T10:32:18"/>
    <s v="Oct-2025"/>
    <x v="176"/>
    <n v="2253271"/>
    <s v="CARD0171"/>
    <s v="MER018"/>
    <s v="Nova Retail"/>
    <n v="40085.379999999997"/>
    <n v="400.85"/>
    <s v="Net Banking"/>
    <x v="3"/>
    <s v="Branch"/>
    <s v="Domestic"/>
    <s v="Cash Withdrawal"/>
    <s v="High Value"/>
    <x v="3"/>
  </r>
  <r>
    <s v="TXN00719"/>
    <d v="2026-03-03T15:28:03"/>
    <s v="Mar-2026"/>
    <x v="41"/>
    <n v="2107578"/>
    <s v="CARD0100"/>
    <s v="MER001"/>
    <s v="Urban Services"/>
    <n v="8975.18"/>
    <n v="17.95"/>
    <s v="Wallet"/>
    <x v="0"/>
    <s v="POS"/>
    <s v="Domestic"/>
    <s v="Cash Withdrawal"/>
    <s v="High Value"/>
    <x v="2"/>
  </r>
  <r>
    <s v="TXN00720"/>
    <d v="2025-02-13T12:54:54"/>
    <s v="Feb-2025"/>
    <x v="68"/>
    <n v="739264"/>
    <s v="CARD0003"/>
    <s v="MER011"/>
    <s v="Quick Pay"/>
    <n v="57771.51"/>
    <n v="577.72"/>
    <s v="Debit Card"/>
    <x v="0"/>
    <s v="Website"/>
    <s v="International"/>
    <s v="Cash Withdrawal"/>
    <s v="High Value"/>
    <x v="4"/>
  </r>
  <r>
    <s v="TXN00721"/>
    <d v="2026-06-10T02:17:06"/>
    <s v="Jun-2026"/>
    <x v="4"/>
    <n v="2688347"/>
    <s v="CARD0184"/>
    <s v="MER009"/>
    <s v="Prime Mart"/>
    <n v="10552.36"/>
    <n v="52.76"/>
    <s v="Debit Card"/>
    <x v="0"/>
    <s v="POS"/>
    <s v="International"/>
    <s v="Retail Purchase"/>
    <s v="High Value"/>
    <x v="5"/>
  </r>
  <r>
    <s v="TXN00722"/>
    <d v="2026-05-11T13:42:31"/>
    <s v="May-2026"/>
    <x v="49"/>
    <n v="1174912"/>
    <s v="CARD0182"/>
    <s v="MER033"/>
    <s v="Nova Services"/>
    <n v="57757.05"/>
    <n v="173.27"/>
    <s v="Wallet"/>
    <x v="0"/>
    <s v="POS"/>
    <s v="Domestic"/>
    <s v="Transfer"/>
    <s v="High Value"/>
    <x v="7"/>
  </r>
  <r>
    <s v="TXN00723"/>
    <d v="2026-08-26T21:08:36"/>
    <s v="Aug-2026"/>
    <x v="118"/>
    <n v="3039300"/>
    <s v="CARD0012"/>
    <s v="MER002"/>
    <s v="Daily Stores"/>
    <n v="20950.900000000001"/>
    <n v="209.51"/>
    <s v="Credit Card"/>
    <x v="0"/>
    <s v="Website"/>
    <s v="Domestic"/>
    <s v="Retail Purchase"/>
    <s v="High Value"/>
    <x v="6"/>
  </r>
  <r>
    <s v="TXN00724"/>
    <d v="2026-05-27T17:20:44"/>
    <s v="May-2026"/>
    <x v="10"/>
    <n v="210160"/>
    <s v="CARD0231"/>
    <s v="MER012"/>
    <s v="Daily Hub"/>
    <n v="19487.2"/>
    <n v="58.46"/>
    <s v="Net Banking"/>
    <x v="0"/>
    <s v="Branch"/>
    <s v="Domestic"/>
    <s v="Retail Purchase"/>
    <s v="High Value"/>
    <x v="2"/>
  </r>
  <r>
    <s v="TXN00725"/>
    <d v="2026-09-19T09:07:11"/>
    <s v="Sep-2026"/>
    <x v="146"/>
    <n v="478549"/>
    <s v="CARD0196"/>
    <s v="MER024"/>
    <s v="Metro Stores"/>
    <n v="6956.98"/>
    <n v="13.91"/>
    <s v="Wallet"/>
    <x v="1"/>
    <s v="Mobile App"/>
    <s v="Domestic"/>
    <s v="Transfer"/>
    <s v="High Value"/>
    <x v="4"/>
  </r>
  <r>
    <s v="TXN00726"/>
    <d v="2025-04-21T16:21:58"/>
    <s v="Apr-2025"/>
    <x v="153"/>
    <n v="1728604"/>
    <s v="CARD0065"/>
    <s v="MER032"/>
    <s v="Urban Digital"/>
    <n v="22719.97"/>
    <n v="68.16"/>
    <s v="Net Banking"/>
    <x v="3"/>
    <s v="POS"/>
    <s v="Domestic"/>
    <s v="Bill Payment"/>
    <s v="High Value"/>
    <x v="8"/>
  </r>
  <r>
    <s v="TXN00727"/>
    <d v="2025-06-15T15:48:13"/>
    <s v="Jun-2025"/>
    <x v="83"/>
    <n v="470298"/>
    <s v="CARD0150"/>
    <s v="MER002"/>
    <s v="Daily Stores"/>
    <n v="48848.88"/>
    <n v="146.55000000000001"/>
    <s v="UPI"/>
    <x v="1"/>
    <s v="Website"/>
    <s v="Domestic"/>
    <s v="Bill Payment"/>
    <s v="High Value"/>
    <x v="6"/>
  </r>
  <r>
    <s v="TXN00728"/>
    <d v="2025-01-06T13:05:28"/>
    <s v="Jan-2025"/>
    <x v="70"/>
    <n v="633399"/>
    <s v="CARD0048"/>
    <s v="MER044"/>
    <s v="Blue Foods"/>
    <n v="46485.7"/>
    <n v="92.97"/>
    <s v="Wallet"/>
    <x v="0"/>
    <s v="Branch"/>
    <s v="Domestic"/>
    <s v="Bill Payment"/>
    <s v="High Value"/>
    <x v="5"/>
  </r>
  <r>
    <s v="TXN00729"/>
    <d v="2026-08-08T17:14:53"/>
    <s v="Aug-2026"/>
    <x v="118"/>
    <n v="3039300"/>
    <s v="CARD0113"/>
    <s v="MER028"/>
    <s v="Prime Pay"/>
    <n v="30100.93"/>
    <n v="90.3"/>
    <s v="Net Banking"/>
    <x v="0"/>
    <s v="Mobile App"/>
    <s v="Domestic"/>
    <s v="Bill Payment"/>
    <s v="High Value"/>
    <x v="0"/>
  </r>
  <r>
    <s v="TXN00730"/>
    <d v="2026-06-14T10:51:29"/>
    <s v="Jun-2026"/>
    <x v="155"/>
    <n v="2201016"/>
    <s v="CARD0139"/>
    <s v="MER022"/>
    <s v="Urban Stores"/>
    <n v="6144.69"/>
    <n v="12.29"/>
    <s v="UPI"/>
    <x v="0"/>
    <s v="Website"/>
    <s v="International"/>
    <s v="Transfer"/>
    <s v="High Value"/>
    <x v="6"/>
  </r>
  <r>
    <s v="TXN00731"/>
    <d v="2026-02-04T13:01:51"/>
    <s v="Feb-2026"/>
    <x v="29"/>
    <n v="2802699"/>
    <s v="CARD0137"/>
    <s v="MER037"/>
    <s v="Metro Pay"/>
    <n v="4170.37"/>
    <n v="20.85"/>
    <s v="Credit Card"/>
    <x v="1"/>
    <s v="POS"/>
    <s v="International"/>
    <s v="Retail Purchase"/>
    <s v="High Value"/>
    <x v="2"/>
  </r>
  <r>
    <s v="TXN00732"/>
    <d v="2026-07-14T04:02:12"/>
    <s v="Jul-2026"/>
    <x v="104"/>
    <n v="1682577"/>
    <s v="CARD0008"/>
    <s v="MER003"/>
    <s v="Fresh Mart"/>
    <n v="35008.07"/>
    <n v="175.04"/>
    <s v="Debit Card"/>
    <x v="3"/>
    <s v="Branch"/>
    <s v="International"/>
    <s v="Bill Payment"/>
    <s v="High Value"/>
    <x v="7"/>
  </r>
  <r>
    <s v="TXN00733"/>
    <d v="2025-12-09T02:09:44"/>
    <s v="Dec-2025"/>
    <x v="52"/>
    <n v="3443239"/>
    <s v="CARD0234"/>
    <s v="MER004"/>
    <s v="Daily Digital"/>
    <n v="8443.39"/>
    <n v="42.22"/>
    <s v="Credit Card"/>
    <x v="0"/>
    <s v="Branch"/>
    <s v="Domestic"/>
    <s v="Retail Purchase"/>
    <s v="High Value"/>
    <x v="4"/>
  </r>
  <r>
    <s v="TXN00734"/>
    <d v="2025-12-21T02:34:35"/>
    <s v="Dec-2025"/>
    <x v="84"/>
    <n v="1540525"/>
    <s v="CARD0123"/>
    <s v="MER009"/>
    <s v="Prime Mart"/>
    <n v="56999.48"/>
    <n v="114"/>
    <s v="Debit Card"/>
    <x v="0"/>
    <s v="Mobile App"/>
    <s v="Domestic"/>
    <s v="Retail Purchase"/>
    <s v="High Value"/>
    <x v="5"/>
  </r>
  <r>
    <s v="TXN00735"/>
    <d v="2026-05-24T18:28:52"/>
    <s v="May-2026"/>
    <x v="166"/>
    <n v="2180598"/>
    <s v="CARD0201"/>
    <s v="MER015"/>
    <s v="Metro Pay"/>
    <n v="13592.18"/>
    <n v="135.91999999999999"/>
    <s v="UPI"/>
    <x v="0"/>
    <s v="Mobile App"/>
    <s v="Domestic"/>
    <s v="Bill Payment"/>
    <s v="High Value"/>
    <x v="3"/>
  </r>
  <r>
    <s v="TXN00736"/>
    <d v="2026-07-02T22:08:29"/>
    <s v="Jul-2026"/>
    <x v="84"/>
    <n v="1540525"/>
    <s v="CARD0124"/>
    <s v="MER004"/>
    <s v="Daily Digital"/>
    <n v="51631.64"/>
    <n v="103.26"/>
    <s v="Net Banking"/>
    <x v="2"/>
    <s v="Branch"/>
    <s v="Domestic"/>
    <s v="Cash Withdrawal"/>
    <s v="High Value"/>
    <x v="4"/>
  </r>
  <r>
    <s v="TXN00737"/>
    <d v="2026-03-14T20:00:29"/>
    <s v="Mar-2026"/>
    <x v="40"/>
    <n v="2236054"/>
    <s v="CARD0050"/>
    <s v="MER022"/>
    <s v="Urban Stores"/>
    <n v="8352.4500000000007"/>
    <n v="41.76"/>
    <s v="Net Banking"/>
    <x v="0"/>
    <s v="Mobile App"/>
    <s v="Domestic"/>
    <s v="Bill Payment"/>
    <s v="High Value"/>
    <x v="6"/>
  </r>
  <r>
    <s v="TXN00738"/>
    <d v="2025-04-05T21:25:51"/>
    <s v="Apr-2025"/>
    <x v="74"/>
    <n v="2651559"/>
    <s v="CARD0224"/>
    <s v="MER016"/>
    <s v="Blue Foods"/>
    <n v="701.97"/>
    <n v="1.4"/>
    <s v="UPI"/>
    <x v="0"/>
    <s v="Mobile App"/>
    <s v="Domestic"/>
    <s v="Bill Payment"/>
    <s v="Standard"/>
    <x v="0"/>
  </r>
  <r>
    <s v="TXN00739"/>
    <d v="2026-03-26T06:34:30"/>
    <s v="Mar-2026"/>
    <x v="123"/>
    <n v="2445562"/>
    <s v="CARD0034"/>
    <s v="MER039"/>
    <s v="Fresh Foods"/>
    <n v="17027.5"/>
    <n v="51.08"/>
    <s v="Net Banking"/>
    <x v="0"/>
    <s v="Branch"/>
    <s v="Domestic"/>
    <s v="Retail Purchase"/>
    <s v="High Value"/>
    <x v="4"/>
  </r>
  <r>
    <s v="TXN00740"/>
    <d v="2025-03-20T09:06:34"/>
    <s v="Mar-2025"/>
    <x v="96"/>
    <n v="3423567"/>
    <s v="CARD0114"/>
    <s v="MER020"/>
    <s v="Urban Retail"/>
    <n v="56308.37"/>
    <n v="281.54000000000002"/>
    <s v="Debit Card"/>
    <x v="0"/>
    <s v="POS"/>
    <s v="Domestic"/>
    <s v="Transfer"/>
    <s v="High Value"/>
    <x v="3"/>
  </r>
  <r>
    <s v="TXN00741"/>
    <d v="2025-11-23T19:42:44"/>
    <s v="Nov-2025"/>
    <x v="76"/>
    <n v="1164822"/>
    <s v="CARD0125"/>
    <s v="MER018"/>
    <s v="Nova Retail"/>
    <n v="30256.38"/>
    <n v="302.56"/>
    <s v="UPI"/>
    <x v="0"/>
    <s v="Website"/>
    <s v="Domestic"/>
    <s v="Bill Payment"/>
    <s v="High Value"/>
    <x v="3"/>
  </r>
  <r>
    <s v="TXN00742"/>
    <d v="2025-11-09T20:07:58"/>
    <s v="Nov-2025"/>
    <x v="23"/>
    <n v="3123647"/>
    <s v="CARD0061"/>
    <s v="MER045"/>
    <s v="Blue Services"/>
    <n v="12725.1"/>
    <n v="38.18"/>
    <s v="Net Banking"/>
    <x v="0"/>
    <s v="Branch"/>
    <s v="Domestic"/>
    <s v="Retail Purchase"/>
    <s v="High Value"/>
    <x v="0"/>
  </r>
  <r>
    <s v="TXN00743"/>
    <d v="2026-05-26T01:13:44"/>
    <s v="May-2026"/>
    <x v="17"/>
    <n v="1702451"/>
    <s v="CARD0016"/>
    <s v="MER018"/>
    <s v="Nova Retail"/>
    <n v="16290.88"/>
    <n v="81.45"/>
    <s v="Wallet"/>
    <x v="0"/>
    <s v="Branch"/>
    <s v="International"/>
    <s v="Retail Purchase"/>
    <s v="High Value"/>
    <x v="3"/>
  </r>
  <r>
    <s v="TXN00744"/>
    <d v="2026-01-27T14:00:18"/>
    <s v="Jan-2026"/>
    <x v="177"/>
    <n v="1233278"/>
    <s v="CARD0169"/>
    <s v="MER028"/>
    <s v="Prime Pay"/>
    <n v="26696.78"/>
    <n v="266.97000000000003"/>
    <s v="Wallet"/>
    <x v="0"/>
    <s v="Mobile App"/>
    <s v="International"/>
    <s v="Retail Purchase"/>
    <s v="High Value"/>
    <x v="0"/>
  </r>
  <r>
    <s v="TXN00745"/>
    <d v="2026-07-09T12:39:47"/>
    <s v="Jul-2026"/>
    <x v="77"/>
    <n v="3403277"/>
    <s v="CARD0208"/>
    <s v="MER038"/>
    <s v="Quick Hub"/>
    <n v="56239.71"/>
    <n v="281.2"/>
    <s v="Credit Card"/>
    <x v="3"/>
    <s v="Mobile App"/>
    <s v="International"/>
    <s v="Cash Withdrawal"/>
    <s v="High Value"/>
    <x v="8"/>
  </r>
  <r>
    <s v="TXN00746"/>
    <d v="2026-03-14T02:04:46"/>
    <s v="Mar-2026"/>
    <x v="137"/>
    <n v="2385998"/>
    <s v="CARD0119"/>
    <s v="MER028"/>
    <s v="Prime Pay"/>
    <n v="48463.06"/>
    <n v="242.32"/>
    <s v="Wallet"/>
    <x v="0"/>
    <s v="POS"/>
    <s v="Domestic"/>
    <s v="Cash Withdrawal"/>
    <s v="High Value"/>
    <x v="0"/>
  </r>
  <r>
    <s v="TXN00747"/>
    <d v="2026-04-24T08:40:24"/>
    <s v="Apr-2026"/>
    <x v="17"/>
    <n v="1702451"/>
    <s v="CARD0064"/>
    <s v="MER035"/>
    <s v="Nova Hub"/>
    <n v="7999.18"/>
    <n v="40"/>
    <s v="Debit Card"/>
    <x v="0"/>
    <s v="POS"/>
    <s v="International"/>
    <s v="Retail Purchase"/>
    <s v="High Value"/>
    <x v="1"/>
  </r>
  <r>
    <s v="TXN00748"/>
    <d v="2026-09-23T09:59:09"/>
    <s v="Sep-2026"/>
    <x v="6"/>
    <n v="983587"/>
    <s v="CARD0079"/>
    <s v="MER037"/>
    <s v="Metro Pay"/>
    <n v="21765.52"/>
    <n v="43.53"/>
    <s v="Debit Card"/>
    <x v="2"/>
    <s v="POS"/>
    <s v="Domestic"/>
    <s v="Cash Withdrawal"/>
    <s v="High Value"/>
    <x v="2"/>
  </r>
  <r>
    <s v="TXN00749"/>
    <d v="2026-04-19T00:37:43"/>
    <s v="Apr-2026"/>
    <x v="108"/>
    <n v="3369767"/>
    <s v="CARD0164"/>
    <s v="MER036"/>
    <s v="Green Foods"/>
    <n v="26450.57"/>
    <n v="132.25"/>
    <s v="Credit Card"/>
    <x v="0"/>
    <s v="Branch"/>
    <s v="Domestic"/>
    <s v="Retail Purchase"/>
    <s v="High Value"/>
    <x v="3"/>
  </r>
  <r>
    <s v="TXN00750"/>
    <d v="2025-10-11T22:13:16"/>
    <s v="Oct-2025"/>
    <x v="115"/>
    <n v="2716840"/>
    <s v="CARD0067"/>
    <s v="MER018"/>
    <s v="Nova Retail"/>
    <n v="33131.730000000003"/>
    <n v="331.32"/>
    <s v="Debit Card"/>
    <x v="3"/>
    <s v="Branch"/>
    <s v="Domestic"/>
    <s v="Bill Payment"/>
    <s v="High Value"/>
    <x v="3"/>
  </r>
  <r>
    <s v="TXN00751"/>
    <d v="2025-06-28T05:20:54"/>
    <s v="Jun-2025"/>
    <x v="91"/>
    <n v="586557"/>
    <s v="CARD0168"/>
    <s v="MER003"/>
    <s v="Fresh Mart"/>
    <n v="52287.23"/>
    <n v="156.86000000000001"/>
    <s v="Credit Card"/>
    <x v="2"/>
    <s v="Branch"/>
    <s v="International"/>
    <s v="Retail Purchase"/>
    <s v="High Value"/>
    <x v="7"/>
  </r>
  <r>
    <s v="TXN00752"/>
    <d v="2026-07-21T08:17:58"/>
    <s v="Jul-2026"/>
    <x v="78"/>
    <n v="1370286"/>
    <s v="CARD0005"/>
    <s v="MER044"/>
    <s v="Blue Foods"/>
    <n v="3742.69"/>
    <n v="18.71"/>
    <s v="Debit Card"/>
    <x v="2"/>
    <s v="Mobile App"/>
    <s v="Domestic"/>
    <s v="Transfer"/>
    <s v="High Value"/>
    <x v="5"/>
  </r>
  <r>
    <s v="TXN00753"/>
    <d v="2025-04-22T02:49:15"/>
    <s v="Apr-2025"/>
    <x v="128"/>
    <n v="473491"/>
    <s v="CARD0053"/>
    <s v="MER021"/>
    <s v="Fresh Hub"/>
    <n v="30465.58"/>
    <n v="60.93"/>
    <s v="Wallet"/>
    <x v="0"/>
    <s v="POS"/>
    <s v="International"/>
    <s v="Retail Purchase"/>
    <s v="High Value"/>
    <x v="4"/>
  </r>
  <r>
    <s v="TXN00754"/>
    <d v="2026-03-13T10:18:24"/>
    <s v="Mar-2026"/>
    <x v="27"/>
    <n v="1180530"/>
    <s v="CARD0250"/>
    <s v="MER027"/>
    <s v="Prime Digital"/>
    <n v="8670.4599999999991"/>
    <n v="43.35"/>
    <s v="Debit Card"/>
    <x v="0"/>
    <s v="Branch"/>
    <s v="International"/>
    <s v="Retail Purchase"/>
    <s v="High Value"/>
    <x v="1"/>
  </r>
  <r>
    <s v="TXN00755"/>
    <d v="2025-06-14T13:24:34"/>
    <s v="Jun-2025"/>
    <x v="60"/>
    <n v="2336527"/>
    <s v="CARD0156"/>
    <s v="MER014"/>
    <s v="Daily Stores"/>
    <n v="2772.17"/>
    <n v="5.54"/>
    <s v="Debit Card"/>
    <x v="3"/>
    <s v="POS"/>
    <s v="Domestic"/>
    <s v="Cash Withdrawal"/>
    <s v="High Value"/>
    <x v="0"/>
  </r>
  <r>
    <s v="TXN00756"/>
    <d v="2026-08-20T01:11:12"/>
    <s v="Aug-2026"/>
    <x v="29"/>
    <n v="2802699"/>
    <s v="CARD0246"/>
    <s v="MER015"/>
    <s v="Metro Pay"/>
    <n v="39457.85"/>
    <n v="78.92"/>
    <s v="Wallet"/>
    <x v="0"/>
    <s v="Branch"/>
    <s v="Domestic"/>
    <s v="Retail Purchase"/>
    <s v="High Value"/>
    <x v="3"/>
  </r>
  <r>
    <s v="TXN00757"/>
    <d v="2026-09-14T17:11:49"/>
    <s v="Sep-2026"/>
    <x v="66"/>
    <n v="2253568"/>
    <s v="CARD0050"/>
    <s v="MER037"/>
    <s v="Metro Pay"/>
    <n v="39585.949999999997"/>
    <n v="197.93"/>
    <s v="Debit Card"/>
    <x v="0"/>
    <s v="Website"/>
    <s v="International"/>
    <s v="Bill Payment"/>
    <s v="High Value"/>
    <x v="2"/>
  </r>
  <r>
    <s v="TXN00758"/>
    <d v="2026-01-06T08:24:23"/>
    <s v="Jan-2026"/>
    <x v="147"/>
    <n v="585020"/>
    <s v="CARD0062"/>
    <s v="MER029"/>
    <s v="Fresh Hub"/>
    <n v="27403.69"/>
    <n v="54.81"/>
    <s v="Net Banking"/>
    <x v="2"/>
    <s v="POS"/>
    <s v="Domestic"/>
    <s v="Transfer"/>
    <s v="High Value"/>
    <x v="4"/>
  </r>
  <r>
    <s v="TXN00759"/>
    <d v="2026-07-28T18:24:35"/>
    <s v="Jul-2026"/>
    <x v="86"/>
    <n v="3016707"/>
    <s v="CARD0059"/>
    <s v="MER029"/>
    <s v="Fresh Hub"/>
    <n v="4678.9799999999996"/>
    <n v="46.79"/>
    <s v="Net Banking"/>
    <x v="0"/>
    <s v="Website"/>
    <s v="Domestic"/>
    <s v="Bill Payment"/>
    <s v="High Value"/>
    <x v="4"/>
  </r>
  <r>
    <s v="TXN00760"/>
    <d v="2026-02-22T21:17:25"/>
    <s v="Feb-2026"/>
    <x v="70"/>
    <n v="633399"/>
    <s v="CARD0081"/>
    <s v="MER008"/>
    <s v="Daily Services"/>
    <n v="39987.57"/>
    <n v="199.94"/>
    <s v="UPI"/>
    <x v="0"/>
    <s v="Branch"/>
    <s v="International"/>
    <s v="Bill Payment"/>
    <s v="High Value"/>
    <x v="5"/>
  </r>
  <r>
    <s v="TXN00761"/>
    <d v="2026-08-13T17:59:35"/>
    <s v="Aug-2026"/>
    <x v="144"/>
    <n v="2145861"/>
    <s v="CARD0004"/>
    <s v="MER011"/>
    <s v="Quick Pay"/>
    <n v="37994.519999999997"/>
    <n v="113.98"/>
    <s v="UPI"/>
    <x v="2"/>
    <s v="Branch"/>
    <s v="International"/>
    <s v="Cash Withdrawal"/>
    <s v="High Value"/>
    <x v="4"/>
  </r>
  <r>
    <s v="TXN00762"/>
    <d v="2025-04-14T04:36:07"/>
    <s v="Apr-2025"/>
    <x v="13"/>
    <n v="1749932"/>
    <s v="CARD0043"/>
    <s v="MER005"/>
    <s v="Prime Foods"/>
    <n v="52180.58"/>
    <n v="104.36"/>
    <s v="Credit Card"/>
    <x v="1"/>
    <s v="Branch"/>
    <s v="International"/>
    <s v="Transfer"/>
    <s v="High Value"/>
    <x v="6"/>
  </r>
  <r>
    <s v="TXN00763"/>
    <d v="2025-05-11T14:38:52"/>
    <s v="May-2025"/>
    <x v="24"/>
    <n v="3004295"/>
    <s v="CARD0087"/>
    <s v="MER022"/>
    <s v="Urban Stores"/>
    <n v="41846.03"/>
    <n v="209.23"/>
    <s v="Wallet"/>
    <x v="0"/>
    <s v="Mobile App"/>
    <s v="Domestic"/>
    <s v="Retail Purchase"/>
    <s v="High Value"/>
    <x v="6"/>
  </r>
  <r>
    <s v="TXN00764"/>
    <d v="2025-12-30T16:20:37"/>
    <s v="Dec-2025"/>
    <x v="123"/>
    <n v="2445562"/>
    <s v="CARD0194"/>
    <s v="MER031"/>
    <s v="Daily Digital"/>
    <n v="54649.39"/>
    <n v="546.49"/>
    <s v="Credit Card"/>
    <x v="2"/>
    <s v="Website"/>
    <s v="Domestic"/>
    <s v="Bill Payment"/>
    <s v="High Value"/>
    <x v="3"/>
  </r>
  <r>
    <s v="TXN00765"/>
    <d v="2025-01-08T21:36:38"/>
    <s v="Jan-2025"/>
    <x v="55"/>
    <n v="2889113"/>
    <s v="CARD0083"/>
    <s v="MER029"/>
    <s v="Fresh Hub"/>
    <n v="35623.589999999997"/>
    <n v="356.24"/>
    <s v="Credit Card"/>
    <x v="2"/>
    <s v="POS"/>
    <s v="Domestic"/>
    <s v="Bill Payment"/>
    <s v="High Value"/>
    <x v="4"/>
  </r>
  <r>
    <s v="TXN00766"/>
    <d v="2025-11-01T17:57:36"/>
    <s v="Nov-2025"/>
    <x v="133"/>
    <n v="1331745"/>
    <s v="CARD0083"/>
    <s v="MER025"/>
    <s v="Smart Pay"/>
    <n v="20532.919999999998"/>
    <n v="205.33"/>
    <s v="Debit Card"/>
    <x v="0"/>
    <s v="Website"/>
    <s v="Domestic"/>
    <s v="Retail Purchase"/>
    <s v="High Value"/>
    <x v="2"/>
  </r>
  <r>
    <s v="TXN00767"/>
    <d v="2025-08-04T15:40:31"/>
    <s v="Aug-2025"/>
    <x v="157"/>
    <n v="448544"/>
    <s v="CARD0089"/>
    <s v="MER019"/>
    <s v="Metro Retail"/>
    <n v="31196.18"/>
    <n v="155.97999999999999"/>
    <s v="Credit Card"/>
    <x v="0"/>
    <s v="Mobile App"/>
    <s v="International"/>
    <s v="Transfer"/>
    <s v="High Value"/>
    <x v="6"/>
  </r>
  <r>
    <s v="TXN00768"/>
    <d v="2026-05-14T15:58:49"/>
    <s v="May-2026"/>
    <x v="94"/>
    <n v="2430547"/>
    <s v="CARD0193"/>
    <s v="MER007"/>
    <s v="Blue Hub"/>
    <n v="13495.64"/>
    <n v="67.48"/>
    <s v="Credit Card"/>
    <x v="0"/>
    <s v="POS"/>
    <s v="Domestic"/>
    <s v="Retail Purchase"/>
    <s v="High Value"/>
    <x v="4"/>
  </r>
  <r>
    <s v="TXN00769"/>
    <d v="2025-07-31T20:06:13"/>
    <s v="Jul-2025"/>
    <x v="155"/>
    <n v="2201016"/>
    <s v="CARD0232"/>
    <s v="MER003"/>
    <s v="Fresh Mart"/>
    <n v="50343.519999999997"/>
    <n v="100.69"/>
    <s v="Wallet"/>
    <x v="2"/>
    <s v="Website"/>
    <s v="Domestic"/>
    <s v="Cash Withdrawal"/>
    <s v="High Value"/>
    <x v="7"/>
  </r>
  <r>
    <s v="TXN00770"/>
    <d v="2025-01-27T13:27:16"/>
    <s v="Jan-2025"/>
    <x v="146"/>
    <n v="478549"/>
    <s v="CARD0134"/>
    <s v="MER009"/>
    <s v="Prime Mart"/>
    <n v="12268.14"/>
    <n v="122.68"/>
    <s v="Net Banking"/>
    <x v="3"/>
    <s v="POS"/>
    <s v="Domestic"/>
    <s v="Retail Purchase"/>
    <s v="High Value"/>
    <x v="5"/>
  </r>
  <r>
    <s v="TXN00771"/>
    <d v="2026-04-01T15:44:17"/>
    <s v="Apr-2026"/>
    <x v="28"/>
    <n v="3196853"/>
    <s v="CARD0188"/>
    <s v="MER043"/>
    <s v="Metro Pay"/>
    <n v="29646.01"/>
    <n v="88.94"/>
    <s v="UPI"/>
    <x v="0"/>
    <s v="POS"/>
    <s v="Domestic"/>
    <s v="Bill Payment"/>
    <s v="High Value"/>
    <x v="0"/>
  </r>
  <r>
    <s v="TXN00772"/>
    <d v="2025-03-18T11:54:35"/>
    <s v="Mar-2025"/>
    <x v="173"/>
    <n v="1353315"/>
    <s v="CARD0189"/>
    <s v="MER033"/>
    <s v="Nova Services"/>
    <n v="9487.9599999999991"/>
    <n v="94.88"/>
    <s v="UPI"/>
    <x v="0"/>
    <s v="POS"/>
    <s v="Domestic"/>
    <s v="Cash Withdrawal"/>
    <s v="High Value"/>
    <x v="7"/>
  </r>
  <r>
    <s v="TXN00773"/>
    <d v="2025-04-13T18:58:47"/>
    <s v="Apr-2025"/>
    <x v="73"/>
    <n v="596723"/>
    <s v="CARD0161"/>
    <s v="MER001"/>
    <s v="Urban Services"/>
    <n v="19119.88"/>
    <n v="38.24"/>
    <s v="Credit Card"/>
    <x v="1"/>
    <s v="Website"/>
    <s v="International"/>
    <s v="Bill Payment"/>
    <s v="High Value"/>
    <x v="2"/>
  </r>
  <r>
    <s v="TXN00774"/>
    <d v="2025-07-20T09:39:31"/>
    <s v="Jul-2025"/>
    <x v="21"/>
    <n v="1483380"/>
    <s v="CARD0073"/>
    <s v="MER009"/>
    <s v="Prime Mart"/>
    <n v="28259.91"/>
    <n v="84.78"/>
    <s v="Credit Card"/>
    <x v="0"/>
    <s v="Mobile App"/>
    <s v="Domestic"/>
    <s v="Retail Purchase"/>
    <s v="High Value"/>
    <x v="5"/>
  </r>
  <r>
    <s v="TXN00775"/>
    <d v="2026-03-21T02:26:56"/>
    <s v="Mar-2026"/>
    <x v="23"/>
    <n v="3123647"/>
    <s v="CARD0108"/>
    <s v="MER045"/>
    <s v="Blue Services"/>
    <n v="29492.400000000001"/>
    <n v="88.48"/>
    <s v="Debit Card"/>
    <x v="0"/>
    <s v="Branch"/>
    <s v="Domestic"/>
    <s v="Transfer"/>
    <s v="High Value"/>
    <x v="0"/>
  </r>
  <r>
    <s v="TXN00776"/>
    <d v="2026-05-11T19:18:48"/>
    <s v="May-2026"/>
    <x v="126"/>
    <n v="977248"/>
    <s v="CARD0225"/>
    <s v="MER019"/>
    <s v="Metro Retail"/>
    <n v="39450.76"/>
    <n v="197.25"/>
    <s v="Net Banking"/>
    <x v="0"/>
    <s v="Branch"/>
    <s v="International"/>
    <s v="Transfer"/>
    <s v="High Value"/>
    <x v="6"/>
  </r>
  <r>
    <s v="TXN00777"/>
    <d v="2026-07-11T17:30:40"/>
    <s v="Jul-2026"/>
    <x v="37"/>
    <n v="2820086"/>
    <s v="CARD0249"/>
    <s v="MER029"/>
    <s v="Fresh Hub"/>
    <n v="17795.490000000002"/>
    <n v="88.98"/>
    <s v="Debit Card"/>
    <x v="0"/>
    <s v="Website"/>
    <s v="International"/>
    <s v="Retail Purchase"/>
    <s v="High Value"/>
    <x v="4"/>
  </r>
  <r>
    <s v="TXN00778"/>
    <d v="2025-06-30T16:55:13"/>
    <s v="Jun-2025"/>
    <x v="169"/>
    <n v="1903056"/>
    <s v="CARD0102"/>
    <s v="MER009"/>
    <s v="Prime Mart"/>
    <n v="57383.3"/>
    <n v="286.92"/>
    <s v="Net Banking"/>
    <x v="2"/>
    <s v="Branch"/>
    <s v="International"/>
    <s v="Bill Payment"/>
    <s v="High Value"/>
    <x v="5"/>
  </r>
  <r>
    <s v="TXN00779"/>
    <d v="2025-01-30T10:35:32"/>
    <s v="Jan-2025"/>
    <x v="116"/>
    <n v="821062"/>
    <s v="CARD0144"/>
    <s v="MER021"/>
    <s v="Fresh Hub"/>
    <n v="16148.64"/>
    <n v="161.49"/>
    <s v="Debit Card"/>
    <x v="0"/>
    <s v="POS"/>
    <s v="International"/>
    <s v="Cash Withdrawal"/>
    <s v="High Value"/>
    <x v="4"/>
  </r>
  <r>
    <s v="TXN00780"/>
    <d v="2026-03-29T15:28:51"/>
    <s v="Mar-2026"/>
    <x v="111"/>
    <n v="966778"/>
    <s v="CARD0187"/>
    <s v="MER015"/>
    <s v="Metro Pay"/>
    <n v="23980.9"/>
    <n v="119.9"/>
    <s v="Debit Card"/>
    <x v="3"/>
    <s v="Mobile App"/>
    <s v="International"/>
    <s v="Cash Withdrawal"/>
    <s v="High Value"/>
    <x v="3"/>
  </r>
  <r>
    <s v="TXN00781"/>
    <d v="2026-02-24T08:03:27"/>
    <s v="Feb-2026"/>
    <x v="175"/>
    <n v="1937945"/>
    <s v="CARD0029"/>
    <s v="MER040"/>
    <s v="Blue Retail"/>
    <n v="34393.089999999997"/>
    <n v="103.18"/>
    <s v="Wallet"/>
    <x v="0"/>
    <s v="POS"/>
    <s v="Domestic"/>
    <s v="Retail Purchase"/>
    <s v="High Value"/>
    <x v="4"/>
  </r>
  <r>
    <s v="TXN00782"/>
    <d v="2025-01-22T13:48:20"/>
    <s v="Jan-2025"/>
    <x v="84"/>
    <n v="1540525"/>
    <s v="CARD0017"/>
    <s v="MER042"/>
    <s v="Blue Digital"/>
    <n v="5506.14"/>
    <n v="27.53"/>
    <s v="UPI"/>
    <x v="2"/>
    <s v="Website"/>
    <s v="International"/>
    <s v="Bill Payment"/>
    <s v="High Value"/>
    <x v="7"/>
  </r>
  <r>
    <s v="TXN00783"/>
    <d v="2025-06-10T19:30:15"/>
    <s v="Jun-2025"/>
    <x v="148"/>
    <n v="1840046"/>
    <s v="CARD0234"/>
    <s v="MER024"/>
    <s v="Metro Stores"/>
    <n v="23792.02"/>
    <n v="118.96"/>
    <s v="Debit Card"/>
    <x v="2"/>
    <s v="Branch"/>
    <s v="Domestic"/>
    <s v="Bill Payment"/>
    <s v="High Value"/>
    <x v="4"/>
  </r>
  <r>
    <s v="TXN00784"/>
    <d v="2025-01-14T01:18:48"/>
    <s v="Jan-2025"/>
    <x v="162"/>
    <n v="2115452"/>
    <s v="CARD0102"/>
    <s v="MER032"/>
    <s v="Urban Digital"/>
    <n v="50744.37"/>
    <n v="101.49"/>
    <s v="UPI"/>
    <x v="2"/>
    <s v="Website"/>
    <s v="International"/>
    <s v="Transfer"/>
    <s v="High Value"/>
    <x v="8"/>
  </r>
  <r>
    <s v="TXN00785"/>
    <d v="2025-01-25T08:22:27"/>
    <s v="Jan-2025"/>
    <x v="80"/>
    <n v="1097886"/>
    <s v="CARD0192"/>
    <s v="MER008"/>
    <s v="Daily Services"/>
    <n v="37930.17"/>
    <n v="75.86"/>
    <s v="Net Banking"/>
    <x v="2"/>
    <s v="Branch"/>
    <s v="Domestic"/>
    <s v="Transfer"/>
    <s v="High Value"/>
    <x v="5"/>
  </r>
  <r>
    <s v="TXN00786"/>
    <d v="2025-03-28T02:47:10"/>
    <s v="Mar-2025"/>
    <x v="100"/>
    <n v="1622654"/>
    <s v="CARD0004"/>
    <s v="MER035"/>
    <s v="Nova Hub"/>
    <n v="4526.03"/>
    <n v="45.26"/>
    <s v="Wallet"/>
    <x v="2"/>
    <s v="Website"/>
    <s v="Domestic"/>
    <s v="Cash Withdrawal"/>
    <s v="High Value"/>
    <x v="1"/>
  </r>
  <r>
    <s v="TXN00787"/>
    <d v="2025-07-18T22:03:09"/>
    <s v="Jul-2025"/>
    <x v="3"/>
    <n v="1300603"/>
    <s v="CARD0191"/>
    <s v="MER002"/>
    <s v="Daily Stores"/>
    <n v="51572.25"/>
    <n v="515.72"/>
    <s v="Debit Card"/>
    <x v="1"/>
    <s v="POS"/>
    <s v="International"/>
    <s v="Bill Payment"/>
    <s v="High Value"/>
    <x v="6"/>
  </r>
  <r>
    <s v="TXN00788"/>
    <d v="2025-04-13T09:37:18"/>
    <s v="Apr-2025"/>
    <x v="123"/>
    <n v="2445562"/>
    <s v="CARD0110"/>
    <s v="MER006"/>
    <s v="Nova Pay"/>
    <n v="58158.82"/>
    <n v="581.59"/>
    <s v="Credit Card"/>
    <x v="0"/>
    <s v="Branch"/>
    <s v="International"/>
    <s v="Cash Withdrawal"/>
    <s v="High Value"/>
    <x v="2"/>
  </r>
  <r>
    <s v="TXN00789"/>
    <d v="2025-10-19T19:24:48"/>
    <s v="Oct-2025"/>
    <x v="149"/>
    <n v="1234463"/>
    <s v="CARD0244"/>
    <s v="MER024"/>
    <s v="Metro Stores"/>
    <n v="30444.95"/>
    <n v="304.45"/>
    <s v="Wallet"/>
    <x v="0"/>
    <s v="Mobile App"/>
    <s v="International"/>
    <s v="Bill Payment"/>
    <s v="High Value"/>
    <x v="4"/>
  </r>
  <r>
    <s v="TXN00790"/>
    <d v="2026-08-15T00:54:22"/>
    <s v="Aug-2026"/>
    <x v="108"/>
    <n v="3369767"/>
    <s v="CARD0145"/>
    <s v="MER007"/>
    <s v="Blue Hub"/>
    <n v="23901.18"/>
    <n v="119.51"/>
    <s v="Debit Card"/>
    <x v="0"/>
    <s v="POS"/>
    <s v="Domestic"/>
    <s v="Retail Purchase"/>
    <s v="High Value"/>
    <x v="4"/>
  </r>
  <r>
    <s v="TXN00791"/>
    <d v="2025-04-08T20:25:16"/>
    <s v="Apr-2025"/>
    <x v="150"/>
    <n v="1710338"/>
    <s v="CARD0064"/>
    <s v="MER006"/>
    <s v="Nova Pay"/>
    <n v="10238.42"/>
    <n v="102.38"/>
    <s v="Credit Card"/>
    <x v="1"/>
    <s v="Branch"/>
    <s v="International"/>
    <s v="Bill Payment"/>
    <s v="High Value"/>
    <x v="2"/>
  </r>
  <r>
    <s v="TXN00792"/>
    <d v="2025-03-02T17:57:53"/>
    <s v="Mar-2025"/>
    <x v="56"/>
    <n v="959406"/>
    <s v="CARD0010"/>
    <s v="MER021"/>
    <s v="Fresh Hub"/>
    <n v="15196.23"/>
    <n v="75.98"/>
    <s v="Wallet"/>
    <x v="0"/>
    <s v="Branch"/>
    <s v="Domestic"/>
    <s v="Transfer"/>
    <s v="High Value"/>
    <x v="4"/>
  </r>
  <r>
    <s v="TXN00793"/>
    <d v="2025-08-03T20:28:36"/>
    <s v="Aug-2025"/>
    <x v="87"/>
    <n v="2445827"/>
    <s v="CARD0061"/>
    <s v="MER021"/>
    <s v="Fresh Hub"/>
    <n v="47702.28"/>
    <n v="238.51"/>
    <s v="Net Banking"/>
    <x v="0"/>
    <s v="Branch"/>
    <s v="Domestic"/>
    <s v="Retail Purchase"/>
    <s v="High Value"/>
    <x v="4"/>
  </r>
  <r>
    <s v="TXN00794"/>
    <d v="2026-03-12T02:49:18"/>
    <s v="Mar-2026"/>
    <x v="59"/>
    <n v="971265"/>
    <s v="CARD0192"/>
    <s v="MER008"/>
    <s v="Daily Services"/>
    <n v="22603.59"/>
    <n v="67.81"/>
    <s v="Credit Card"/>
    <x v="2"/>
    <s v="Website"/>
    <s v="International"/>
    <s v="Retail Purchase"/>
    <s v="High Value"/>
    <x v="5"/>
  </r>
  <r>
    <s v="TXN00795"/>
    <d v="2025-02-09T15:26:38"/>
    <s v="Feb-2025"/>
    <x v="167"/>
    <n v="1376421"/>
    <s v="CARD0192"/>
    <s v="MER036"/>
    <s v="Green Foods"/>
    <n v="29761.55"/>
    <n v="297.62"/>
    <s v="Net Banking"/>
    <x v="2"/>
    <s v="Branch"/>
    <s v="Domestic"/>
    <s v="Transfer"/>
    <s v="High Value"/>
    <x v="3"/>
  </r>
  <r>
    <s v="TXN00796"/>
    <d v="2025-05-01T15:51:19"/>
    <s v="May-2025"/>
    <x v="59"/>
    <n v="971265"/>
    <s v="CARD0083"/>
    <s v="MER040"/>
    <s v="Blue Retail"/>
    <n v="59745.08"/>
    <n v="298.73"/>
    <s v="Debit Card"/>
    <x v="2"/>
    <s v="Website"/>
    <s v="Domestic"/>
    <s v="Transfer"/>
    <s v="High Value"/>
    <x v="4"/>
  </r>
  <r>
    <s v="TXN00797"/>
    <d v="2026-06-20T07:26:39"/>
    <s v="Jun-2026"/>
    <x v="99"/>
    <n v="2438970"/>
    <s v="CARD0155"/>
    <s v="MER017"/>
    <s v="Quick Services"/>
    <n v="48188.54"/>
    <n v="240.94"/>
    <s v="Net Banking"/>
    <x v="3"/>
    <s v="Branch"/>
    <s v="Domestic"/>
    <s v="Transfer"/>
    <s v="High Value"/>
    <x v="5"/>
  </r>
  <r>
    <s v="TXN00798"/>
    <d v="2025-05-19T05:58:47"/>
    <s v="May-2025"/>
    <x v="130"/>
    <n v="749164"/>
    <s v="CARD0107"/>
    <s v="MER012"/>
    <s v="Daily Hub"/>
    <n v="31510.27"/>
    <n v="63.02"/>
    <s v="Credit Card"/>
    <x v="1"/>
    <s v="Branch"/>
    <s v="Domestic"/>
    <s v="Retail Purchase"/>
    <s v="High Value"/>
    <x v="2"/>
  </r>
  <r>
    <s v="TXN00799"/>
    <d v="2025-11-16T06:49:58"/>
    <s v="Nov-2025"/>
    <x v="72"/>
    <n v="3456728"/>
    <s v="CARD0025"/>
    <s v="MER004"/>
    <s v="Daily Digital"/>
    <n v="12036.13"/>
    <n v="120.36"/>
    <s v="Wallet"/>
    <x v="0"/>
    <s v="Branch"/>
    <s v="Domestic"/>
    <s v="Retail Purchase"/>
    <s v="High Value"/>
    <x v="4"/>
  </r>
  <r>
    <s v="TXN00800"/>
    <d v="2025-12-25T23:10:06"/>
    <s v="Dec-2025"/>
    <x v="97"/>
    <n v="2532613"/>
    <s v="CARD0071"/>
    <s v="MER019"/>
    <s v="Metro Retail"/>
    <n v="33593.449999999997"/>
    <n v="67.19"/>
    <s v="Net Banking"/>
    <x v="0"/>
    <s v="POS"/>
    <s v="International"/>
    <s v="Cash Withdrawal"/>
    <s v="High Value"/>
    <x v="6"/>
  </r>
  <r>
    <s v="TXN00801"/>
    <d v="2025-09-18T20:25:46"/>
    <s v="Sep-2025"/>
    <x v="150"/>
    <n v="1710338"/>
    <s v="CARD0040"/>
    <s v="MER007"/>
    <s v="Blue Hub"/>
    <n v="32506.92"/>
    <n v="65.010000000000005"/>
    <s v="Credit Card"/>
    <x v="2"/>
    <s v="POS"/>
    <s v="Domestic"/>
    <s v="Transfer"/>
    <s v="High Value"/>
    <x v="4"/>
  </r>
  <r>
    <s v="TXN00802"/>
    <d v="2026-08-01T03:43:31"/>
    <s v="Aug-2026"/>
    <x v="72"/>
    <n v="3456728"/>
    <s v="CARD0148"/>
    <s v="MER038"/>
    <s v="Quick Hub"/>
    <n v="7689.57"/>
    <n v="76.900000000000006"/>
    <s v="Wallet"/>
    <x v="0"/>
    <s v="POS"/>
    <s v="International"/>
    <s v="Bill Payment"/>
    <s v="High Value"/>
    <x v="8"/>
  </r>
  <r>
    <s v="TXN00803"/>
    <d v="2025-06-22T00:05:50"/>
    <s v="Jun-2025"/>
    <x v="36"/>
    <n v="1555758"/>
    <s v="CARD0038"/>
    <s v="MER010"/>
    <s v="Blue Hub"/>
    <n v="47023.56"/>
    <n v="94.05"/>
    <s v="Credit Card"/>
    <x v="3"/>
    <s v="Branch"/>
    <s v="Domestic"/>
    <s v="Transfer"/>
    <s v="High Value"/>
    <x v="8"/>
  </r>
  <r>
    <s v="TXN00804"/>
    <d v="2025-03-21T01:54:00"/>
    <s v="Mar-2025"/>
    <x v="19"/>
    <n v="2759945"/>
    <s v="CARD0121"/>
    <s v="MER021"/>
    <s v="Fresh Hub"/>
    <n v="8304.7999999999993"/>
    <n v="83.05"/>
    <s v="Debit Card"/>
    <x v="1"/>
    <s v="Mobile App"/>
    <s v="Domestic"/>
    <s v="Cash Withdrawal"/>
    <s v="High Value"/>
    <x v="4"/>
  </r>
  <r>
    <s v="TXN00805"/>
    <d v="2026-01-22T14:02:12"/>
    <s v="Jan-2026"/>
    <x v="178"/>
    <n v="709515"/>
    <s v="CARD0021"/>
    <s v="MER039"/>
    <s v="Fresh Foods"/>
    <n v="42404.05"/>
    <n v="212.02"/>
    <s v="Credit Card"/>
    <x v="0"/>
    <s v="Website"/>
    <s v="International"/>
    <s v="Bill Payment"/>
    <s v="High Value"/>
    <x v="4"/>
  </r>
  <r>
    <s v="TXN00806"/>
    <d v="2026-03-24T20:24:24"/>
    <s v="Mar-2026"/>
    <x v="138"/>
    <n v="2082112"/>
    <s v="CARD0031"/>
    <s v="MER036"/>
    <s v="Green Foods"/>
    <n v="26554.639999999999"/>
    <n v="132.77000000000001"/>
    <s v="Net Banking"/>
    <x v="2"/>
    <s v="POS"/>
    <s v="Domestic"/>
    <s v="Retail Purchase"/>
    <s v="High Value"/>
    <x v="3"/>
  </r>
  <r>
    <s v="TXN00807"/>
    <d v="2026-01-10T16:58:09"/>
    <s v="Jan-2026"/>
    <x v="105"/>
    <n v="1784496"/>
    <s v="CARD0158"/>
    <s v="MER036"/>
    <s v="Green Foods"/>
    <n v="46267.61"/>
    <n v="462.68"/>
    <s v="Credit Card"/>
    <x v="0"/>
    <s v="Branch"/>
    <s v="International"/>
    <s v="Bill Payment"/>
    <s v="High Value"/>
    <x v="3"/>
  </r>
  <r>
    <s v="TXN00808"/>
    <d v="2025-01-11T07:07:48"/>
    <s v="Jan-2025"/>
    <x v="163"/>
    <n v="3022750"/>
    <s v="CARD0080"/>
    <s v="MER022"/>
    <s v="Urban Stores"/>
    <n v="26580.63"/>
    <n v="53.16"/>
    <s v="UPI"/>
    <x v="0"/>
    <s v="POS"/>
    <s v="International"/>
    <s v="Retail Purchase"/>
    <s v="High Value"/>
    <x v="6"/>
  </r>
  <r>
    <s v="TXN00809"/>
    <d v="2026-09-14T09:56:26"/>
    <s v="Sep-2026"/>
    <x v="16"/>
    <n v="3376854"/>
    <s v="CARD0012"/>
    <s v="MER045"/>
    <s v="Blue Services"/>
    <n v="2108.34"/>
    <n v="21.08"/>
    <s v="Debit Card"/>
    <x v="0"/>
    <s v="POS"/>
    <s v="Domestic"/>
    <s v="Retail Purchase"/>
    <s v="Standard"/>
    <x v="0"/>
  </r>
  <r>
    <s v="TXN00810"/>
    <d v="2026-04-28T22:07:12"/>
    <s v="Apr-2026"/>
    <x v="93"/>
    <n v="1157267"/>
    <s v="CARD0193"/>
    <s v="MER035"/>
    <s v="Nova Hub"/>
    <n v="37971.18"/>
    <n v="379.71"/>
    <s v="UPI"/>
    <x v="0"/>
    <s v="Mobile App"/>
    <s v="International"/>
    <s v="Retail Purchase"/>
    <s v="High Value"/>
    <x v="1"/>
  </r>
  <r>
    <s v="TXN00811"/>
    <d v="2026-09-20T05:34:39"/>
    <s v="Sep-2026"/>
    <x v="17"/>
    <n v="1702451"/>
    <s v="CARD0108"/>
    <s v="MER008"/>
    <s v="Daily Services"/>
    <n v="42367.81"/>
    <n v="127.1"/>
    <s v="UPI"/>
    <x v="0"/>
    <s v="Branch"/>
    <s v="Domestic"/>
    <s v="Transfer"/>
    <s v="High Value"/>
    <x v="5"/>
  </r>
  <r>
    <s v="TXN00812"/>
    <d v="2025-04-10T19:48:34"/>
    <s v="Apr-2025"/>
    <x v="27"/>
    <n v="1180530"/>
    <s v="CARD0215"/>
    <s v="MER044"/>
    <s v="Blue Foods"/>
    <n v="16720.939999999999"/>
    <n v="33.44"/>
    <s v="Debit Card"/>
    <x v="1"/>
    <s v="Website"/>
    <s v="International"/>
    <s v="Retail Purchase"/>
    <s v="High Value"/>
    <x v="5"/>
  </r>
  <r>
    <s v="TXN00813"/>
    <d v="2026-02-17T15:09:35"/>
    <s v="Feb-2026"/>
    <x v="97"/>
    <n v="2532613"/>
    <s v="CARD0212"/>
    <s v="MER033"/>
    <s v="Nova Services"/>
    <n v="50279.23"/>
    <n v="100.56"/>
    <s v="Credit Card"/>
    <x v="2"/>
    <s v="POS"/>
    <s v="Domestic"/>
    <s v="Bill Payment"/>
    <s v="High Value"/>
    <x v="7"/>
  </r>
  <r>
    <s v="TXN00814"/>
    <d v="2026-03-31T01:37:13"/>
    <s v="Mar-2026"/>
    <x v="61"/>
    <n v="2458421"/>
    <s v="CARD0163"/>
    <s v="MER001"/>
    <s v="Urban Services"/>
    <n v="16603.97"/>
    <n v="166.04"/>
    <s v="Debit Card"/>
    <x v="0"/>
    <s v="POS"/>
    <s v="International"/>
    <s v="Retail Purchase"/>
    <s v="High Value"/>
    <x v="2"/>
  </r>
  <r>
    <s v="TXN00815"/>
    <d v="2025-12-16T16:58:32"/>
    <s v="Dec-2025"/>
    <x v="83"/>
    <n v="470298"/>
    <s v="CARD0030"/>
    <s v="MER006"/>
    <s v="Nova Pay"/>
    <n v="34133.58"/>
    <n v="341.34"/>
    <s v="Credit Card"/>
    <x v="2"/>
    <s v="Mobile App"/>
    <s v="Domestic"/>
    <s v="Transfer"/>
    <s v="High Value"/>
    <x v="2"/>
  </r>
  <r>
    <s v="TXN00816"/>
    <d v="2026-08-29T22:48:52"/>
    <s v="Aug-2026"/>
    <x v="159"/>
    <n v="1134604"/>
    <s v="CARD0164"/>
    <s v="MER024"/>
    <s v="Metro Stores"/>
    <n v="57949.36"/>
    <n v="115.9"/>
    <s v="Net Banking"/>
    <x v="2"/>
    <s v="Mobile App"/>
    <s v="Domestic"/>
    <s v="Transfer"/>
    <s v="High Value"/>
    <x v="4"/>
  </r>
  <r>
    <s v="TXN00817"/>
    <d v="2025-07-15T04:49:57"/>
    <s v="Jul-2025"/>
    <x v="101"/>
    <n v="743257"/>
    <s v="CARD0072"/>
    <s v="MER009"/>
    <s v="Prime Mart"/>
    <n v="18698.18"/>
    <n v="93.49"/>
    <s v="Wallet"/>
    <x v="0"/>
    <s v="POS"/>
    <s v="International"/>
    <s v="Bill Payment"/>
    <s v="High Value"/>
    <x v="5"/>
  </r>
  <r>
    <s v="TXN00818"/>
    <d v="2025-07-12T09:55:56"/>
    <s v="Jul-2025"/>
    <x v="151"/>
    <n v="1122211"/>
    <s v="CARD0179"/>
    <s v="MER029"/>
    <s v="Fresh Hub"/>
    <n v="53025.760000000002"/>
    <n v="265.13"/>
    <s v="Debit Card"/>
    <x v="0"/>
    <s v="Mobile App"/>
    <s v="International"/>
    <s v="Transfer"/>
    <s v="High Value"/>
    <x v="4"/>
  </r>
  <r>
    <s v="TXN00819"/>
    <d v="2026-08-16T13:14:19"/>
    <s v="Aug-2026"/>
    <x v="173"/>
    <n v="1353315"/>
    <s v="CARD0176"/>
    <s v="MER011"/>
    <s v="Quick Pay"/>
    <n v="20996.67"/>
    <n v="209.97"/>
    <s v="UPI"/>
    <x v="2"/>
    <s v="Branch"/>
    <s v="Domestic"/>
    <s v="Bill Payment"/>
    <s v="High Value"/>
    <x v="4"/>
  </r>
  <r>
    <s v="TXN00820"/>
    <d v="2026-03-21T12:37:51"/>
    <s v="Mar-2026"/>
    <x v="124"/>
    <n v="932293"/>
    <s v="CARD0088"/>
    <s v="MER045"/>
    <s v="Blue Services"/>
    <n v="38795.879999999997"/>
    <n v="193.98"/>
    <s v="Wallet"/>
    <x v="2"/>
    <s v="POS"/>
    <s v="Domestic"/>
    <s v="Bill Payment"/>
    <s v="High Value"/>
    <x v="0"/>
  </r>
  <r>
    <s v="TXN00821"/>
    <d v="2025-09-22T07:56:47"/>
    <s v="Sep-2025"/>
    <x v="99"/>
    <n v="2438970"/>
    <s v="CARD0169"/>
    <s v="MER041"/>
    <s v="Metro Pay"/>
    <n v="28114.52"/>
    <n v="56.23"/>
    <s v="Credit Card"/>
    <x v="0"/>
    <s v="Branch"/>
    <s v="Domestic"/>
    <s v="Cash Withdrawal"/>
    <s v="High Value"/>
    <x v="4"/>
  </r>
  <r>
    <s v="TXN00822"/>
    <d v="2026-08-24T11:45:35"/>
    <s v="Aug-2026"/>
    <x v="63"/>
    <n v="2087147"/>
    <s v="CARD0180"/>
    <s v="MER007"/>
    <s v="Blue Hub"/>
    <n v="22399.74"/>
    <n v="44.8"/>
    <s v="Debit Card"/>
    <x v="0"/>
    <s v="Mobile App"/>
    <s v="Domestic"/>
    <s v="Cash Withdrawal"/>
    <s v="High Value"/>
    <x v="4"/>
  </r>
  <r>
    <s v="TXN00823"/>
    <d v="2026-05-02T12:11:11"/>
    <s v="May-2026"/>
    <x v="164"/>
    <n v="2006565"/>
    <s v="CARD0079"/>
    <s v="MER011"/>
    <s v="Quick Pay"/>
    <n v="20266.64"/>
    <n v="60.8"/>
    <s v="Net Banking"/>
    <x v="3"/>
    <s v="Website"/>
    <s v="Domestic"/>
    <s v="Cash Withdrawal"/>
    <s v="High Value"/>
    <x v="4"/>
  </r>
  <r>
    <s v="TXN00824"/>
    <d v="2026-09-24T16:37:07"/>
    <s v="Sep-2026"/>
    <x v="54"/>
    <n v="1526615"/>
    <s v="CARD0214"/>
    <s v="MER016"/>
    <s v="Blue Foods"/>
    <n v="35655.129999999997"/>
    <n v="356.55"/>
    <s v="Debit Card"/>
    <x v="2"/>
    <s v="POS"/>
    <s v="International"/>
    <s v="Cash Withdrawal"/>
    <s v="High Value"/>
    <x v="0"/>
  </r>
  <r>
    <s v="TXN00825"/>
    <d v="2026-02-15T10:55:44"/>
    <s v="Feb-2026"/>
    <x v="85"/>
    <n v="1922692"/>
    <s v="CARD0028"/>
    <s v="MER027"/>
    <s v="Prime Digital"/>
    <n v="2503.73"/>
    <n v="7.51"/>
    <s v="Net Banking"/>
    <x v="3"/>
    <s v="POS"/>
    <s v="International"/>
    <s v="Retail Purchase"/>
    <s v="High Value"/>
    <x v="1"/>
  </r>
  <r>
    <s v="TXN00826"/>
    <d v="2025-06-17T18:38:55"/>
    <s v="Jun-2025"/>
    <x v="120"/>
    <n v="842597"/>
    <s v="CARD0193"/>
    <s v="MER009"/>
    <s v="Prime Mart"/>
    <n v="10066.450000000001"/>
    <n v="30.2"/>
    <s v="Credit Card"/>
    <x v="0"/>
    <s v="POS"/>
    <s v="Domestic"/>
    <s v="Retail Purchase"/>
    <s v="High Value"/>
    <x v="5"/>
  </r>
  <r>
    <s v="TXN00827"/>
    <d v="2025-11-13T05:09:01"/>
    <s v="Nov-2025"/>
    <x v="4"/>
    <n v="2688347"/>
    <s v="CARD0001"/>
    <s v="MER043"/>
    <s v="Metro Pay"/>
    <n v="48109.23"/>
    <n v="144.33000000000001"/>
    <s v="Credit Card"/>
    <x v="0"/>
    <s v="Website"/>
    <s v="Domestic"/>
    <s v="Transfer"/>
    <s v="High Value"/>
    <x v="0"/>
  </r>
  <r>
    <s v="TXN00828"/>
    <d v="2025-11-11T02:55:34"/>
    <s v="Nov-2025"/>
    <x v="7"/>
    <n v="1291728"/>
    <s v="CARD0186"/>
    <s v="MER016"/>
    <s v="Blue Foods"/>
    <n v="11157.16"/>
    <n v="111.57"/>
    <s v="Credit Card"/>
    <x v="1"/>
    <s v="POS"/>
    <s v="Domestic"/>
    <s v="Cash Withdrawal"/>
    <s v="High Value"/>
    <x v="0"/>
  </r>
  <r>
    <s v="TXN00829"/>
    <d v="2025-06-13T12:33:02"/>
    <s v="Jun-2025"/>
    <x v="169"/>
    <n v="1903056"/>
    <s v="CARD0055"/>
    <s v="MER031"/>
    <s v="Daily Digital"/>
    <n v="6084.82"/>
    <n v="60.85"/>
    <s v="Net Banking"/>
    <x v="0"/>
    <s v="Branch"/>
    <s v="Domestic"/>
    <s v="Retail Purchase"/>
    <s v="High Value"/>
    <x v="3"/>
  </r>
  <r>
    <s v="TXN00830"/>
    <d v="2026-02-01T04:40:43"/>
    <s v="Feb-2026"/>
    <x v="25"/>
    <n v="2152609"/>
    <s v="CARD0230"/>
    <s v="MER019"/>
    <s v="Metro Retail"/>
    <n v="19169.57"/>
    <n v="191.7"/>
    <s v="Net Banking"/>
    <x v="3"/>
    <s v="Branch"/>
    <s v="Domestic"/>
    <s v="Transfer"/>
    <s v="High Value"/>
    <x v="6"/>
  </r>
  <r>
    <s v="TXN00831"/>
    <d v="2026-05-16T21:21:04"/>
    <s v="May-2026"/>
    <x v="128"/>
    <n v="473491"/>
    <s v="CARD0095"/>
    <s v="MER024"/>
    <s v="Metro Stores"/>
    <n v="1711.09"/>
    <n v="5.13"/>
    <s v="Debit Card"/>
    <x v="1"/>
    <s v="Mobile App"/>
    <s v="International"/>
    <s v="Retail Purchase"/>
    <s v="Standard"/>
    <x v="4"/>
  </r>
  <r>
    <s v="TXN00832"/>
    <d v="2025-08-24T05:01:38"/>
    <s v="Aug-2025"/>
    <x v="44"/>
    <n v="909026"/>
    <s v="CARD0024"/>
    <s v="MER022"/>
    <s v="Urban Stores"/>
    <n v="30046.99"/>
    <n v="150.22999999999999"/>
    <s v="Net Banking"/>
    <x v="0"/>
    <s v="Website"/>
    <s v="International"/>
    <s v="Bill Payment"/>
    <s v="High Value"/>
    <x v="6"/>
  </r>
  <r>
    <s v="TXN00833"/>
    <d v="2025-10-19T11:19:35"/>
    <s v="Oct-2025"/>
    <x v="151"/>
    <n v="1122211"/>
    <s v="CARD0246"/>
    <s v="MER027"/>
    <s v="Prime Digital"/>
    <n v="23270.25"/>
    <n v="46.54"/>
    <s v="Credit Card"/>
    <x v="1"/>
    <s v="Website"/>
    <s v="International"/>
    <s v="Retail Purchase"/>
    <s v="High Value"/>
    <x v="1"/>
  </r>
  <r>
    <s v="TXN00834"/>
    <d v="2026-04-22T03:00:31"/>
    <s v="Apr-2026"/>
    <x v="74"/>
    <n v="2651559"/>
    <s v="CARD0042"/>
    <s v="MER021"/>
    <s v="Fresh Hub"/>
    <n v="20842.580000000002"/>
    <n v="208.43"/>
    <s v="Credit Card"/>
    <x v="2"/>
    <s v="Branch"/>
    <s v="International"/>
    <s v="Retail Purchase"/>
    <s v="High Value"/>
    <x v="4"/>
  </r>
  <r>
    <s v="TXN00835"/>
    <d v="2026-05-13T23:48:17"/>
    <s v="May-2026"/>
    <x v="166"/>
    <n v="2180598"/>
    <s v="CARD0109"/>
    <s v="MER017"/>
    <s v="Quick Services"/>
    <n v="57599.27"/>
    <n v="115.2"/>
    <s v="UPI"/>
    <x v="0"/>
    <s v="Branch"/>
    <s v="International"/>
    <s v="Cash Withdrawal"/>
    <s v="High Value"/>
    <x v="5"/>
  </r>
  <r>
    <s v="TXN00836"/>
    <d v="2025-12-10T19:28:46"/>
    <s v="Dec-2025"/>
    <x v="171"/>
    <n v="676821"/>
    <s v="CARD0137"/>
    <s v="MER025"/>
    <s v="Smart Pay"/>
    <n v="58309.04"/>
    <n v="174.93"/>
    <s v="UPI"/>
    <x v="0"/>
    <s v="Website"/>
    <s v="Domestic"/>
    <s v="Transfer"/>
    <s v="High Value"/>
    <x v="2"/>
  </r>
  <r>
    <s v="TXN00837"/>
    <d v="2026-08-28T09:23:15"/>
    <s v="Aug-2026"/>
    <x v="44"/>
    <n v="909026"/>
    <s v="CARD0013"/>
    <s v="MER030"/>
    <s v="Green Pay"/>
    <n v="11937.02"/>
    <n v="119.37"/>
    <s v="Debit Card"/>
    <x v="1"/>
    <s v="Mobile App"/>
    <s v="Domestic"/>
    <s v="Cash Withdrawal"/>
    <s v="High Value"/>
    <x v="8"/>
  </r>
  <r>
    <s v="TXN00838"/>
    <d v="2026-04-17T13:21:57"/>
    <s v="Apr-2026"/>
    <x v="67"/>
    <n v="2034552"/>
    <s v="CARD0109"/>
    <s v="MER022"/>
    <s v="Urban Stores"/>
    <n v="3099.4"/>
    <n v="15.5"/>
    <s v="Debit Card"/>
    <x v="0"/>
    <s v="Mobile App"/>
    <s v="International"/>
    <s v="Bill Payment"/>
    <s v="High Value"/>
    <x v="6"/>
  </r>
  <r>
    <s v="TXN00839"/>
    <d v="2025-10-28T12:59:37"/>
    <s v="Oct-2025"/>
    <x v="73"/>
    <n v="596723"/>
    <s v="CARD0010"/>
    <s v="MER039"/>
    <s v="Fresh Foods"/>
    <n v="25081.91"/>
    <n v="125.41"/>
    <s v="UPI"/>
    <x v="0"/>
    <s v="POS"/>
    <s v="Domestic"/>
    <s v="Cash Withdrawal"/>
    <s v="High Value"/>
    <x v="4"/>
  </r>
  <r>
    <s v="TXN00840"/>
    <d v="2025-09-12T06:22:48"/>
    <s v="Sep-2025"/>
    <x v="73"/>
    <n v="596723"/>
    <s v="CARD0127"/>
    <s v="MER028"/>
    <s v="Prime Pay"/>
    <n v="5134.41"/>
    <n v="15.4"/>
    <s v="Debit Card"/>
    <x v="0"/>
    <s v="POS"/>
    <s v="International"/>
    <s v="Bill Payment"/>
    <s v="High Value"/>
    <x v="0"/>
  </r>
  <r>
    <s v="TXN00841"/>
    <d v="2026-06-21T20:43:08"/>
    <s v="Jun-2026"/>
    <x v="23"/>
    <n v="3123647"/>
    <s v="CARD0038"/>
    <s v="MER039"/>
    <s v="Fresh Foods"/>
    <n v="27559.33"/>
    <n v="137.80000000000001"/>
    <s v="UPI"/>
    <x v="0"/>
    <s v="Branch"/>
    <s v="Domestic"/>
    <s v="Transfer"/>
    <s v="High Value"/>
    <x v="4"/>
  </r>
  <r>
    <s v="TXN00842"/>
    <d v="2025-11-06T15:23:01"/>
    <s v="Nov-2025"/>
    <x v="104"/>
    <n v="1682577"/>
    <s v="CARD0191"/>
    <s v="MER006"/>
    <s v="Nova Pay"/>
    <n v="24104.3"/>
    <n v="120.52"/>
    <s v="Net Banking"/>
    <x v="0"/>
    <s v="Mobile App"/>
    <s v="Domestic"/>
    <s v="Transfer"/>
    <s v="High Value"/>
    <x v="2"/>
  </r>
  <r>
    <s v="TXN00843"/>
    <d v="2025-11-07T22:24:45"/>
    <s v="Nov-2025"/>
    <x v="147"/>
    <n v="585020"/>
    <s v="CARD0205"/>
    <s v="MER004"/>
    <s v="Daily Digital"/>
    <n v="30890.97"/>
    <n v="92.67"/>
    <s v="Debit Card"/>
    <x v="1"/>
    <s v="Branch"/>
    <s v="Domestic"/>
    <s v="Cash Withdrawal"/>
    <s v="High Value"/>
    <x v="4"/>
  </r>
  <r>
    <s v="TXN00844"/>
    <d v="2025-10-09T06:45:41"/>
    <s v="Oct-2025"/>
    <x v="115"/>
    <n v="2716840"/>
    <s v="CARD0174"/>
    <s v="MER019"/>
    <s v="Metro Retail"/>
    <n v="16683.54"/>
    <n v="166.84"/>
    <s v="Debit Card"/>
    <x v="2"/>
    <s v="Mobile App"/>
    <s v="International"/>
    <s v="Bill Payment"/>
    <s v="High Value"/>
    <x v="6"/>
  </r>
  <r>
    <s v="TXN00845"/>
    <d v="2025-01-20T15:05:06"/>
    <s v="Jan-2025"/>
    <x v="155"/>
    <n v="2201016"/>
    <s v="CARD0203"/>
    <s v="MER041"/>
    <s v="Metro Pay"/>
    <n v="39467.050000000003"/>
    <n v="394.67"/>
    <s v="Debit Card"/>
    <x v="0"/>
    <s v="Mobile App"/>
    <s v="Domestic"/>
    <s v="Bill Payment"/>
    <s v="High Value"/>
    <x v="4"/>
  </r>
  <r>
    <s v="TXN00846"/>
    <d v="2025-01-19T11:49:07"/>
    <s v="Jan-2025"/>
    <x v="163"/>
    <n v="3022750"/>
    <s v="CARD0108"/>
    <s v="MER041"/>
    <s v="Metro Pay"/>
    <n v="13341.36"/>
    <n v="133.41"/>
    <s v="Wallet"/>
    <x v="0"/>
    <s v="POS"/>
    <s v="International"/>
    <s v="Cash Withdrawal"/>
    <s v="High Value"/>
    <x v="4"/>
  </r>
  <r>
    <s v="TXN00847"/>
    <d v="2026-07-26T00:27:27"/>
    <s v="Jul-2026"/>
    <x v="56"/>
    <n v="959406"/>
    <s v="CARD0119"/>
    <s v="MER032"/>
    <s v="Urban Digital"/>
    <n v="20642.75"/>
    <n v="206.43"/>
    <s v="Credit Card"/>
    <x v="0"/>
    <s v="Website"/>
    <s v="International"/>
    <s v="Transfer"/>
    <s v="High Value"/>
    <x v="8"/>
  </r>
  <r>
    <s v="TXN00848"/>
    <d v="2026-02-17T01:10:29"/>
    <s v="Feb-2026"/>
    <x v="173"/>
    <n v="1353315"/>
    <s v="CARD0125"/>
    <s v="MER036"/>
    <s v="Green Foods"/>
    <n v="39675.839999999997"/>
    <n v="79.349999999999994"/>
    <s v="Debit Card"/>
    <x v="0"/>
    <s v="Mobile App"/>
    <s v="Domestic"/>
    <s v="Transfer"/>
    <s v="High Value"/>
    <x v="3"/>
  </r>
  <r>
    <s v="TXN00849"/>
    <d v="2025-11-08T10:37:29"/>
    <s v="Nov-2025"/>
    <x v="35"/>
    <n v="3422483"/>
    <s v="CARD0040"/>
    <s v="MER040"/>
    <s v="Blue Retail"/>
    <n v="45076.37"/>
    <n v="450.76"/>
    <s v="Wallet"/>
    <x v="0"/>
    <s v="Website"/>
    <s v="International"/>
    <s v="Cash Withdrawal"/>
    <s v="High Value"/>
    <x v="4"/>
  </r>
  <r>
    <s v="TXN00850"/>
    <d v="2026-03-02T00:51:08"/>
    <s v="Mar-2026"/>
    <x v="128"/>
    <n v="473491"/>
    <s v="CARD0097"/>
    <s v="MER035"/>
    <s v="Nova Hub"/>
    <n v="45108.17"/>
    <n v="451.08"/>
    <s v="Credit Card"/>
    <x v="0"/>
    <s v="Branch"/>
    <s v="Domestic"/>
    <s v="Retail Purchase"/>
    <s v="High Value"/>
    <x v="1"/>
  </r>
  <r>
    <s v="TXN00851"/>
    <d v="2026-02-10T07:56:53"/>
    <s v="Feb-2026"/>
    <x v="101"/>
    <n v="743257"/>
    <s v="CARD0222"/>
    <s v="MER011"/>
    <s v="Quick Pay"/>
    <n v="12757.18"/>
    <n v="63.79"/>
    <s v="Net Banking"/>
    <x v="0"/>
    <s v="Branch"/>
    <s v="International"/>
    <s v="Bill Payment"/>
    <s v="High Value"/>
    <x v="4"/>
  </r>
  <r>
    <s v="TXN00852"/>
    <d v="2026-03-05T21:49:04"/>
    <s v="Mar-2026"/>
    <x v="19"/>
    <n v="2759945"/>
    <s v="CARD0227"/>
    <s v="MER044"/>
    <s v="Blue Foods"/>
    <n v="16804.900000000001"/>
    <n v="33.61"/>
    <s v="Debit Card"/>
    <x v="2"/>
    <s v="Branch"/>
    <s v="Domestic"/>
    <s v="Cash Withdrawal"/>
    <s v="High Value"/>
    <x v="5"/>
  </r>
  <r>
    <s v="TXN00853"/>
    <d v="2026-05-22T16:53:26"/>
    <s v="May-2026"/>
    <x v="101"/>
    <n v="743257"/>
    <s v="CARD0103"/>
    <s v="MER019"/>
    <s v="Metro Retail"/>
    <n v="17248.38"/>
    <n v="51.75"/>
    <s v="UPI"/>
    <x v="3"/>
    <s v="POS"/>
    <s v="International"/>
    <s v="Bill Payment"/>
    <s v="High Value"/>
    <x v="6"/>
  </r>
  <r>
    <s v="TXN00854"/>
    <d v="2025-04-11T13:57:26"/>
    <s v="Apr-2025"/>
    <x v="114"/>
    <n v="2587799"/>
    <s v="CARD0049"/>
    <s v="MER041"/>
    <s v="Metro Pay"/>
    <n v="34851.449999999997"/>
    <n v="348.51"/>
    <s v="UPI"/>
    <x v="0"/>
    <s v="Website"/>
    <s v="Domestic"/>
    <s v="Retail Purchase"/>
    <s v="High Value"/>
    <x v="4"/>
  </r>
  <r>
    <s v="TXN00855"/>
    <d v="2026-09-06T20:46:27"/>
    <s v="Sep-2026"/>
    <x v="119"/>
    <n v="2858269"/>
    <s v="CARD0064"/>
    <s v="MER011"/>
    <s v="Quick Pay"/>
    <n v="43955.66"/>
    <n v="219.78"/>
    <s v="Wallet"/>
    <x v="3"/>
    <s v="Branch"/>
    <s v="Domestic"/>
    <s v="Transfer"/>
    <s v="High Value"/>
    <x v="4"/>
  </r>
  <r>
    <s v="TXN00856"/>
    <d v="2025-01-24T21:53:39"/>
    <s v="Jan-2025"/>
    <x v="148"/>
    <n v="1840046"/>
    <s v="CARD0118"/>
    <s v="MER024"/>
    <s v="Metro Stores"/>
    <n v="53022.400000000001"/>
    <n v="159.07"/>
    <s v="Credit Card"/>
    <x v="2"/>
    <s v="Website"/>
    <s v="International"/>
    <s v="Bill Payment"/>
    <s v="High Value"/>
    <x v="4"/>
  </r>
  <r>
    <s v="TXN00857"/>
    <d v="2025-11-27T04:49:46"/>
    <s v="Nov-2025"/>
    <x v="49"/>
    <n v="1174912"/>
    <s v="CARD0119"/>
    <s v="MER030"/>
    <s v="Green Pay"/>
    <n v="17649.62"/>
    <n v="52.95"/>
    <s v="Credit Card"/>
    <x v="1"/>
    <s v="Branch"/>
    <s v="Domestic"/>
    <s v="Bill Payment"/>
    <s v="High Value"/>
    <x v="8"/>
  </r>
  <r>
    <s v="TXN00858"/>
    <d v="2026-04-18T18:12:44"/>
    <s v="Apr-2026"/>
    <x v="165"/>
    <n v="2550733"/>
    <s v="CARD0063"/>
    <s v="MER030"/>
    <s v="Green Pay"/>
    <n v="38518.620000000003"/>
    <n v="192.59"/>
    <s v="UPI"/>
    <x v="1"/>
    <s v="Mobile App"/>
    <s v="Domestic"/>
    <s v="Cash Withdrawal"/>
    <s v="High Value"/>
    <x v="8"/>
  </r>
  <r>
    <s v="TXN00859"/>
    <d v="2026-06-17T17:07:11"/>
    <s v="Jun-2026"/>
    <x v="151"/>
    <n v="1122211"/>
    <s v="CARD0227"/>
    <s v="MER035"/>
    <s v="Nova Hub"/>
    <n v="51743.92"/>
    <n v="517.44000000000005"/>
    <s v="UPI"/>
    <x v="0"/>
    <s v="Mobile App"/>
    <s v="International"/>
    <s v="Cash Withdrawal"/>
    <s v="High Value"/>
    <x v="1"/>
  </r>
  <r>
    <s v="TXN00860"/>
    <d v="2025-03-03T10:39:59"/>
    <s v="Mar-2025"/>
    <x v="15"/>
    <n v="1202837"/>
    <s v="CARD0103"/>
    <s v="MER033"/>
    <s v="Nova Services"/>
    <n v="48718.58"/>
    <n v="97.44"/>
    <s v="Net Banking"/>
    <x v="1"/>
    <s v="Branch"/>
    <s v="Domestic"/>
    <s v="Retail Purchase"/>
    <s v="High Value"/>
    <x v="7"/>
  </r>
  <r>
    <s v="TXN00861"/>
    <d v="2025-05-30T09:33:26"/>
    <s v="May-2025"/>
    <x v="98"/>
    <n v="735563"/>
    <s v="CARD0094"/>
    <s v="MER027"/>
    <s v="Prime Digital"/>
    <n v="45500.63"/>
    <n v="91"/>
    <s v="Debit Card"/>
    <x v="0"/>
    <s v="Website"/>
    <s v="Domestic"/>
    <s v="Cash Withdrawal"/>
    <s v="High Value"/>
    <x v="1"/>
  </r>
  <r>
    <s v="TXN00862"/>
    <d v="2025-08-04T09:37:49"/>
    <s v="Aug-2025"/>
    <x v="4"/>
    <n v="2688347"/>
    <s v="CARD0231"/>
    <s v="MER032"/>
    <s v="Urban Digital"/>
    <n v="5917.83"/>
    <n v="11.84"/>
    <s v="Credit Card"/>
    <x v="2"/>
    <s v="POS"/>
    <s v="International"/>
    <s v="Transfer"/>
    <s v="High Value"/>
    <x v="8"/>
  </r>
  <r>
    <s v="TXN00863"/>
    <d v="2026-04-01T12:02:20"/>
    <s v="Apr-2026"/>
    <x v="152"/>
    <n v="734318"/>
    <s v="CARD0010"/>
    <s v="MER009"/>
    <s v="Prime Mart"/>
    <n v="47263.7"/>
    <n v="236.32"/>
    <s v="Credit Card"/>
    <x v="2"/>
    <s v="POS"/>
    <s v="Domestic"/>
    <s v="Bill Payment"/>
    <s v="High Value"/>
    <x v="5"/>
  </r>
  <r>
    <s v="TXN00864"/>
    <d v="2026-01-15T20:31:04"/>
    <s v="Jan-2026"/>
    <x v="120"/>
    <n v="842597"/>
    <s v="CARD0163"/>
    <s v="MER020"/>
    <s v="Urban Retail"/>
    <n v="21827.18"/>
    <n v="65.48"/>
    <s v="Net Banking"/>
    <x v="0"/>
    <s v="Branch"/>
    <s v="International"/>
    <s v="Bill Payment"/>
    <s v="High Value"/>
    <x v="3"/>
  </r>
  <r>
    <s v="TXN00865"/>
    <d v="2025-05-12T05:20:05"/>
    <s v="May-2025"/>
    <x v="46"/>
    <n v="692374"/>
    <s v="CARD0059"/>
    <s v="MER002"/>
    <s v="Daily Stores"/>
    <n v="36486.22"/>
    <n v="182.43"/>
    <s v="Credit Card"/>
    <x v="1"/>
    <s v="POS"/>
    <s v="Domestic"/>
    <s v="Retail Purchase"/>
    <s v="High Value"/>
    <x v="6"/>
  </r>
  <r>
    <s v="TXN00866"/>
    <d v="2025-09-23T13:15:31"/>
    <s v="Sep-2025"/>
    <x v="108"/>
    <n v="3369767"/>
    <s v="CARD0159"/>
    <s v="MER011"/>
    <s v="Quick Pay"/>
    <n v="43296.25"/>
    <n v="432.96"/>
    <s v="Debit Card"/>
    <x v="2"/>
    <s v="Website"/>
    <s v="International"/>
    <s v="Transfer"/>
    <s v="High Value"/>
    <x v="4"/>
  </r>
  <r>
    <s v="TXN00867"/>
    <d v="2026-01-23T17:40:02"/>
    <s v="Jan-2026"/>
    <x v="61"/>
    <n v="2458421"/>
    <s v="CARD0124"/>
    <s v="MER025"/>
    <s v="Smart Pay"/>
    <n v="38937.75"/>
    <n v="389.38"/>
    <s v="UPI"/>
    <x v="1"/>
    <s v="Mobile App"/>
    <s v="International"/>
    <s v="Bill Payment"/>
    <s v="High Value"/>
    <x v="2"/>
  </r>
  <r>
    <s v="TXN00868"/>
    <d v="2025-11-13T07:30:57"/>
    <s v="Nov-2025"/>
    <x v="87"/>
    <n v="2445827"/>
    <s v="CARD0051"/>
    <s v="MER023"/>
    <s v="Smart Pay"/>
    <n v="13536.17"/>
    <n v="27.07"/>
    <s v="Net Banking"/>
    <x v="0"/>
    <s v="Branch"/>
    <s v="Domestic"/>
    <s v="Bill Payment"/>
    <s v="High Value"/>
    <x v="6"/>
  </r>
  <r>
    <s v="TXN00869"/>
    <d v="2025-07-27T13:14:12"/>
    <s v="Jul-2025"/>
    <x v="72"/>
    <n v="3456728"/>
    <s v="CARD0130"/>
    <s v="MER005"/>
    <s v="Prime Foods"/>
    <n v="39888.22"/>
    <n v="79.78"/>
    <s v="Debit Card"/>
    <x v="0"/>
    <s v="Mobile App"/>
    <s v="Domestic"/>
    <s v="Cash Withdrawal"/>
    <s v="High Value"/>
    <x v="6"/>
  </r>
  <r>
    <s v="TXN00870"/>
    <d v="2026-08-04T19:02:23"/>
    <s v="Aug-2026"/>
    <x v="13"/>
    <n v="1749932"/>
    <s v="CARD0240"/>
    <s v="MER042"/>
    <s v="Blue Digital"/>
    <n v="14953.52"/>
    <n v="44.86"/>
    <s v="Credit Card"/>
    <x v="0"/>
    <s v="Website"/>
    <s v="International"/>
    <s v="Bill Payment"/>
    <s v="High Value"/>
    <x v="7"/>
  </r>
  <r>
    <s v="TXN00871"/>
    <d v="2025-02-11T22:10:40"/>
    <s v="Feb-2025"/>
    <x v="145"/>
    <n v="2143143"/>
    <s v="CARD0232"/>
    <s v="MER009"/>
    <s v="Prime Mart"/>
    <n v="16019.22"/>
    <n v="48.06"/>
    <s v="Wallet"/>
    <x v="0"/>
    <s v="POS"/>
    <s v="Domestic"/>
    <s v="Bill Payment"/>
    <s v="High Value"/>
    <x v="5"/>
  </r>
  <r>
    <s v="TXN00872"/>
    <d v="2025-08-22T08:52:53"/>
    <s v="Aug-2025"/>
    <x v="157"/>
    <n v="448544"/>
    <s v="CARD0138"/>
    <s v="MER004"/>
    <s v="Daily Digital"/>
    <n v="35182.080000000002"/>
    <n v="351.82"/>
    <s v="Debit Card"/>
    <x v="0"/>
    <s v="Mobile App"/>
    <s v="Domestic"/>
    <s v="Cash Withdrawal"/>
    <s v="High Value"/>
    <x v="4"/>
  </r>
  <r>
    <s v="TXN00873"/>
    <d v="2025-04-30T16:05:20"/>
    <s v="Apr-2025"/>
    <x v="155"/>
    <n v="2201016"/>
    <s v="CARD0125"/>
    <s v="MER020"/>
    <s v="Urban Retail"/>
    <n v="5094.83"/>
    <n v="15.28"/>
    <s v="Wallet"/>
    <x v="0"/>
    <s v="Mobile App"/>
    <s v="International"/>
    <s v="Retail Purchase"/>
    <s v="High Value"/>
    <x v="3"/>
  </r>
  <r>
    <s v="TXN00874"/>
    <d v="2026-03-30T23:23:50"/>
    <s v="Mar-2026"/>
    <x v="53"/>
    <n v="284902"/>
    <s v="CARD0065"/>
    <s v="MER027"/>
    <s v="Prime Digital"/>
    <n v="11768.45"/>
    <n v="117.68"/>
    <s v="Wallet"/>
    <x v="1"/>
    <s v="POS"/>
    <s v="International"/>
    <s v="Bill Payment"/>
    <s v="High Value"/>
    <x v="1"/>
  </r>
  <r>
    <s v="TXN00875"/>
    <d v="2025-12-03T18:28:11"/>
    <s v="Dec-2025"/>
    <x v="77"/>
    <n v="3403277"/>
    <s v="CARD0223"/>
    <s v="MER035"/>
    <s v="Nova Hub"/>
    <n v="29048.45"/>
    <n v="145.24"/>
    <s v="Credit Card"/>
    <x v="0"/>
    <s v="POS"/>
    <s v="International"/>
    <s v="Transfer"/>
    <s v="High Value"/>
    <x v="1"/>
  </r>
  <r>
    <s v="TXN00876"/>
    <d v="2026-10-03T16:01:17"/>
    <s v="Oct-2026"/>
    <x v="111"/>
    <n v="966778"/>
    <s v="CARD0002"/>
    <s v="MER021"/>
    <s v="Fresh Hub"/>
    <n v="6777.06"/>
    <n v="20.329999999999998"/>
    <s v="Wallet"/>
    <x v="2"/>
    <s v="Branch"/>
    <s v="International"/>
    <s v="Bill Payment"/>
    <s v="High Value"/>
    <x v="4"/>
  </r>
  <r>
    <s v="TXN00877"/>
    <d v="2025-07-03T02:23:13"/>
    <s v="Jul-2025"/>
    <x v="146"/>
    <n v="478549"/>
    <s v="CARD0088"/>
    <s v="MER041"/>
    <s v="Metro Pay"/>
    <n v="45650.22"/>
    <n v="91.3"/>
    <s v="Wallet"/>
    <x v="2"/>
    <s v="Website"/>
    <s v="Domestic"/>
    <s v="Retail Purchase"/>
    <s v="High Value"/>
    <x v="4"/>
  </r>
  <r>
    <s v="TXN00878"/>
    <d v="2025-08-26T07:45:46"/>
    <s v="Aug-2025"/>
    <x v="10"/>
    <n v="210160"/>
    <s v="CARD0176"/>
    <s v="MER020"/>
    <s v="Urban Retail"/>
    <n v="18501.3"/>
    <n v="185.01"/>
    <s v="Wallet"/>
    <x v="0"/>
    <s v="Website"/>
    <s v="Domestic"/>
    <s v="Transfer"/>
    <s v="High Value"/>
    <x v="3"/>
  </r>
  <r>
    <s v="TXN00879"/>
    <d v="2025-06-10T06:59:13"/>
    <s v="Jun-2025"/>
    <x v="119"/>
    <n v="2858269"/>
    <s v="CARD0170"/>
    <s v="MER011"/>
    <s v="Quick Pay"/>
    <n v="46007.199999999997"/>
    <n v="138.02000000000001"/>
    <s v="Debit Card"/>
    <x v="1"/>
    <s v="Branch"/>
    <s v="International"/>
    <s v="Transfer"/>
    <s v="High Value"/>
    <x v="4"/>
  </r>
  <r>
    <s v="TXN00880"/>
    <d v="2025-08-23T09:34:12"/>
    <s v="Aug-2025"/>
    <x v="176"/>
    <n v="2253271"/>
    <s v="CARD0038"/>
    <s v="MER020"/>
    <s v="Urban Retail"/>
    <n v="28371.7"/>
    <n v="141.86000000000001"/>
    <s v="Debit Card"/>
    <x v="1"/>
    <s v="POS"/>
    <s v="International"/>
    <s v="Cash Withdrawal"/>
    <s v="High Value"/>
    <x v="3"/>
  </r>
  <r>
    <s v="TXN00881"/>
    <d v="2025-11-12T15:29:04"/>
    <s v="Nov-2025"/>
    <x v="143"/>
    <n v="1693644"/>
    <s v="CARD0015"/>
    <s v="MER027"/>
    <s v="Prime Digital"/>
    <n v="33840.86"/>
    <n v="67.680000000000007"/>
    <s v="Debit Card"/>
    <x v="2"/>
    <s v="Website"/>
    <s v="International"/>
    <s v="Transfer"/>
    <s v="High Value"/>
    <x v="1"/>
  </r>
  <r>
    <s v="TXN00882"/>
    <d v="2025-01-20T07:21:44"/>
    <s v="Jan-2025"/>
    <x v="62"/>
    <n v="1352972"/>
    <s v="CARD0007"/>
    <s v="MER021"/>
    <s v="Fresh Hub"/>
    <n v="12595.68"/>
    <n v="62.98"/>
    <s v="Net Banking"/>
    <x v="2"/>
    <s v="Branch"/>
    <s v="International"/>
    <s v="Bill Payment"/>
    <s v="High Value"/>
    <x v="4"/>
  </r>
  <r>
    <s v="TXN00883"/>
    <d v="2025-08-09T22:29:04"/>
    <s v="Aug-2025"/>
    <x v="29"/>
    <n v="2802699"/>
    <s v="CARD0063"/>
    <s v="MER011"/>
    <s v="Quick Pay"/>
    <n v="30226.31"/>
    <n v="60.45"/>
    <s v="Debit Card"/>
    <x v="1"/>
    <s v="Branch"/>
    <s v="International"/>
    <s v="Retail Purchase"/>
    <s v="High Value"/>
    <x v="4"/>
  </r>
  <r>
    <s v="TXN00884"/>
    <d v="2026-02-04T17:43:57"/>
    <s v="Feb-2026"/>
    <x v="116"/>
    <n v="821062"/>
    <s v="CARD0026"/>
    <s v="MER004"/>
    <s v="Daily Digital"/>
    <n v="15065.78"/>
    <n v="150.66"/>
    <s v="Debit Card"/>
    <x v="3"/>
    <s v="POS"/>
    <s v="International"/>
    <s v="Cash Withdrawal"/>
    <s v="High Value"/>
    <x v="4"/>
  </r>
  <r>
    <s v="TXN00885"/>
    <d v="2025-10-19T04:02:33"/>
    <s v="Oct-2025"/>
    <x v="25"/>
    <n v="2152609"/>
    <s v="CARD0199"/>
    <s v="MER027"/>
    <s v="Prime Digital"/>
    <n v="28363.27"/>
    <n v="56.73"/>
    <s v="Credit Card"/>
    <x v="1"/>
    <s v="Website"/>
    <s v="International"/>
    <s v="Bill Payment"/>
    <s v="High Value"/>
    <x v="1"/>
  </r>
  <r>
    <s v="TXN00886"/>
    <d v="2026-07-30T03:12:15"/>
    <s v="Jul-2026"/>
    <x v="33"/>
    <n v="2407873"/>
    <s v="CARD0136"/>
    <s v="MER019"/>
    <s v="Metro Retail"/>
    <n v="26351.85"/>
    <n v="131.76"/>
    <s v="UPI"/>
    <x v="0"/>
    <s v="Website"/>
    <s v="Domestic"/>
    <s v="Transfer"/>
    <s v="High Value"/>
    <x v="6"/>
  </r>
  <r>
    <s v="TXN00887"/>
    <d v="2026-01-05T16:13:57"/>
    <s v="Jan-2026"/>
    <x v="90"/>
    <n v="3380711"/>
    <s v="CARD0059"/>
    <s v="MER030"/>
    <s v="Green Pay"/>
    <n v="44861.66"/>
    <n v="224.31"/>
    <s v="Debit Card"/>
    <x v="0"/>
    <s v="POS"/>
    <s v="Domestic"/>
    <s v="Transfer"/>
    <s v="High Value"/>
    <x v="8"/>
  </r>
  <r>
    <s v="TXN00888"/>
    <d v="2025-09-19T21:58:37"/>
    <s v="Sep-2025"/>
    <x v="158"/>
    <n v="1201601"/>
    <s v="CARD0106"/>
    <s v="MER028"/>
    <s v="Prime Pay"/>
    <n v="44884.25"/>
    <n v="89.77"/>
    <s v="Net Banking"/>
    <x v="0"/>
    <s v="Branch"/>
    <s v="Domestic"/>
    <s v="Retail Purchase"/>
    <s v="High Value"/>
    <x v="0"/>
  </r>
  <r>
    <s v="TXN00889"/>
    <d v="2026-06-09T13:35:52"/>
    <s v="Jun-2026"/>
    <x v="85"/>
    <n v="1922692"/>
    <s v="CARD0224"/>
    <s v="MER021"/>
    <s v="Fresh Hub"/>
    <n v="1070.46"/>
    <n v="2.14"/>
    <s v="Wallet"/>
    <x v="0"/>
    <s v="Branch"/>
    <s v="International"/>
    <s v="Transfer"/>
    <s v="Standard"/>
    <x v="4"/>
  </r>
  <r>
    <s v="TXN00890"/>
    <d v="2025-03-10T02:45:02"/>
    <s v="Mar-2025"/>
    <x v="137"/>
    <n v="2385998"/>
    <s v="CARD0041"/>
    <s v="MER033"/>
    <s v="Nova Services"/>
    <n v="33961.879999999997"/>
    <n v="67.92"/>
    <s v="UPI"/>
    <x v="3"/>
    <s v="Branch"/>
    <s v="Domestic"/>
    <s v="Retail Purchase"/>
    <s v="High Value"/>
    <x v="7"/>
  </r>
  <r>
    <s v="TXN00891"/>
    <d v="2026-03-18T10:04:49"/>
    <s v="Mar-2026"/>
    <x v="87"/>
    <n v="2445827"/>
    <s v="CARD0085"/>
    <s v="MER005"/>
    <s v="Prime Foods"/>
    <n v="27996.34"/>
    <n v="83.99"/>
    <s v="Credit Card"/>
    <x v="1"/>
    <s v="POS"/>
    <s v="International"/>
    <s v="Cash Withdrawal"/>
    <s v="High Value"/>
    <x v="6"/>
  </r>
  <r>
    <s v="TXN00892"/>
    <d v="2025-01-22T14:37:00"/>
    <s v="Jan-2025"/>
    <x v="75"/>
    <n v="832128"/>
    <s v="CARD0003"/>
    <s v="MER015"/>
    <s v="Metro Pay"/>
    <n v="34526.800000000003"/>
    <n v="345.27"/>
    <s v="Debit Card"/>
    <x v="0"/>
    <s v="Branch"/>
    <s v="Domestic"/>
    <s v="Transfer"/>
    <s v="High Value"/>
    <x v="3"/>
  </r>
  <r>
    <s v="TXN00893"/>
    <d v="2025-08-17T21:16:35"/>
    <s v="Aug-2025"/>
    <x v="104"/>
    <n v="1682577"/>
    <s v="CARD0171"/>
    <s v="MER013"/>
    <s v="Quick Retail"/>
    <n v="40504.839999999997"/>
    <n v="405.05"/>
    <s v="Wallet"/>
    <x v="0"/>
    <s v="POS"/>
    <s v="Domestic"/>
    <s v="Bill Payment"/>
    <s v="High Value"/>
    <x v="3"/>
  </r>
  <r>
    <s v="TXN00894"/>
    <d v="2025-06-01T07:30:19"/>
    <s v="Jun-2025"/>
    <x v="45"/>
    <n v="2120402"/>
    <s v="CARD0139"/>
    <s v="MER023"/>
    <s v="Smart Pay"/>
    <n v="18578.05"/>
    <n v="37.159999999999997"/>
    <s v="UPI"/>
    <x v="0"/>
    <s v="POS"/>
    <s v="International"/>
    <s v="Bill Payment"/>
    <s v="High Value"/>
    <x v="6"/>
  </r>
  <r>
    <s v="TXN00895"/>
    <d v="2025-08-02T07:20:37"/>
    <s v="Aug-2025"/>
    <x v="126"/>
    <n v="977248"/>
    <s v="CARD0240"/>
    <s v="MER014"/>
    <s v="Daily Stores"/>
    <n v="18245.48"/>
    <n v="91.23"/>
    <s v="Debit Card"/>
    <x v="0"/>
    <s v="Mobile App"/>
    <s v="Domestic"/>
    <s v="Cash Withdrawal"/>
    <s v="High Value"/>
    <x v="0"/>
  </r>
  <r>
    <s v="TXN00896"/>
    <d v="2025-05-07T13:39:26"/>
    <s v="May-2025"/>
    <x v="55"/>
    <n v="2889113"/>
    <s v="CARD0013"/>
    <s v="MER029"/>
    <s v="Fresh Hub"/>
    <n v="1622.89"/>
    <n v="4.87"/>
    <s v="Net Banking"/>
    <x v="1"/>
    <s v="Branch"/>
    <s v="Domestic"/>
    <s v="Bill Payment"/>
    <s v="Standard"/>
    <x v="4"/>
  </r>
  <r>
    <s v="TXN00897"/>
    <d v="2026-01-25T21:29:20"/>
    <s v="Jan-2026"/>
    <x v="85"/>
    <n v="1922692"/>
    <s v="CARD0234"/>
    <s v="MER038"/>
    <s v="Quick Hub"/>
    <n v="48888.52"/>
    <n v="146.66999999999999"/>
    <s v="Wallet"/>
    <x v="0"/>
    <s v="Mobile App"/>
    <s v="Domestic"/>
    <s v="Bill Payment"/>
    <s v="High Value"/>
    <x v="8"/>
  </r>
  <r>
    <s v="TXN00898"/>
    <d v="2025-05-04T17:48:28"/>
    <s v="May-2025"/>
    <x v="81"/>
    <n v="1238971"/>
    <s v="CARD0049"/>
    <s v="MER014"/>
    <s v="Daily Stores"/>
    <n v="44464.46"/>
    <n v="222.32"/>
    <s v="UPI"/>
    <x v="0"/>
    <s v="POS"/>
    <s v="International"/>
    <s v="Transfer"/>
    <s v="High Value"/>
    <x v="0"/>
  </r>
  <r>
    <s v="TXN00899"/>
    <d v="2026-06-05T04:04:39"/>
    <s v="Jun-2026"/>
    <x v="37"/>
    <n v="2820086"/>
    <s v="CARD0103"/>
    <s v="MER007"/>
    <s v="Blue Hub"/>
    <n v="56699.32"/>
    <n v="566.99"/>
    <s v="Debit Card"/>
    <x v="0"/>
    <s v="POS"/>
    <s v="International"/>
    <s v="Retail Purchase"/>
    <s v="High Value"/>
    <x v="4"/>
  </r>
  <r>
    <s v="TXN00900"/>
    <d v="2026-03-21T23:44:19"/>
    <s v="Mar-2026"/>
    <x v="87"/>
    <n v="2445827"/>
    <s v="CARD0165"/>
    <s v="MER025"/>
    <s v="Smart Pay"/>
    <n v="18111.599999999999"/>
    <n v="36.22"/>
    <s v="Net Banking"/>
    <x v="3"/>
    <s v="Mobile App"/>
    <s v="International"/>
    <s v="Transfer"/>
    <s v="High Value"/>
    <x v="2"/>
  </r>
  <r>
    <s v="TXN00901"/>
    <d v="2025-02-16T05:07:26"/>
    <s v="Feb-2025"/>
    <x v="45"/>
    <n v="2120402"/>
    <s v="CARD0133"/>
    <s v="MER010"/>
    <s v="Blue Hub"/>
    <n v="50860.15"/>
    <n v="101.72"/>
    <s v="Credit Card"/>
    <x v="0"/>
    <s v="Branch"/>
    <s v="Domestic"/>
    <s v="Retail Purchase"/>
    <s v="High Value"/>
    <x v="8"/>
  </r>
  <r>
    <s v="TXN00902"/>
    <d v="2026-09-03T07:38:22"/>
    <s v="Sep-2026"/>
    <x v="160"/>
    <n v="669374"/>
    <s v="CARD0107"/>
    <s v="MER011"/>
    <s v="Quick Pay"/>
    <n v="51994.07"/>
    <n v="259.97000000000003"/>
    <s v="Net Banking"/>
    <x v="2"/>
    <s v="Website"/>
    <s v="Domestic"/>
    <s v="Bill Payment"/>
    <s v="High Value"/>
    <x v="4"/>
  </r>
  <r>
    <s v="TXN00903"/>
    <d v="2025-07-05T13:17:30"/>
    <s v="Jul-2025"/>
    <x v="35"/>
    <n v="3422483"/>
    <s v="CARD0128"/>
    <s v="MER014"/>
    <s v="Daily Stores"/>
    <n v="52756.74"/>
    <n v="158.27000000000001"/>
    <s v="Debit Card"/>
    <x v="0"/>
    <s v="Branch"/>
    <s v="International"/>
    <s v="Transfer"/>
    <s v="High Value"/>
    <x v="0"/>
  </r>
  <r>
    <s v="TXN00904"/>
    <d v="2026-09-29T11:41:23"/>
    <s v="Sep-2026"/>
    <x v="71"/>
    <n v="2635050"/>
    <s v="CARD0009"/>
    <s v="MER010"/>
    <s v="Blue Hub"/>
    <n v="1805.84"/>
    <n v="3.61"/>
    <s v="Net Banking"/>
    <x v="0"/>
    <s v="Mobile App"/>
    <s v="International"/>
    <s v="Bill Payment"/>
    <s v="Standard"/>
    <x v="8"/>
  </r>
  <r>
    <s v="TXN00905"/>
    <d v="2025-06-11T03:38:42"/>
    <s v="Jun-2025"/>
    <x v="37"/>
    <n v="2820086"/>
    <s v="CARD0017"/>
    <s v="MER008"/>
    <s v="Daily Services"/>
    <n v="994.81"/>
    <n v="1.99"/>
    <s v="Net Banking"/>
    <x v="1"/>
    <s v="Branch"/>
    <s v="International"/>
    <s v="Cash Withdrawal"/>
    <s v="Standard"/>
    <x v="5"/>
  </r>
  <r>
    <s v="TXN00906"/>
    <d v="2025-05-18T21:57:51"/>
    <s v="May-2025"/>
    <x v="71"/>
    <n v="2635050"/>
    <s v="CARD0231"/>
    <s v="MER017"/>
    <s v="Quick Services"/>
    <n v="48584.56"/>
    <n v="485.85"/>
    <s v="Credit Card"/>
    <x v="0"/>
    <s v="POS"/>
    <s v="International"/>
    <s v="Retail Purchase"/>
    <s v="High Value"/>
    <x v="5"/>
  </r>
  <r>
    <s v="TXN00907"/>
    <d v="2026-05-05T17:56:32"/>
    <s v="May-2026"/>
    <x v="45"/>
    <n v="2120402"/>
    <s v="CARD0057"/>
    <s v="MER033"/>
    <s v="Nova Services"/>
    <n v="44948.26"/>
    <n v="134.84"/>
    <s v="Credit Card"/>
    <x v="1"/>
    <s v="Website"/>
    <s v="Domestic"/>
    <s v="Retail Purchase"/>
    <s v="High Value"/>
    <x v="7"/>
  </r>
  <r>
    <s v="TXN00908"/>
    <d v="2025-04-08T14:42:11"/>
    <s v="Apr-2025"/>
    <x v="89"/>
    <n v="1275615"/>
    <s v="CARD0065"/>
    <s v="MER012"/>
    <s v="Daily Hub"/>
    <n v="17009.759999999998"/>
    <n v="51.03"/>
    <s v="Debit Card"/>
    <x v="0"/>
    <s v="POS"/>
    <s v="International"/>
    <s v="Transfer"/>
    <s v="High Value"/>
    <x v="2"/>
  </r>
  <r>
    <s v="TXN00909"/>
    <d v="2025-05-15T11:56:24"/>
    <s v="May-2025"/>
    <x v="139"/>
    <n v="3081565"/>
    <s v="CARD0162"/>
    <s v="MER004"/>
    <s v="Daily Digital"/>
    <n v="25379.06"/>
    <n v="50.76"/>
    <s v="Credit Card"/>
    <x v="2"/>
    <s v="Website"/>
    <s v="Domestic"/>
    <s v="Bill Payment"/>
    <s v="High Value"/>
    <x v="4"/>
  </r>
  <r>
    <s v="TXN00910"/>
    <d v="2025-02-04T08:39:32"/>
    <s v="Feb-2025"/>
    <x v="82"/>
    <n v="666210"/>
    <s v="CARD0220"/>
    <s v="MER023"/>
    <s v="Smart Pay"/>
    <n v="9796.92"/>
    <n v="97.97"/>
    <s v="Credit Card"/>
    <x v="0"/>
    <s v="Branch"/>
    <s v="International"/>
    <s v="Bill Payment"/>
    <s v="High Value"/>
    <x v="6"/>
  </r>
  <r>
    <s v="TXN00911"/>
    <d v="2026-04-10T22:37:16"/>
    <s v="Apr-2026"/>
    <x v="104"/>
    <n v="1682577"/>
    <s v="CARD0197"/>
    <s v="MER033"/>
    <s v="Nova Services"/>
    <n v="15842"/>
    <n v="79.209999999999994"/>
    <s v="Debit Card"/>
    <x v="0"/>
    <s v="POS"/>
    <s v="Domestic"/>
    <s v="Transfer"/>
    <s v="High Value"/>
    <x v="7"/>
  </r>
  <r>
    <s v="TXN00912"/>
    <d v="2025-12-16T17:44:38"/>
    <s v="Dec-2025"/>
    <x v="47"/>
    <n v="1864504"/>
    <s v="CARD0220"/>
    <s v="MER022"/>
    <s v="Urban Stores"/>
    <n v="46343.27"/>
    <n v="92.69"/>
    <s v="Wallet"/>
    <x v="0"/>
    <s v="POS"/>
    <s v="Domestic"/>
    <s v="Transfer"/>
    <s v="High Value"/>
    <x v="6"/>
  </r>
  <r>
    <s v="TXN00913"/>
    <d v="2026-03-13T23:23:06"/>
    <s v="Mar-2026"/>
    <x v="22"/>
    <n v="1629916"/>
    <s v="CARD0250"/>
    <s v="MER030"/>
    <s v="Green Pay"/>
    <n v="1622.3"/>
    <n v="3.24"/>
    <s v="UPI"/>
    <x v="0"/>
    <s v="Mobile App"/>
    <s v="International"/>
    <s v="Bill Payment"/>
    <s v="Standard"/>
    <x v="8"/>
  </r>
  <r>
    <s v="TXN00914"/>
    <d v="2025-12-22T11:10:43"/>
    <s v="Dec-2025"/>
    <x v="85"/>
    <n v="1922692"/>
    <s v="CARD0047"/>
    <s v="MER026"/>
    <s v="Metro Services"/>
    <n v="27208.63"/>
    <n v="54.42"/>
    <s v="Wallet"/>
    <x v="0"/>
    <s v="Website"/>
    <s v="Domestic"/>
    <s v="Bill Payment"/>
    <s v="High Value"/>
    <x v="0"/>
  </r>
  <r>
    <s v="TXN00915"/>
    <d v="2025-01-18T07:14:01"/>
    <s v="Jan-2025"/>
    <x v="41"/>
    <n v="2107578"/>
    <s v="CARD0221"/>
    <s v="MER034"/>
    <s v="Urban Retail"/>
    <n v="44031.4"/>
    <n v="132.09"/>
    <s v="Wallet"/>
    <x v="0"/>
    <s v="Mobile App"/>
    <s v="International"/>
    <s v="Bill Payment"/>
    <s v="High Value"/>
    <x v="8"/>
  </r>
  <r>
    <s v="TXN00916"/>
    <d v="2026-06-28T06:04:16"/>
    <s v="Jun-2026"/>
    <x v="73"/>
    <n v="596723"/>
    <s v="CARD0163"/>
    <s v="MER040"/>
    <s v="Blue Retail"/>
    <n v="22530.880000000001"/>
    <n v="67.59"/>
    <s v="Credit Card"/>
    <x v="0"/>
    <s v="Website"/>
    <s v="International"/>
    <s v="Bill Payment"/>
    <s v="High Value"/>
    <x v="4"/>
  </r>
  <r>
    <s v="TXN00917"/>
    <d v="2025-10-13T01:46:51"/>
    <s v="Oct-2025"/>
    <x v="38"/>
    <n v="1621823"/>
    <s v="CARD0231"/>
    <s v="MER034"/>
    <s v="Urban Retail"/>
    <n v="57547.5"/>
    <n v="287.74"/>
    <s v="Net Banking"/>
    <x v="3"/>
    <s v="Branch"/>
    <s v="International"/>
    <s v="Transfer"/>
    <s v="High Value"/>
    <x v="8"/>
  </r>
  <r>
    <s v="TXN00918"/>
    <d v="2025-05-20T10:55:20"/>
    <s v="May-2025"/>
    <x v="124"/>
    <n v="932293"/>
    <s v="CARD0237"/>
    <s v="MER040"/>
    <s v="Blue Retail"/>
    <n v="121.18"/>
    <n v="0.61"/>
    <s v="Wallet"/>
    <x v="0"/>
    <s v="Mobile App"/>
    <s v="Domestic"/>
    <s v="Cash Withdrawal"/>
    <s v="Standard"/>
    <x v="4"/>
  </r>
  <r>
    <s v="TXN00919"/>
    <d v="2025-05-24T05:14:07"/>
    <s v="May-2025"/>
    <x v="149"/>
    <n v="1234463"/>
    <s v="CARD0202"/>
    <s v="MER011"/>
    <s v="Quick Pay"/>
    <n v="28907.83"/>
    <n v="86.72"/>
    <s v="Net Banking"/>
    <x v="0"/>
    <s v="Branch"/>
    <s v="Domestic"/>
    <s v="Bill Payment"/>
    <s v="High Value"/>
    <x v="4"/>
  </r>
  <r>
    <s v="TXN00920"/>
    <d v="2025-12-25T02:34:04"/>
    <s v="Dec-2025"/>
    <x v="109"/>
    <n v="3368543"/>
    <s v="CARD0032"/>
    <s v="MER038"/>
    <s v="Quick Hub"/>
    <n v="13655.67"/>
    <n v="40.97"/>
    <s v="Credit Card"/>
    <x v="3"/>
    <s v="Website"/>
    <s v="International"/>
    <s v="Bill Payment"/>
    <s v="High Value"/>
    <x v="8"/>
  </r>
  <r>
    <s v="TXN00921"/>
    <d v="2025-10-10T11:55:22"/>
    <s v="Oct-2025"/>
    <x v="42"/>
    <n v="3303519"/>
    <s v="CARD0027"/>
    <s v="MER041"/>
    <s v="Metro Pay"/>
    <n v="745.07"/>
    <n v="3.73"/>
    <s v="Wallet"/>
    <x v="0"/>
    <s v="Branch"/>
    <s v="Domestic"/>
    <s v="Cash Withdrawal"/>
    <s v="Standard"/>
    <x v="4"/>
  </r>
  <r>
    <s v="TXN00922"/>
    <d v="2025-11-02T04:32:46"/>
    <s v="Nov-2025"/>
    <x v="50"/>
    <n v="2083055"/>
    <s v="CARD0226"/>
    <s v="MER022"/>
    <s v="Urban Stores"/>
    <n v="32521.439999999999"/>
    <n v="97.56"/>
    <s v="Debit Card"/>
    <x v="0"/>
    <s v="Mobile App"/>
    <s v="International"/>
    <s v="Transfer"/>
    <s v="High Value"/>
    <x v="6"/>
  </r>
  <r>
    <s v="TXN00923"/>
    <d v="2025-04-26T22:49:28"/>
    <s v="Apr-2025"/>
    <x v="123"/>
    <n v="2445562"/>
    <s v="CARD0058"/>
    <s v="MER034"/>
    <s v="Urban Retail"/>
    <n v="28044.89"/>
    <n v="280.45"/>
    <s v="UPI"/>
    <x v="0"/>
    <s v="Mobile App"/>
    <s v="International"/>
    <s v="Bill Payment"/>
    <s v="High Value"/>
    <x v="8"/>
  </r>
  <r>
    <s v="TXN00924"/>
    <d v="2026-05-22T15:44:45"/>
    <s v="May-2026"/>
    <x v="68"/>
    <n v="739264"/>
    <s v="CARD0232"/>
    <s v="MER017"/>
    <s v="Quick Services"/>
    <n v="25358.28"/>
    <n v="126.79"/>
    <s v="Wallet"/>
    <x v="2"/>
    <s v="POS"/>
    <s v="International"/>
    <s v="Transfer"/>
    <s v="High Value"/>
    <x v="5"/>
  </r>
  <r>
    <s v="TXN00925"/>
    <d v="2026-01-01T03:01:31"/>
    <s v="Jan-2026"/>
    <x v="134"/>
    <n v="984635"/>
    <s v="CARD0150"/>
    <s v="MER032"/>
    <s v="Urban Digital"/>
    <n v="874.27"/>
    <n v="8.74"/>
    <s v="Credit Card"/>
    <x v="2"/>
    <s v="Branch"/>
    <s v="International"/>
    <s v="Retail Purchase"/>
    <s v="Standard"/>
    <x v="8"/>
  </r>
  <r>
    <s v="TXN00926"/>
    <d v="2026-05-15T20:24:48"/>
    <s v="May-2026"/>
    <x v="127"/>
    <n v="1771551"/>
    <s v="CARD0155"/>
    <s v="MER007"/>
    <s v="Blue Hub"/>
    <n v="36437.769999999997"/>
    <n v="364.38"/>
    <s v="Wallet"/>
    <x v="0"/>
    <s v="Mobile App"/>
    <s v="Domestic"/>
    <s v="Retail Purchase"/>
    <s v="High Value"/>
    <x v="4"/>
  </r>
  <r>
    <s v="TXN00927"/>
    <d v="2025-09-02T13:07:57"/>
    <s v="Sep-2025"/>
    <x v="149"/>
    <n v="1234463"/>
    <s v="CARD0184"/>
    <s v="MER003"/>
    <s v="Fresh Mart"/>
    <n v="34849.31"/>
    <n v="348.49"/>
    <s v="Debit Card"/>
    <x v="2"/>
    <s v="Branch"/>
    <s v="International"/>
    <s v="Retail Purchase"/>
    <s v="High Value"/>
    <x v="7"/>
  </r>
  <r>
    <s v="TXN00928"/>
    <d v="2026-02-13T22:52:08"/>
    <s v="Feb-2026"/>
    <x v="159"/>
    <n v="1134604"/>
    <s v="CARD0146"/>
    <s v="MER012"/>
    <s v="Daily Hub"/>
    <n v="44688.74"/>
    <n v="89.38"/>
    <s v="UPI"/>
    <x v="0"/>
    <s v="POS"/>
    <s v="Domestic"/>
    <s v="Transfer"/>
    <s v="High Value"/>
    <x v="2"/>
  </r>
  <r>
    <s v="TXN00929"/>
    <d v="2026-02-27T01:01:59"/>
    <s v="Feb-2026"/>
    <x v="164"/>
    <n v="2006565"/>
    <s v="CARD0210"/>
    <s v="MER044"/>
    <s v="Blue Foods"/>
    <n v="43770.54"/>
    <n v="218.85"/>
    <s v="Debit Card"/>
    <x v="1"/>
    <s v="POS"/>
    <s v="Domestic"/>
    <s v="Transfer"/>
    <s v="High Value"/>
    <x v="5"/>
  </r>
  <r>
    <s v="TXN00930"/>
    <d v="2026-04-02T01:44:25"/>
    <s v="Apr-2026"/>
    <x v="148"/>
    <n v="1840046"/>
    <s v="CARD0054"/>
    <s v="MER036"/>
    <s v="Green Foods"/>
    <n v="19538.29"/>
    <n v="97.69"/>
    <s v="Wallet"/>
    <x v="2"/>
    <s v="POS"/>
    <s v="International"/>
    <s v="Transfer"/>
    <s v="High Value"/>
    <x v="3"/>
  </r>
  <r>
    <s v="TXN00931"/>
    <d v="2025-06-26T18:11:54"/>
    <s v="Jun-2025"/>
    <x v="130"/>
    <n v="749164"/>
    <s v="CARD0213"/>
    <s v="MER020"/>
    <s v="Urban Retail"/>
    <n v="51413.120000000003"/>
    <n v="154.24"/>
    <s v="UPI"/>
    <x v="0"/>
    <s v="Mobile App"/>
    <s v="International"/>
    <s v="Transfer"/>
    <s v="High Value"/>
    <x v="3"/>
  </r>
  <r>
    <s v="TXN00932"/>
    <d v="2026-09-29T18:06:08"/>
    <s v="Sep-2026"/>
    <x v="77"/>
    <n v="3403277"/>
    <s v="CARD0220"/>
    <s v="MER032"/>
    <s v="Urban Digital"/>
    <n v="38404.550000000003"/>
    <n v="115.21"/>
    <s v="Debit Card"/>
    <x v="2"/>
    <s v="POS"/>
    <s v="International"/>
    <s v="Transfer"/>
    <s v="High Value"/>
    <x v="8"/>
  </r>
  <r>
    <s v="TXN00933"/>
    <d v="2025-06-13T06:08:11"/>
    <s v="Jun-2025"/>
    <x v="85"/>
    <n v="1922692"/>
    <s v="CARD0180"/>
    <s v="MER042"/>
    <s v="Blue Digital"/>
    <n v="19433.310000000001"/>
    <n v="97.17"/>
    <s v="Wallet"/>
    <x v="0"/>
    <s v="POS"/>
    <s v="Domestic"/>
    <s v="Cash Withdrawal"/>
    <s v="High Value"/>
    <x v="7"/>
  </r>
  <r>
    <s v="TXN00934"/>
    <d v="2026-09-26T02:45:52"/>
    <s v="Sep-2026"/>
    <x v="77"/>
    <n v="3403277"/>
    <s v="CARD0038"/>
    <s v="MER022"/>
    <s v="Urban Stores"/>
    <n v="11997.31"/>
    <n v="119.97"/>
    <s v="Wallet"/>
    <x v="0"/>
    <s v="POS"/>
    <s v="International"/>
    <s v="Bill Payment"/>
    <s v="High Value"/>
    <x v="6"/>
  </r>
  <r>
    <s v="TXN00935"/>
    <d v="2026-01-30T03:46:22"/>
    <s v="Jan-2026"/>
    <x v="36"/>
    <n v="1555758"/>
    <s v="CARD0146"/>
    <s v="MER006"/>
    <s v="Nova Pay"/>
    <n v="50716.07"/>
    <n v="253.58"/>
    <s v="Debit Card"/>
    <x v="2"/>
    <s v="Website"/>
    <s v="International"/>
    <s v="Retail Purchase"/>
    <s v="High Value"/>
    <x v="2"/>
  </r>
  <r>
    <s v="TXN00936"/>
    <d v="2025-09-09T19:57:05"/>
    <s v="Sep-2025"/>
    <x v="14"/>
    <n v="3108672"/>
    <s v="CARD0058"/>
    <s v="MER045"/>
    <s v="Blue Services"/>
    <n v="9385.2099999999991"/>
    <n v="18.77"/>
    <s v="Credit Card"/>
    <x v="3"/>
    <s v="Website"/>
    <s v="Domestic"/>
    <s v="Cash Withdrawal"/>
    <s v="High Value"/>
    <x v="0"/>
  </r>
  <r>
    <s v="TXN00937"/>
    <d v="2025-08-10T05:17:34"/>
    <s v="Aug-2025"/>
    <x v="119"/>
    <n v="2858269"/>
    <s v="CARD0124"/>
    <s v="MER029"/>
    <s v="Fresh Hub"/>
    <n v="843.86"/>
    <n v="1.69"/>
    <s v="Net Banking"/>
    <x v="0"/>
    <s v="Website"/>
    <s v="International"/>
    <s v="Bill Payment"/>
    <s v="Standard"/>
    <x v="4"/>
  </r>
  <r>
    <s v="TXN00938"/>
    <d v="2026-06-16T21:08:59"/>
    <s v="Jun-2026"/>
    <x v="151"/>
    <n v="1122211"/>
    <s v="CARD0181"/>
    <s v="MER024"/>
    <s v="Metro Stores"/>
    <n v="24037.05"/>
    <n v="240.37"/>
    <s v="Debit Card"/>
    <x v="0"/>
    <s v="Branch"/>
    <s v="International"/>
    <s v="Transfer"/>
    <s v="High Value"/>
    <x v="4"/>
  </r>
  <r>
    <s v="TXN00939"/>
    <d v="2025-08-29T11:39:23"/>
    <s v="Aug-2025"/>
    <x v="63"/>
    <n v="2087147"/>
    <s v="CARD0221"/>
    <s v="MER045"/>
    <s v="Blue Services"/>
    <n v="32468.11"/>
    <n v="97.4"/>
    <s v="Credit Card"/>
    <x v="0"/>
    <s v="Website"/>
    <s v="Domestic"/>
    <s v="Cash Withdrawal"/>
    <s v="High Value"/>
    <x v="0"/>
  </r>
  <r>
    <s v="TXN00940"/>
    <d v="2026-07-03T11:24:49"/>
    <s v="Jul-2026"/>
    <x v="12"/>
    <n v="1636278"/>
    <s v="CARD0184"/>
    <s v="MER045"/>
    <s v="Blue Services"/>
    <n v="6377.98"/>
    <n v="19.13"/>
    <s v="Wallet"/>
    <x v="1"/>
    <s v="Website"/>
    <s v="International"/>
    <s v="Transfer"/>
    <s v="High Value"/>
    <x v="0"/>
  </r>
  <r>
    <s v="TXN00941"/>
    <d v="2026-08-12T01:56:13"/>
    <s v="Aug-2026"/>
    <x v="145"/>
    <n v="2143143"/>
    <s v="CARD0245"/>
    <s v="MER011"/>
    <s v="Quick Pay"/>
    <n v="27668.31"/>
    <n v="276.68"/>
    <s v="UPI"/>
    <x v="0"/>
    <s v="Branch"/>
    <s v="Domestic"/>
    <s v="Transfer"/>
    <s v="High Value"/>
    <x v="4"/>
  </r>
  <r>
    <s v="TXN00942"/>
    <d v="2026-05-04T05:23:02"/>
    <s v="May-2026"/>
    <x v="120"/>
    <n v="842597"/>
    <s v="CARD0065"/>
    <s v="MER002"/>
    <s v="Daily Stores"/>
    <n v="3920.23"/>
    <n v="19.600000000000001"/>
    <s v="Wallet"/>
    <x v="0"/>
    <s v="Branch"/>
    <s v="International"/>
    <s v="Bill Payment"/>
    <s v="High Value"/>
    <x v="6"/>
  </r>
  <r>
    <s v="TXN00943"/>
    <d v="2026-02-10T07:50:07"/>
    <s v="Feb-2026"/>
    <x v="72"/>
    <n v="3456728"/>
    <s v="CARD0060"/>
    <s v="MER037"/>
    <s v="Metro Pay"/>
    <n v="39741.870000000003"/>
    <n v="198.71"/>
    <s v="Wallet"/>
    <x v="0"/>
    <s v="Branch"/>
    <s v="Domestic"/>
    <s v="Transfer"/>
    <s v="High Value"/>
    <x v="2"/>
  </r>
  <r>
    <s v="TXN00944"/>
    <d v="2025-01-07T22:11:40"/>
    <s v="Jan-2025"/>
    <x v="50"/>
    <n v="2083055"/>
    <s v="CARD0158"/>
    <s v="MER005"/>
    <s v="Prime Foods"/>
    <n v="3272.96"/>
    <n v="6.55"/>
    <s v="Wallet"/>
    <x v="2"/>
    <s v="Branch"/>
    <s v="Domestic"/>
    <s v="Bill Payment"/>
    <s v="High Value"/>
    <x v="6"/>
  </r>
  <r>
    <s v="TXN00945"/>
    <d v="2025-09-12T21:54:03"/>
    <s v="Sep-2025"/>
    <x v="35"/>
    <n v="3422483"/>
    <s v="CARD0167"/>
    <s v="MER032"/>
    <s v="Urban Digital"/>
    <n v="46446.68"/>
    <n v="139.34"/>
    <s v="UPI"/>
    <x v="3"/>
    <s v="POS"/>
    <s v="Domestic"/>
    <s v="Retail Purchase"/>
    <s v="High Value"/>
    <x v="8"/>
  </r>
  <r>
    <s v="TXN00946"/>
    <d v="2026-02-18T20:53:55"/>
    <s v="Feb-2026"/>
    <x v="55"/>
    <n v="2889113"/>
    <s v="CARD0179"/>
    <s v="MER031"/>
    <s v="Daily Digital"/>
    <n v="42085.62"/>
    <n v="420.86"/>
    <s v="Credit Card"/>
    <x v="2"/>
    <s v="POS"/>
    <s v="Domestic"/>
    <s v="Retail Purchase"/>
    <s v="High Value"/>
    <x v="3"/>
  </r>
  <r>
    <s v="TXN00947"/>
    <d v="2025-11-15T12:55:51"/>
    <s v="Nov-2025"/>
    <x v="21"/>
    <n v="1483380"/>
    <s v="CARD0024"/>
    <s v="MER012"/>
    <s v="Daily Hub"/>
    <n v="10726.92"/>
    <n v="53.63"/>
    <s v="Debit Card"/>
    <x v="0"/>
    <s v="Branch"/>
    <s v="Domestic"/>
    <s v="Bill Payment"/>
    <s v="High Value"/>
    <x v="2"/>
  </r>
  <r>
    <s v="TXN00948"/>
    <d v="2025-12-26T23:33:53"/>
    <s v="Dec-2025"/>
    <x v="42"/>
    <n v="3303519"/>
    <s v="CARD0066"/>
    <s v="MER002"/>
    <s v="Daily Stores"/>
    <n v="38017.14"/>
    <n v="76.03"/>
    <s v="Wallet"/>
    <x v="0"/>
    <s v="Mobile App"/>
    <s v="Domestic"/>
    <s v="Transfer"/>
    <s v="High Value"/>
    <x v="6"/>
  </r>
  <r>
    <s v="TXN00949"/>
    <d v="2025-04-08T06:08:07"/>
    <s v="Apr-2025"/>
    <x v="135"/>
    <n v="544647"/>
    <s v="CARD0084"/>
    <s v="MER025"/>
    <s v="Smart Pay"/>
    <n v="203.56"/>
    <n v="0.41"/>
    <s v="Debit Card"/>
    <x v="3"/>
    <s v="Mobile App"/>
    <s v="International"/>
    <s v="Retail Purchase"/>
    <s v="Standard"/>
    <x v="2"/>
  </r>
  <r>
    <s v="TXN00950"/>
    <d v="2025-06-26T06:51:44"/>
    <s v="Jun-2025"/>
    <x v="106"/>
    <n v="498752"/>
    <s v="CARD0025"/>
    <s v="MER044"/>
    <s v="Blue Foods"/>
    <n v="38225.26"/>
    <n v="114.68"/>
    <s v="Credit Card"/>
    <x v="0"/>
    <s v="POS"/>
    <s v="Domestic"/>
    <s v="Cash Withdrawal"/>
    <s v="High Value"/>
    <x v="5"/>
  </r>
  <r>
    <s v="TXN00951"/>
    <d v="2025-07-01T18:28:16"/>
    <s v="Jul-2025"/>
    <x v="76"/>
    <n v="1164822"/>
    <s v="CARD0010"/>
    <s v="MER035"/>
    <s v="Nova Hub"/>
    <n v="9016.1"/>
    <n v="18.03"/>
    <s v="UPI"/>
    <x v="1"/>
    <s v="POS"/>
    <s v="International"/>
    <s v="Retail Purchase"/>
    <s v="High Value"/>
    <x v="1"/>
  </r>
  <r>
    <s v="TXN00952"/>
    <d v="2025-12-24T06:34:07"/>
    <s v="Dec-2025"/>
    <x v="21"/>
    <n v="1483380"/>
    <s v="CARD0050"/>
    <s v="MER039"/>
    <s v="Fresh Foods"/>
    <n v="35447.370000000003"/>
    <n v="70.89"/>
    <s v="Credit Card"/>
    <x v="0"/>
    <s v="POS"/>
    <s v="International"/>
    <s v="Cash Withdrawal"/>
    <s v="High Value"/>
    <x v="4"/>
  </r>
  <r>
    <s v="TXN00953"/>
    <d v="2026-04-04T04:14:14"/>
    <s v="Apr-2026"/>
    <x v="15"/>
    <n v="1202837"/>
    <s v="CARD0037"/>
    <s v="MER016"/>
    <s v="Blue Foods"/>
    <n v="40155.43"/>
    <n v="120.47"/>
    <s v="Net Banking"/>
    <x v="0"/>
    <s v="Website"/>
    <s v="International"/>
    <s v="Retail Purchase"/>
    <s v="High Value"/>
    <x v="0"/>
  </r>
  <r>
    <s v="TXN00954"/>
    <d v="2026-01-02T02:08:03"/>
    <s v="Jan-2026"/>
    <x v="59"/>
    <n v="971265"/>
    <s v="CARD0024"/>
    <s v="MER043"/>
    <s v="Metro Pay"/>
    <n v="55004.97"/>
    <n v="110.01"/>
    <s v="Debit Card"/>
    <x v="3"/>
    <s v="Branch"/>
    <s v="Domestic"/>
    <s v="Transfer"/>
    <s v="High Value"/>
    <x v="0"/>
  </r>
  <r>
    <s v="TXN00955"/>
    <d v="2025-11-25T04:55:57"/>
    <s v="Nov-2025"/>
    <x v="143"/>
    <n v="1693644"/>
    <s v="CARD0112"/>
    <s v="MER025"/>
    <s v="Smart Pay"/>
    <n v="26929.48"/>
    <n v="269.29000000000002"/>
    <s v="UPI"/>
    <x v="0"/>
    <s v="Branch"/>
    <s v="Domestic"/>
    <s v="Cash Withdrawal"/>
    <s v="High Value"/>
    <x v="2"/>
  </r>
  <r>
    <s v="TXN00956"/>
    <d v="2025-04-17T11:42:21"/>
    <s v="Apr-2025"/>
    <x v="21"/>
    <n v="1483380"/>
    <s v="CARD0202"/>
    <s v="MER019"/>
    <s v="Metro Retail"/>
    <n v="33719.050000000003"/>
    <n v="168.6"/>
    <s v="UPI"/>
    <x v="0"/>
    <s v="Mobile App"/>
    <s v="Domestic"/>
    <s v="Retail Purchase"/>
    <s v="High Value"/>
    <x v="6"/>
  </r>
  <r>
    <s v="TXN00957"/>
    <d v="2025-11-11T21:23:20"/>
    <s v="Nov-2025"/>
    <x v="158"/>
    <n v="1201601"/>
    <s v="CARD0081"/>
    <s v="MER004"/>
    <s v="Daily Digital"/>
    <n v="44896.3"/>
    <n v="134.69"/>
    <s v="Wallet"/>
    <x v="0"/>
    <s v="Mobile App"/>
    <s v="Domestic"/>
    <s v="Transfer"/>
    <s v="High Value"/>
    <x v="4"/>
  </r>
  <r>
    <s v="TXN00958"/>
    <d v="2026-01-30T06:51:12"/>
    <s v="Jan-2026"/>
    <x v="156"/>
    <n v="2693971"/>
    <s v="CARD0135"/>
    <s v="MER012"/>
    <s v="Daily Hub"/>
    <n v="21170.76"/>
    <n v="211.71"/>
    <s v="Wallet"/>
    <x v="0"/>
    <s v="POS"/>
    <s v="Domestic"/>
    <s v="Bill Payment"/>
    <s v="High Value"/>
    <x v="2"/>
  </r>
  <r>
    <s v="TXN00959"/>
    <d v="2025-04-12T16:38:50"/>
    <s v="Apr-2025"/>
    <x v="50"/>
    <n v="2083055"/>
    <s v="CARD0183"/>
    <s v="MER014"/>
    <s v="Daily Stores"/>
    <n v="57002.86"/>
    <n v="285.01"/>
    <s v="Net Banking"/>
    <x v="1"/>
    <s v="Website"/>
    <s v="Domestic"/>
    <s v="Retail Purchase"/>
    <s v="High Value"/>
    <x v="0"/>
  </r>
  <r>
    <s v="TXN00960"/>
    <d v="2026-01-26T07:30:04"/>
    <s v="Jan-2026"/>
    <x v="135"/>
    <n v="544647"/>
    <s v="CARD0232"/>
    <s v="MER016"/>
    <s v="Blue Foods"/>
    <n v="54029.21"/>
    <n v="270.14999999999998"/>
    <s v="Debit Card"/>
    <x v="0"/>
    <s v="Website"/>
    <s v="International"/>
    <s v="Bill Payment"/>
    <s v="High Value"/>
    <x v="0"/>
  </r>
  <r>
    <s v="TXN00961"/>
    <d v="2026-01-16T14:38:05"/>
    <s v="Jan-2026"/>
    <x v="76"/>
    <n v="1164822"/>
    <s v="CARD0172"/>
    <s v="MER017"/>
    <s v="Quick Services"/>
    <n v="2780.93"/>
    <n v="8.34"/>
    <s v="Net Banking"/>
    <x v="0"/>
    <s v="POS"/>
    <s v="Domestic"/>
    <s v="Transfer"/>
    <s v="High Value"/>
    <x v="5"/>
  </r>
  <r>
    <s v="TXN00962"/>
    <d v="2026-02-24T00:22:20"/>
    <s v="Feb-2026"/>
    <x v="131"/>
    <n v="1579037"/>
    <s v="CARD0210"/>
    <s v="MER032"/>
    <s v="Urban Digital"/>
    <n v="25011.65"/>
    <n v="125.06"/>
    <s v="Debit Card"/>
    <x v="0"/>
    <s v="Mobile App"/>
    <s v="International"/>
    <s v="Retail Purchase"/>
    <s v="High Value"/>
    <x v="8"/>
  </r>
  <r>
    <s v="TXN00963"/>
    <d v="2026-04-05T04:41:33"/>
    <s v="Apr-2026"/>
    <x v="91"/>
    <n v="586557"/>
    <s v="CARD0041"/>
    <s v="MER032"/>
    <s v="Urban Digital"/>
    <n v="39811.49"/>
    <n v="79.62"/>
    <s v="UPI"/>
    <x v="0"/>
    <s v="Website"/>
    <s v="International"/>
    <s v="Bill Payment"/>
    <s v="High Value"/>
    <x v="8"/>
  </r>
  <r>
    <s v="TXN00964"/>
    <d v="2025-09-20T14:29:53"/>
    <s v="Sep-2025"/>
    <x v="60"/>
    <n v="2336527"/>
    <s v="CARD0195"/>
    <s v="MER008"/>
    <s v="Daily Services"/>
    <n v="17159.93"/>
    <n v="85.8"/>
    <s v="Net Banking"/>
    <x v="0"/>
    <s v="Website"/>
    <s v="Domestic"/>
    <s v="Cash Withdrawal"/>
    <s v="High Value"/>
    <x v="5"/>
  </r>
  <r>
    <s v="TXN00965"/>
    <d v="2025-07-25T04:37:41"/>
    <s v="Jul-2025"/>
    <x v="60"/>
    <n v="2336527"/>
    <s v="CARD0029"/>
    <s v="MER015"/>
    <s v="Metro Pay"/>
    <n v="31141.71"/>
    <n v="311.42"/>
    <s v="UPI"/>
    <x v="0"/>
    <s v="Branch"/>
    <s v="Domestic"/>
    <s v="Retail Purchase"/>
    <s v="High Value"/>
    <x v="3"/>
  </r>
  <r>
    <s v="TXN00966"/>
    <d v="2025-03-11T08:48:06"/>
    <s v="Mar-2025"/>
    <x v="146"/>
    <n v="478549"/>
    <s v="CARD0153"/>
    <s v="MER003"/>
    <s v="Fresh Mart"/>
    <n v="26213.32"/>
    <n v="78.64"/>
    <s v="Wallet"/>
    <x v="0"/>
    <s v="Website"/>
    <s v="Domestic"/>
    <s v="Transfer"/>
    <s v="High Value"/>
    <x v="7"/>
  </r>
  <r>
    <s v="TXN00967"/>
    <d v="2025-02-14T20:42:33"/>
    <s v="Feb-2025"/>
    <x v="61"/>
    <n v="2458421"/>
    <s v="CARD0090"/>
    <s v="MER030"/>
    <s v="Green Pay"/>
    <n v="951.25"/>
    <n v="4.76"/>
    <s v="Credit Card"/>
    <x v="0"/>
    <s v="Mobile App"/>
    <s v="International"/>
    <s v="Cash Withdrawal"/>
    <s v="Standard"/>
    <x v="8"/>
  </r>
  <r>
    <s v="TXN00968"/>
    <d v="2025-06-06T10:37:27"/>
    <s v="Jun-2025"/>
    <x v="27"/>
    <n v="1180530"/>
    <s v="CARD0169"/>
    <s v="MER029"/>
    <s v="Fresh Hub"/>
    <n v="30385.119999999999"/>
    <n v="91.16"/>
    <s v="UPI"/>
    <x v="0"/>
    <s v="Branch"/>
    <s v="Domestic"/>
    <s v="Bill Payment"/>
    <s v="High Value"/>
    <x v="4"/>
  </r>
  <r>
    <s v="TXN00969"/>
    <d v="2026-09-09T19:14:38"/>
    <s v="Sep-2026"/>
    <x v="64"/>
    <n v="1698323"/>
    <s v="CARD0029"/>
    <s v="MER044"/>
    <s v="Blue Foods"/>
    <n v="17339.61"/>
    <n v="86.7"/>
    <s v="UPI"/>
    <x v="0"/>
    <s v="Branch"/>
    <s v="Domestic"/>
    <s v="Bill Payment"/>
    <s v="High Value"/>
    <x v="5"/>
  </r>
  <r>
    <s v="TXN00970"/>
    <d v="2025-11-26T13:29:05"/>
    <s v="Nov-2025"/>
    <x v="135"/>
    <n v="544647"/>
    <s v="CARD0098"/>
    <s v="MER001"/>
    <s v="Urban Services"/>
    <n v="2401.96"/>
    <n v="7.21"/>
    <s v="Wallet"/>
    <x v="3"/>
    <s v="Mobile App"/>
    <s v="International"/>
    <s v="Retail Purchase"/>
    <s v="Standard"/>
    <x v="2"/>
  </r>
  <r>
    <s v="TXN00971"/>
    <d v="2025-08-18T22:52:30"/>
    <s v="Aug-2025"/>
    <x v="87"/>
    <n v="2445827"/>
    <s v="CARD0211"/>
    <s v="MER031"/>
    <s v="Daily Digital"/>
    <n v="2208.19"/>
    <n v="4.42"/>
    <s v="Wallet"/>
    <x v="0"/>
    <s v="Branch"/>
    <s v="International"/>
    <s v="Cash Withdrawal"/>
    <s v="Standard"/>
    <x v="3"/>
  </r>
  <r>
    <s v="TXN00972"/>
    <d v="2026-04-06T08:39:11"/>
    <s v="Apr-2026"/>
    <x v="73"/>
    <n v="596723"/>
    <s v="CARD0117"/>
    <s v="MER031"/>
    <s v="Daily Digital"/>
    <n v="41004.58"/>
    <n v="205.02"/>
    <s v="Credit Card"/>
    <x v="0"/>
    <s v="Branch"/>
    <s v="International"/>
    <s v="Bill Payment"/>
    <s v="High Value"/>
    <x v="3"/>
  </r>
  <r>
    <s v="TXN00973"/>
    <d v="2025-05-28T10:26:39"/>
    <s v="May-2025"/>
    <x v="78"/>
    <n v="1370286"/>
    <s v="CARD0226"/>
    <s v="MER011"/>
    <s v="Quick Pay"/>
    <n v="38261.879999999997"/>
    <n v="382.62"/>
    <s v="Debit Card"/>
    <x v="0"/>
    <s v="Mobile App"/>
    <s v="International"/>
    <s v="Transfer"/>
    <s v="High Value"/>
    <x v="4"/>
  </r>
  <r>
    <s v="TXN00974"/>
    <d v="2025-05-28T01:32:57"/>
    <s v="May-2025"/>
    <x v="109"/>
    <n v="3368543"/>
    <s v="CARD0033"/>
    <s v="MER041"/>
    <s v="Metro Pay"/>
    <n v="27649.93"/>
    <n v="82.95"/>
    <s v="Debit Card"/>
    <x v="2"/>
    <s v="Website"/>
    <s v="International"/>
    <s v="Cash Withdrawal"/>
    <s v="High Value"/>
    <x v="4"/>
  </r>
  <r>
    <s v="TXN00975"/>
    <d v="2026-03-04T16:46:09"/>
    <s v="Mar-2026"/>
    <x v="26"/>
    <n v="1140178"/>
    <s v="CARD0094"/>
    <s v="MER022"/>
    <s v="Urban Stores"/>
    <n v="44033.61"/>
    <n v="440.34"/>
    <s v="Debit Card"/>
    <x v="0"/>
    <s v="Branch"/>
    <s v="Domestic"/>
    <s v="Bill Payment"/>
    <s v="High Value"/>
    <x v="6"/>
  </r>
  <r>
    <s v="TXN00976"/>
    <d v="2025-09-09T07:53:57"/>
    <s v="Sep-2025"/>
    <x v="26"/>
    <n v="1140178"/>
    <s v="CARD0141"/>
    <s v="MER027"/>
    <s v="Prime Digital"/>
    <n v="42784.13"/>
    <n v="213.92"/>
    <s v="Debit Card"/>
    <x v="0"/>
    <s v="POS"/>
    <s v="Domestic"/>
    <s v="Cash Withdrawal"/>
    <s v="High Value"/>
    <x v="1"/>
  </r>
  <r>
    <s v="TXN00977"/>
    <d v="2025-05-25T17:07:14"/>
    <s v="May-2025"/>
    <x v="76"/>
    <n v="1164822"/>
    <s v="CARD0106"/>
    <s v="MER004"/>
    <s v="Daily Digital"/>
    <n v="6608.15"/>
    <n v="33.04"/>
    <s v="Credit Card"/>
    <x v="2"/>
    <s v="Website"/>
    <s v="International"/>
    <s v="Bill Payment"/>
    <s v="High Value"/>
    <x v="4"/>
  </r>
  <r>
    <s v="TXN00978"/>
    <d v="2026-01-29T18:50:29"/>
    <s v="Jan-2026"/>
    <x v="147"/>
    <n v="585020"/>
    <s v="CARD0053"/>
    <s v="MER025"/>
    <s v="Smart Pay"/>
    <n v="25963.85"/>
    <n v="51.93"/>
    <s v="Wallet"/>
    <x v="3"/>
    <s v="Website"/>
    <s v="International"/>
    <s v="Bill Payment"/>
    <s v="High Value"/>
    <x v="2"/>
  </r>
  <r>
    <s v="TXN00979"/>
    <d v="2026-02-16T20:56:15"/>
    <s v="Feb-2026"/>
    <x v="130"/>
    <n v="749164"/>
    <s v="CARD0120"/>
    <s v="MER016"/>
    <s v="Blue Foods"/>
    <n v="46933.35"/>
    <n v="469.33"/>
    <s v="Credit Card"/>
    <x v="0"/>
    <s v="Branch"/>
    <s v="International"/>
    <s v="Retail Purchase"/>
    <s v="High Value"/>
    <x v="0"/>
  </r>
  <r>
    <s v="TXN00980"/>
    <d v="2025-04-10T02:22:46"/>
    <s v="Apr-2025"/>
    <x v="72"/>
    <n v="3456728"/>
    <s v="CARD0219"/>
    <s v="MER006"/>
    <s v="Nova Pay"/>
    <n v="5236.43"/>
    <n v="10.47"/>
    <s v="Debit Card"/>
    <x v="0"/>
    <s v="POS"/>
    <s v="Domestic"/>
    <s v="Bill Payment"/>
    <s v="High Value"/>
    <x v="2"/>
  </r>
  <r>
    <s v="TXN00981"/>
    <d v="2025-08-07T11:11:52"/>
    <s v="Aug-2025"/>
    <x v="39"/>
    <n v="1380385"/>
    <s v="CARD0232"/>
    <s v="MER029"/>
    <s v="Fresh Hub"/>
    <n v="50456.639999999999"/>
    <n v="252.28"/>
    <s v="Net Banking"/>
    <x v="0"/>
    <s v="POS"/>
    <s v="Domestic"/>
    <s v="Transfer"/>
    <s v="High Value"/>
    <x v="4"/>
  </r>
  <r>
    <s v="TXN00982"/>
    <d v="2025-11-07T03:41:43"/>
    <s v="Nov-2025"/>
    <x v="148"/>
    <n v="1840046"/>
    <s v="CARD0107"/>
    <s v="MER008"/>
    <s v="Daily Services"/>
    <n v="48159.92"/>
    <n v="144.47999999999999"/>
    <s v="Wallet"/>
    <x v="0"/>
    <s v="Branch"/>
    <s v="Domestic"/>
    <s v="Cash Withdrawal"/>
    <s v="High Value"/>
    <x v="5"/>
  </r>
  <r>
    <s v="TXN00983"/>
    <d v="2025-10-15T09:04:48"/>
    <s v="Oct-2025"/>
    <x v="146"/>
    <n v="478549"/>
    <s v="CARD0025"/>
    <s v="MER003"/>
    <s v="Fresh Mart"/>
    <n v="58569.87"/>
    <n v="175.71"/>
    <s v="Credit Card"/>
    <x v="2"/>
    <s v="Branch"/>
    <s v="International"/>
    <s v="Cash Withdrawal"/>
    <s v="High Value"/>
    <x v="7"/>
  </r>
  <r>
    <s v="TXN00984"/>
    <d v="2026-05-04T06:12:22"/>
    <s v="May-2026"/>
    <x v="11"/>
    <n v="2150955"/>
    <s v="CARD0150"/>
    <s v="MER037"/>
    <s v="Metro Pay"/>
    <n v="46051.57"/>
    <n v="230.26"/>
    <s v="Credit Card"/>
    <x v="0"/>
    <s v="Branch"/>
    <s v="Domestic"/>
    <s v="Cash Withdrawal"/>
    <s v="High Value"/>
    <x v="2"/>
  </r>
  <r>
    <s v="TXN00985"/>
    <d v="2026-08-04T12:31:06"/>
    <s v="Aug-2026"/>
    <x v="118"/>
    <n v="3039300"/>
    <s v="CARD0046"/>
    <s v="MER009"/>
    <s v="Prime Mart"/>
    <n v="53147.67"/>
    <n v="265.74"/>
    <s v="Wallet"/>
    <x v="3"/>
    <s v="POS"/>
    <s v="International"/>
    <s v="Bill Payment"/>
    <s v="High Value"/>
    <x v="5"/>
  </r>
  <r>
    <s v="TXN00986"/>
    <d v="2025-04-24T07:10:38"/>
    <s v="Apr-2025"/>
    <x v="40"/>
    <n v="2236054"/>
    <s v="CARD0155"/>
    <s v="MER032"/>
    <s v="Urban Digital"/>
    <n v="57698.35"/>
    <n v="115.4"/>
    <s v="UPI"/>
    <x v="0"/>
    <s v="Branch"/>
    <s v="Domestic"/>
    <s v="Transfer"/>
    <s v="High Value"/>
    <x v="8"/>
  </r>
  <r>
    <s v="TXN00987"/>
    <d v="2025-09-16T06:59:28"/>
    <s v="Sep-2025"/>
    <x v="2"/>
    <n v="3367631"/>
    <s v="CARD0082"/>
    <s v="MER011"/>
    <s v="Quick Pay"/>
    <n v="30854.03"/>
    <n v="61.71"/>
    <s v="UPI"/>
    <x v="3"/>
    <s v="Website"/>
    <s v="International"/>
    <s v="Transfer"/>
    <s v="High Value"/>
    <x v="4"/>
  </r>
  <r>
    <s v="TXN00988"/>
    <d v="2026-04-05T15:45:47"/>
    <s v="Apr-2026"/>
    <x v="129"/>
    <n v="711663"/>
    <s v="CARD0021"/>
    <s v="MER022"/>
    <s v="Urban Stores"/>
    <n v="20317.32"/>
    <n v="203.17"/>
    <s v="Wallet"/>
    <x v="0"/>
    <s v="Mobile App"/>
    <s v="Domestic"/>
    <s v="Retail Purchase"/>
    <s v="High Value"/>
    <x v="6"/>
  </r>
  <r>
    <s v="TXN00989"/>
    <d v="2026-08-11T00:41:58"/>
    <s v="Aug-2026"/>
    <x v="55"/>
    <n v="2889113"/>
    <s v="CARD0100"/>
    <s v="MER003"/>
    <s v="Fresh Mart"/>
    <n v="18232.36"/>
    <n v="182.32"/>
    <s v="Debit Card"/>
    <x v="0"/>
    <s v="Branch"/>
    <s v="International"/>
    <s v="Transfer"/>
    <s v="High Value"/>
    <x v="7"/>
  </r>
  <r>
    <s v="TXN00990"/>
    <d v="2026-06-09T15:27:21"/>
    <s v="Jun-2026"/>
    <x v="151"/>
    <n v="1122211"/>
    <s v="CARD0142"/>
    <s v="MER013"/>
    <s v="Quick Retail"/>
    <n v="24490.98"/>
    <n v="122.45"/>
    <s v="Net Banking"/>
    <x v="0"/>
    <s v="POS"/>
    <s v="International"/>
    <s v="Retail Purchase"/>
    <s v="High Value"/>
    <x v="3"/>
  </r>
  <r>
    <s v="TXN00991"/>
    <d v="2026-04-06T03:05:14"/>
    <s v="Apr-2026"/>
    <x v="100"/>
    <n v="1622654"/>
    <s v="CARD0208"/>
    <s v="MER009"/>
    <s v="Prime Mart"/>
    <n v="48347.96"/>
    <n v="96.7"/>
    <s v="UPI"/>
    <x v="3"/>
    <s v="Website"/>
    <s v="Domestic"/>
    <s v="Bill Payment"/>
    <s v="High Value"/>
    <x v="5"/>
  </r>
  <r>
    <s v="TXN00992"/>
    <d v="2026-01-18T02:21:54"/>
    <s v="Jan-2026"/>
    <x v="29"/>
    <n v="2802699"/>
    <s v="CARD0003"/>
    <s v="MER001"/>
    <s v="Urban Services"/>
    <n v="9324.9699999999993"/>
    <n v="18.649999999999999"/>
    <s v="Debit Card"/>
    <x v="1"/>
    <s v="Mobile App"/>
    <s v="Domestic"/>
    <s v="Cash Withdrawal"/>
    <s v="High Value"/>
    <x v="2"/>
  </r>
  <r>
    <s v="TXN00993"/>
    <d v="2025-12-05T03:51:11"/>
    <s v="Dec-2025"/>
    <x v="58"/>
    <n v="347331"/>
    <s v="CARD0236"/>
    <s v="MER006"/>
    <s v="Nova Pay"/>
    <n v="36792.65"/>
    <n v="110.38"/>
    <s v="Credit Card"/>
    <x v="0"/>
    <s v="Mobile App"/>
    <s v="Domestic"/>
    <s v="Retail Purchase"/>
    <s v="High Value"/>
    <x v="2"/>
  </r>
  <r>
    <s v="TXN00994"/>
    <d v="2026-03-20T08:29:09"/>
    <s v="Mar-2026"/>
    <x v="63"/>
    <n v="2087147"/>
    <s v="CARD0161"/>
    <s v="MER034"/>
    <s v="Urban Retail"/>
    <n v="12692.12"/>
    <n v="126.92"/>
    <s v="Credit Card"/>
    <x v="2"/>
    <s v="Branch"/>
    <s v="Domestic"/>
    <s v="Cash Withdrawal"/>
    <s v="High Value"/>
    <x v="8"/>
  </r>
  <r>
    <s v="TXN00995"/>
    <d v="2026-09-12T06:46:27"/>
    <s v="Sep-2026"/>
    <x v="146"/>
    <n v="478549"/>
    <s v="CARD0048"/>
    <s v="MER033"/>
    <s v="Nova Services"/>
    <n v="28205.71"/>
    <n v="56.41"/>
    <s v="UPI"/>
    <x v="2"/>
    <s v="Mobile App"/>
    <s v="Domestic"/>
    <s v="Bill Payment"/>
    <s v="High Value"/>
    <x v="7"/>
  </r>
  <r>
    <s v="TXN00996"/>
    <d v="2025-09-27T05:14:20"/>
    <s v="Sep-2025"/>
    <x v="30"/>
    <n v="2603965"/>
    <s v="CARD0032"/>
    <s v="MER045"/>
    <s v="Blue Services"/>
    <n v="52702.78"/>
    <n v="158.11000000000001"/>
    <s v="UPI"/>
    <x v="0"/>
    <s v="Website"/>
    <s v="Domestic"/>
    <s v="Transfer"/>
    <s v="High Value"/>
    <x v="0"/>
  </r>
  <r>
    <s v="TXN00997"/>
    <d v="2025-08-22T05:54:49"/>
    <s v="Aug-2025"/>
    <x v="155"/>
    <n v="2201016"/>
    <s v="CARD0106"/>
    <s v="MER033"/>
    <s v="Nova Services"/>
    <n v="23740.61"/>
    <n v="118.7"/>
    <s v="Debit Card"/>
    <x v="1"/>
    <s v="Website"/>
    <s v="International"/>
    <s v="Transfer"/>
    <s v="High Value"/>
    <x v="7"/>
  </r>
  <r>
    <s v="TXN00998"/>
    <d v="2025-12-20T08:45:58"/>
    <s v="Dec-2025"/>
    <x v="103"/>
    <n v="2067729"/>
    <s v="CARD0194"/>
    <s v="MER011"/>
    <s v="Quick Pay"/>
    <n v="31880"/>
    <n v="159.4"/>
    <s v="UPI"/>
    <x v="2"/>
    <s v="Mobile App"/>
    <s v="Domestic"/>
    <s v="Cash Withdrawal"/>
    <s v="High Value"/>
    <x v="4"/>
  </r>
  <r>
    <s v="TXN00999"/>
    <d v="2025-12-19T02:11:57"/>
    <s v="Dec-2025"/>
    <x v="88"/>
    <n v="1531034"/>
    <s v="CARD0196"/>
    <s v="MER029"/>
    <s v="Fresh Hub"/>
    <n v="37228.74"/>
    <n v="74.459999999999994"/>
    <s v="UPI"/>
    <x v="1"/>
    <s v="Mobile App"/>
    <s v="International"/>
    <s v="Transfer"/>
    <s v="High Value"/>
    <x v="4"/>
  </r>
  <r>
    <s v="TXN01000"/>
    <d v="2026-09-13T02:23:54"/>
    <s v="Sep-2026"/>
    <x v="112"/>
    <n v="875930"/>
    <s v="CARD0092"/>
    <s v="MER031"/>
    <s v="Daily Digital"/>
    <n v="34195.15"/>
    <n v="170.98"/>
    <s v="Debit Card"/>
    <x v="2"/>
    <s v="Branch"/>
    <s v="International"/>
    <s v="Cash Withdrawal"/>
    <s v="High Valu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C6105-4FED-4A89-A998-B22531FE790B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4:M14" firstHeaderRow="1" firstDataRow="1" firstDataCol="1" rowPageCount="1" colPageCount="1"/>
  <pivotFields count="17">
    <pivotField showAll="0"/>
    <pivotField numFmtId="166" showAll="0"/>
    <pivotField showAll="0"/>
    <pivotField showAll="0">
      <items count="180">
        <item x="53"/>
        <item x="135"/>
        <item x="9"/>
        <item x="74"/>
        <item x="75"/>
        <item x="100"/>
        <item x="69"/>
        <item x="35"/>
        <item x="136"/>
        <item x="23"/>
        <item x="127"/>
        <item x="132"/>
        <item x="48"/>
        <item x="125"/>
        <item x="64"/>
        <item x="116"/>
        <item x="145"/>
        <item x="118"/>
        <item x="50"/>
        <item x="29"/>
        <item x="113"/>
        <item x="17"/>
        <item x="83"/>
        <item x="7"/>
        <item x="92"/>
        <item x="157"/>
        <item x="10"/>
        <item x="60"/>
        <item x="43"/>
        <item x="91"/>
        <item x="24"/>
        <item x="6"/>
        <item x="45"/>
        <item x="34"/>
        <item x="1"/>
        <item x="167"/>
        <item x="141"/>
        <item x="110"/>
        <item x="56"/>
        <item x="31"/>
        <item x="165"/>
        <item x="148"/>
        <item x="20"/>
        <item x="98"/>
        <item x="61"/>
        <item x="101"/>
        <item x="115"/>
        <item x="177"/>
        <item x="131"/>
        <item x="97"/>
        <item x="153"/>
        <item x="58"/>
        <item x="0"/>
        <item x="124"/>
        <item x="105"/>
        <item x="159"/>
        <item x="96"/>
        <item x="89"/>
        <item x="22"/>
        <item x="126"/>
        <item x="128"/>
        <item x="161"/>
        <item x="134"/>
        <item x="174"/>
        <item x="67"/>
        <item x="78"/>
        <item x="151"/>
        <item x="77"/>
        <item x="66"/>
        <item x="80"/>
        <item x="68"/>
        <item x="28"/>
        <item x="103"/>
        <item x="133"/>
        <item x="123"/>
        <item x="170"/>
        <item x="142"/>
        <item x="166"/>
        <item x="32"/>
        <item x="18"/>
        <item x="140"/>
        <item x="130"/>
        <item x="63"/>
        <item x="25"/>
        <item x="72"/>
        <item x="27"/>
        <item x="5"/>
        <item x="70"/>
        <item x="106"/>
        <item x="12"/>
        <item x="40"/>
        <item x="164"/>
        <item x="79"/>
        <item x="15"/>
        <item x="176"/>
        <item x="62"/>
        <item x="168"/>
        <item x="55"/>
        <item x="139"/>
        <item x="38"/>
        <item x="149"/>
        <item x="16"/>
        <item x="109"/>
        <item x="143"/>
        <item x="172"/>
        <item x="114"/>
        <item x="81"/>
        <item x="37"/>
        <item x="171"/>
        <item x="8"/>
        <item x="51"/>
        <item x="44"/>
        <item x="11"/>
        <item x="146"/>
        <item x="122"/>
        <item x="112"/>
        <item x="144"/>
        <item x="4"/>
        <item x="26"/>
        <item x="90"/>
        <item x="71"/>
        <item x="54"/>
        <item x="108"/>
        <item x="82"/>
        <item x="111"/>
        <item x="2"/>
        <item x="14"/>
        <item x="21"/>
        <item x="162"/>
        <item x="85"/>
        <item x="156"/>
        <item x="3"/>
        <item x="99"/>
        <item x="59"/>
        <item x="42"/>
        <item x="178"/>
        <item x="137"/>
        <item x="57"/>
        <item x="117"/>
        <item x="95"/>
        <item x="121"/>
        <item x="84"/>
        <item x="33"/>
        <item x="107"/>
        <item x="41"/>
        <item x="120"/>
        <item x="49"/>
        <item x="154"/>
        <item x="39"/>
        <item x="163"/>
        <item x="150"/>
        <item x="152"/>
        <item x="155"/>
        <item x="86"/>
        <item x="94"/>
        <item x="119"/>
        <item x="36"/>
        <item x="160"/>
        <item x="76"/>
        <item x="175"/>
        <item x="173"/>
        <item x="73"/>
        <item x="46"/>
        <item x="158"/>
        <item x="93"/>
        <item x="87"/>
        <item x="104"/>
        <item x="129"/>
        <item x="52"/>
        <item x="19"/>
        <item x="47"/>
        <item x="88"/>
        <item x="102"/>
        <item x="65"/>
        <item x="138"/>
        <item x="13"/>
        <item x="147"/>
        <item x="169"/>
        <item x="30"/>
        <item t="default"/>
      </items>
    </pivotField>
    <pivotField showAll="0"/>
    <pivotField showAll="0"/>
    <pivotField showAll="0"/>
    <pivotField showAll="0"/>
    <pivotField dataField="1" numFmtId="4" showAll="0"/>
    <pivotField numFmtId="4"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0">
        <item x="7"/>
        <item x="6"/>
        <item x="2"/>
        <item x="5"/>
        <item x="1"/>
        <item x="3"/>
        <item x="4"/>
        <item x="0"/>
        <item x="8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1" item="3" hier="-1"/>
  </pageFields>
  <dataFields count="1">
    <dataField name="Sum of Transaction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E6B1D-B64F-404D-9B1A-0ACF4D3F5F8A}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183" firstHeaderRow="1" firstDataRow="1" firstDataCol="1"/>
  <pivotFields count="17">
    <pivotField showAll="0"/>
    <pivotField dataField="1" numFmtId="166" showAll="0"/>
    <pivotField showAll="0"/>
    <pivotField axis="axisRow" showAll="0">
      <items count="180">
        <item x="53"/>
        <item x="135"/>
        <item x="9"/>
        <item x="74"/>
        <item x="75"/>
        <item x="100"/>
        <item x="69"/>
        <item x="35"/>
        <item x="136"/>
        <item x="23"/>
        <item x="127"/>
        <item x="132"/>
        <item x="48"/>
        <item x="125"/>
        <item x="64"/>
        <item x="116"/>
        <item x="145"/>
        <item x="118"/>
        <item x="50"/>
        <item x="29"/>
        <item x="113"/>
        <item x="17"/>
        <item x="83"/>
        <item x="7"/>
        <item x="92"/>
        <item x="157"/>
        <item x="10"/>
        <item x="60"/>
        <item x="43"/>
        <item x="91"/>
        <item x="24"/>
        <item x="6"/>
        <item x="45"/>
        <item x="34"/>
        <item x="1"/>
        <item x="167"/>
        <item x="141"/>
        <item x="110"/>
        <item x="56"/>
        <item x="31"/>
        <item x="165"/>
        <item x="148"/>
        <item x="20"/>
        <item x="98"/>
        <item x="61"/>
        <item x="101"/>
        <item x="115"/>
        <item x="177"/>
        <item x="131"/>
        <item x="97"/>
        <item x="153"/>
        <item x="58"/>
        <item x="0"/>
        <item x="124"/>
        <item x="105"/>
        <item x="159"/>
        <item x="96"/>
        <item x="89"/>
        <item x="22"/>
        <item x="126"/>
        <item x="128"/>
        <item x="161"/>
        <item x="134"/>
        <item x="174"/>
        <item x="67"/>
        <item x="78"/>
        <item x="151"/>
        <item x="77"/>
        <item x="66"/>
        <item x="80"/>
        <item x="68"/>
        <item x="28"/>
        <item x="103"/>
        <item x="133"/>
        <item x="123"/>
        <item x="170"/>
        <item x="142"/>
        <item x="166"/>
        <item x="32"/>
        <item x="18"/>
        <item x="140"/>
        <item x="130"/>
        <item x="63"/>
        <item x="25"/>
        <item x="72"/>
        <item x="27"/>
        <item x="5"/>
        <item x="70"/>
        <item x="106"/>
        <item x="12"/>
        <item x="40"/>
        <item x="164"/>
        <item x="79"/>
        <item x="15"/>
        <item x="176"/>
        <item x="62"/>
        <item x="168"/>
        <item x="55"/>
        <item x="139"/>
        <item x="38"/>
        <item x="149"/>
        <item x="16"/>
        <item x="109"/>
        <item x="143"/>
        <item x="172"/>
        <item x="114"/>
        <item x="81"/>
        <item x="37"/>
        <item x="171"/>
        <item x="8"/>
        <item x="51"/>
        <item x="44"/>
        <item x="11"/>
        <item x="146"/>
        <item x="122"/>
        <item x="112"/>
        <item x="144"/>
        <item x="4"/>
        <item x="26"/>
        <item x="90"/>
        <item x="71"/>
        <item x="54"/>
        <item x="108"/>
        <item x="82"/>
        <item x="111"/>
        <item x="2"/>
        <item x="14"/>
        <item x="21"/>
        <item x="162"/>
        <item x="85"/>
        <item x="156"/>
        <item x="3"/>
        <item x="99"/>
        <item x="59"/>
        <item x="42"/>
        <item x="178"/>
        <item x="137"/>
        <item x="57"/>
        <item x="117"/>
        <item x="95"/>
        <item x="121"/>
        <item x="84"/>
        <item x="33"/>
        <item x="107"/>
        <item x="41"/>
        <item x="120"/>
        <item x="49"/>
        <item x="154"/>
        <item x="39"/>
        <item x="163"/>
        <item x="150"/>
        <item x="152"/>
        <item x="155"/>
        <item x="86"/>
        <item x="94"/>
        <item x="119"/>
        <item x="36"/>
        <item x="160"/>
        <item x="76"/>
        <item x="175"/>
        <item x="173"/>
        <item x="73"/>
        <item x="46"/>
        <item x="158"/>
        <item x="93"/>
        <item x="87"/>
        <item x="104"/>
        <item x="129"/>
        <item x="52"/>
        <item x="19"/>
        <item x="47"/>
        <item x="88"/>
        <item x="102"/>
        <item x="65"/>
        <item x="138"/>
        <item x="13"/>
        <item x="147"/>
        <item x="169"/>
        <item x="30"/>
        <item t="default"/>
      </items>
    </pivotField>
    <pivotField showAll="0"/>
    <pivotField showAll="0"/>
    <pivotField showAll="0"/>
    <pivotField showAll="0"/>
    <pivotField numFmtId="4" showAll="0"/>
    <pivotField numFmtId="4"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Items count="1">
    <i/>
  </colItems>
  <dataFields count="1">
    <dataField name="Max of Transaction_Timestamp" fld="1" subtotal="max" baseField="3" baseItem="0" numFmtId="1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FC5ED-6F24-4A87-B18C-49E09A757842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77" firstHeaderRow="1" firstDataRow="1" firstDataCol="1" rowPageCount="1" colPageCount="1"/>
  <pivotFields count="17">
    <pivotField showAll="0"/>
    <pivotField numFmtId="166" showAll="0"/>
    <pivotField showAll="0"/>
    <pivotField axis="axisRow" showAll="0">
      <items count="180">
        <item x="53"/>
        <item x="135"/>
        <item x="9"/>
        <item x="74"/>
        <item x="75"/>
        <item x="100"/>
        <item x="69"/>
        <item x="35"/>
        <item x="136"/>
        <item x="23"/>
        <item x="127"/>
        <item x="132"/>
        <item x="48"/>
        <item x="125"/>
        <item x="64"/>
        <item x="116"/>
        <item x="145"/>
        <item x="118"/>
        <item x="50"/>
        <item x="29"/>
        <item x="113"/>
        <item x="17"/>
        <item x="83"/>
        <item x="7"/>
        <item x="92"/>
        <item x="157"/>
        <item x="10"/>
        <item x="60"/>
        <item x="43"/>
        <item x="91"/>
        <item x="24"/>
        <item x="6"/>
        <item x="45"/>
        <item x="34"/>
        <item x="1"/>
        <item x="167"/>
        <item x="141"/>
        <item x="110"/>
        <item x="56"/>
        <item x="31"/>
        <item x="165"/>
        <item x="148"/>
        <item x="20"/>
        <item x="98"/>
        <item x="61"/>
        <item x="101"/>
        <item x="115"/>
        <item x="177"/>
        <item x="131"/>
        <item x="97"/>
        <item x="153"/>
        <item x="58"/>
        <item x="0"/>
        <item x="124"/>
        <item x="105"/>
        <item x="159"/>
        <item x="96"/>
        <item x="89"/>
        <item x="22"/>
        <item x="126"/>
        <item x="128"/>
        <item x="161"/>
        <item x="134"/>
        <item x="174"/>
        <item x="67"/>
        <item x="78"/>
        <item x="151"/>
        <item x="77"/>
        <item x="66"/>
        <item x="80"/>
        <item x="68"/>
        <item x="28"/>
        <item x="103"/>
        <item x="133"/>
        <item x="123"/>
        <item x="170"/>
        <item x="142"/>
        <item x="166"/>
        <item x="32"/>
        <item x="18"/>
        <item x="140"/>
        <item x="130"/>
        <item x="63"/>
        <item x="25"/>
        <item x="72"/>
        <item x="27"/>
        <item x="5"/>
        <item x="70"/>
        <item x="106"/>
        <item x="12"/>
        <item x="40"/>
        <item x="164"/>
        <item x="79"/>
        <item x="15"/>
        <item x="176"/>
        <item x="62"/>
        <item x="168"/>
        <item x="55"/>
        <item x="139"/>
        <item x="38"/>
        <item x="149"/>
        <item x="16"/>
        <item x="109"/>
        <item x="143"/>
        <item x="172"/>
        <item x="114"/>
        <item x="81"/>
        <item x="37"/>
        <item x="171"/>
        <item x="8"/>
        <item x="51"/>
        <item x="44"/>
        <item x="11"/>
        <item x="146"/>
        <item x="122"/>
        <item x="112"/>
        <item x="144"/>
        <item x="4"/>
        <item x="26"/>
        <item x="90"/>
        <item x="71"/>
        <item x="54"/>
        <item x="108"/>
        <item x="82"/>
        <item x="111"/>
        <item x="2"/>
        <item x="14"/>
        <item x="21"/>
        <item x="162"/>
        <item x="85"/>
        <item x="156"/>
        <item x="3"/>
        <item x="99"/>
        <item x="59"/>
        <item x="42"/>
        <item x="178"/>
        <item x="137"/>
        <item x="57"/>
        <item x="117"/>
        <item x="95"/>
        <item x="121"/>
        <item x="84"/>
        <item x="33"/>
        <item x="107"/>
        <item x="41"/>
        <item x="120"/>
        <item x="49"/>
        <item x="154"/>
        <item x="39"/>
        <item x="163"/>
        <item x="150"/>
        <item x="152"/>
        <item x="155"/>
        <item x="86"/>
        <item x="94"/>
        <item x="119"/>
        <item x="36"/>
        <item x="160"/>
        <item x="76"/>
        <item x="175"/>
        <item x="173"/>
        <item x="73"/>
        <item x="46"/>
        <item x="158"/>
        <item x="93"/>
        <item x="87"/>
        <item x="104"/>
        <item x="129"/>
        <item x="52"/>
        <item x="19"/>
        <item x="47"/>
        <item x="88"/>
        <item x="102"/>
        <item x="65"/>
        <item x="138"/>
        <item x="13"/>
        <item x="147"/>
        <item x="169"/>
        <item x="30"/>
        <item t="default"/>
      </items>
    </pivotField>
    <pivotField showAll="0"/>
    <pivotField showAll="0"/>
    <pivotField showAll="0"/>
    <pivotField showAll="0"/>
    <pivotField dataField="1" numFmtId="4" showAll="0"/>
    <pivotField numFmtId="4"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Items count="1">
    <i/>
  </colItems>
  <pageFields count="1">
    <pageField fld="11" item="3" hier="-1"/>
  </pageFields>
  <dataFields count="1">
    <dataField name="Sum of Transaction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79"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16" customWidth="1"/>
    <col min="2" max="2" width="105" customWidth="1"/>
    <col min="3" max="3" width="14.21875" style="12" bestFit="1" customWidth="1"/>
  </cols>
  <sheetData>
    <row r="1" spans="1:3" ht="28.05" customHeight="1" x14ac:dyDescent="0.3">
      <c r="A1" s="1" t="s">
        <v>0</v>
      </c>
      <c r="B1" s="1" t="s">
        <v>1</v>
      </c>
      <c r="C1" s="1" t="s">
        <v>2124</v>
      </c>
    </row>
    <row r="2" spans="1:3" ht="34.049999999999997" customHeight="1" x14ac:dyDescent="0.3">
      <c r="A2" t="s">
        <v>2</v>
      </c>
      <c r="B2" s="5" t="s">
        <v>3</v>
      </c>
      <c r="C2" s="16">
        <f>SUM(Transactions!I2:I1001)</f>
        <v>29758388.880000003</v>
      </c>
    </row>
    <row r="3" spans="1:3" ht="34.049999999999997" customHeight="1" x14ac:dyDescent="0.3">
      <c r="A3" t="s">
        <v>4</v>
      </c>
      <c r="B3" s="5" t="s">
        <v>5</v>
      </c>
      <c r="C3" s="12">
        <f>AVERAGEIF(Transactions!L:L,"Successful",Transactions!I:I)</f>
        <v>29906.663377483474</v>
      </c>
    </row>
    <row r="4" spans="1:3" ht="34.049999999999997" customHeight="1" x14ac:dyDescent="0.3">
      <c r="A4" t="s">
        <v>6</v>
      </c>
      <c r="B4" s="5" t="s">
        <v>7</v>
      </c>
      <c r="C4" s="12">
        <f>COUNTIF(Transactions!L:L,"Reversed")</f>
        <v>127</v>
      </c>
    </row>
    <row r="5" spans="1:3" ht="34.049999999999997" customHeight="1" x14ac:dyDescent="0.3">
      <c r="A5" t="s">
        <v>8</v>
      </c>
      <c r="B5" s="5" t="s">
        <v>9</v>
      </c>
      <c r="C5" s="12">
        <f>SUMIFS(Transactions!J:J,Transactions!L:L,"Successful",Transactions!M:M,"Mobile App")</f>
        <v>22270.599999999995</v>
      </c>
    </row>
    <row r="6" spans="1:3" ht="34.049999999999997" customHeight="1" x14ac:dyDescent="0.3">
      <c r="A6" t="s">
        <v>10</v>
      </c>
      <c r="B6" s="5" t="s">
        <v>11</v>
      </c>
      <c r="C6" s="12">
        <f>COUNTIFS(Transactions!N:N,"International",Transactions!K:K,"UPI")</f>
        <v>89</v>
      </c>
    </row>
    <row r="7" spans="1:3" ht="34.049999999999997" customHeight="1" x14ac:dyDescent="0.3">
      <c r="A7" t="s">
        <v>12</v>
      </c>
      <c r="B7" s="5" t="s">
        <v>13</v>
      </c>
      <c r="C7" s="17">
        <f>AVERAGEIFS(Transactions!I:I,Transactions!N:N,"International",Transactions!M:M,"Website")</f>
        <v>29594.583828124996</v>
      </c>
    </row>
    <row r="8" spans="1:3" ht="34.049999999999997" customHeight="1" x14ac:dyDescent="0.3">
      <c r="A8" t="s">
        <v>14</v>
      </c>
      <c r="B8" s="5" t="s">
        <v>15</v>
      </c>
      <c r="C8" s="12" t="s">
        <v>2112</v>
      </c>
    </row>
    <row r="9" spans="1:3" ht="34.049999999999997" customHeight="1" x14ac:dyDescent="0.3">
      <c r="A9" t="s">
        <v>16</v>
      </c>
      <c r="B9" s="5" t="s">
        <v>17</v>
      </c>
      <c r="C9" s="12" t="s">
        <v>2112</v>
      </c>
    </row>
    <row r="10" spans="1:3" ht="34.049999999999997" customHeight="1" x14ac:dyDescent="0.3">
      <c r="A10" t="s">
        <v>18</v>
      </c>
      <c r="B10" s="5" t="s">
        <v>19</v>
      </c>
      <c r="C10" s="12" t="s">
        <v>2115</v>
      </c>
    </row>
    <row r="11" spans="1:3" ht="34.049999999999997" customHeight="1" x14ac:dyDescent="0.3">
      <c r="A11" t="s">
        <v>20</v>
      </c>
      <c r="B11" s="5" t="s">
        <v>21</v>
      </c>
      <c r="C11" s="12" t="s">
        <v>2116</v>
      </c>
    </row>
    <row r="12" spans="1:3" ht="34.049999999999997" customHeight="1" x14ac:dyDescent="0.3">
      <c r="A12" t="s">
        <v>22</v>
      </c>
      <c r="B12" s="5" t="s">
        <v>23</v>
      </c>
      <c r="C12" s="12" t="s">
        <v>2112</v>
      </c>
    </row>
    <row r="13" spans="1:3" ht="34.049999999999997" customHeight="1" x14ac:dyDescent="0.3">
      <c r="A13" t="s">
        <v>24</v>
      </c>
      <c r="B13" s="5" t="s">
        <v>25</v>
      </c>
      <c r="C13" s="12" t="s">
        <v>2112</v>
      </c>
    </row>
    <row r="14" spans="1:3" ht="34.049999999999997" customHeight="1" x14ac:dyDescent="0.3">
      <c r="A14" t="s">
        <v>26</v>
      </c>
      <c r="B14" s="5" t="s">
        <v>27</v>
      </c>
      <c r="C14" s="12" t="s">
        <v>2112</v>
      </c>
    </row>
    <row r="15" spans="1:3" ht="34.049999999999997" customHeight="1" x14ac:dyDescent="0.3">
      <c r="A15" t="s">
        <v>28</v>
      </c>
      <c r="B15" s="5" t="s">
        <v>29</v>
      </c>
      <c r="C15" s="12" t="s">
        <v>2112</v>
      </c>
    </row>
    <row r="16" spans="1:3" ht="34.049999999999997" customHeight="1" x14ac:dyDescent="0.3">
      <c r="A16" t="s">
        <v>30</v>
      </c>
      <c r="B16" s="5" t="s">
        <v>31</v>
      </c>
      <c r="C16" s="12" t="s">
        <v>2112</v>
      </c>
    </row>
    <row r="17" spans="1:3" ht="34.049999999999997" customHeight="1" x14ac:dyDescent="0.3">
      <c r="A17" t="s">
        <v>32</v>
      </c>
      <c r="B17" s="5" t="s">
        <v>33</v>
      </c>
      <c r="C17" s="12">
        <f>SUMIFS(Loans!F:F,Loans!I:I,"Approved",Loans!H:H,"&gt;=36",Loans!D:D,"Business")</f>
        <v>1775575</v>
      </c>
    </row>
    <row r="18" spans="1:3" ht="34.049999999999997" customHeight="1" x14ac:dyDescent="0.3">
      <c r="A18" t="s">
        <v>34</v>
      </c>
      <c r="B18" s="5" t="s">
        <v>35</v>
      </c>
      <c r="C18" s="12" t="s">
        <v>2112</v>
      </c>
    </row>
    <row r="19" spans="1:3" ht="34.049999999999997" customHeight="1" x14ac:dyDescent="0.3">
      <c r="A19" t="s">
        <v>36</v>
      </c>
      <c r="B19" s="5" t="s">
        <v>37</v>
      </c>
      <c r="C19" s="12" t="s">
        <v>2112</v>
      </c>
    </row>
    <row r="20" spans="1:3" ht="34.049999999999997" customHeight="1" x14ac:dyDescent="0.3">
      <c r="A20" t="s">
        <v>38</v>
      </c>
      <c r="B20" s="5" t="s">
        <v>39</v>
      </c>
      <c r="C20" s="12" t="s">
        <v>2112</v>
      </c>
    </row>
    <row r="21" spans="1:3" ht="34.049999999999997" customHeight="1" x14ac:dyDescent="0.3">
      <c r="A21" t="s">
        <v>40</v>
      </c>
      <c r="B21" s="5" t="s">
        <v>41</v>
      </c>
      <c r="C21" s="18">
        <f>COUNTIF(Loans!I:I,"Approved")/COUNTA(Loans!A:A)</f>
        <v>0.3122923588039867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5CC8-302F-49FA-9D5F-88CD12EBEA4C}">
  <dimension ref="A1:M183"/>
  <sheetViews>
    <sheetView topLeftCell="F1" zoomScale="76" workbookViewId="0">
      <selection activeCell="O9" sqref="O9"/>
    </sheetView>
  </sheetViews>
  <sheetFormatPr defaultRowHeight="14.4" x14ac:dyDescent="0.3"/>
  <cols>
    <col min="1" max="1" width="16.6640625" bestFit="1" customWidth="1"/>
    <col min="2" max="2" width="25.5546875" bestFit="1" customWidth="1"/>
    <col min="3" max="3" width="10" bestFit="1" customWidth="1"/>
    <col min="4" max="4" width="10" customWidth="1"/>
    <col min="5" max="5" width="12.5546875" bestFit="1" customWidth="1"/>
    <col min="6" max="6" width="27.88671875" style="15" bestFit="1" customWidth="1"/>
    <col min="7" max="7" width="12" bestFit="1" customWidth="1"/>
    <col min="8" max="8" width="9.33203125" bestFit="1" customWidth="1"/>
    <col min="9" max="9" width="25.5546875" bestFit="1" customWidth="1"/>
    <col min="12" max="12" width="16.6640625" bestFit="1" customWidth="1"/>
    <col min="13" max="13" width="25.5546875" bestFit="1" customWidth="1"/>
  </cols>
  <sheetData>
    <row r="1" spans="1:13" x14ac:dyDescent="0.3">
      <c r="A1" s="11" t="s">
        <v>50</v>
      </c>
      <c r="B1" t="s">
        <v>59</v>
      </c>
    </row>
    <row r="2" spans="1:13" x14ac:dyDescent="0.3">
      <c r="H2" s="14" t="s">
        <v>2120</v>
      </c>
      <c r="I2" s="14" t="s">
        <v>2122</v>
      </c>
      <c r="J2" s="14" t="s">
        <v>2125</v>
      </c>
      <c r="L2" s="11" t="s">
        <v>50</v>
      </c>
      <c r="M2" t="s">
        <v>59</v>
      </c>
    </row>
    <row r="3" spans="1:13" x14ac:dyDescent="0.3">
      <c r="A3" s="11" t="s">
        <v>2120</v>
      </c>
      <c r="B3" t="s">
        <v>2122</v>
      </c>
      <c r="E3" s="11" t="s">
        <v>2120</v>
      </c>
      <c r="F3" s="15" t="s">
        <v>2123</v>
      </c>
      <c r="H3" s="12" t="s">
        <v>265</v>
      </c>
      <c r="I3" s="13">
        <v>72623.73</v>
      </c>
      <c r="J3">
        <f>_xlfn.RANK.EQ(I3,I3:I175,0)</f>
        <v>116</v>
      </c>
    </row>
    <row r="4" spans="1:13" x14ac:dyDescent="0.3">
      <c r="A4" s="12" t="s">
        <v>265</v>
      </c>
      <c r="B4" s="13">
        <v>72623.73</v>
      </c>
      <c r="E4" s="12" t="s">
        <v>265</v>
      </c>
      <c r="F4" s="15">
        <v>46243.833854166667</v>
      </c>
      <c r="H4" s="12" t="s">
        <v>658</v>
      </c>
      <c r="I4" s="13">
        <v>72564.790000000008</v>
      </c>
      <c r="J4">
        <f t="shared" ref="J4:J67" si="0">_xlfn.RANK.EQ(I4,I4:I176,0)</f>
        <v>116</v>
      </c>
      <c r="L4" s="11" t="s">
        <v>2120</v>
      </c>
      <c r="M4" t="s">
        <v>2122</v>
      </c>
    </row>
    <row r="5" spans="1:13" x14ac:dyDescent="0.3">
      <c r="A5" s="12" t="s">
        <v>658</v>
      </c>
      <c r="B5" s="13">
        <v>72564.790000000008</v>
      </c>
      <c r="E5" s="12" t="s">
        <v>658</v>
      </c>
      <c r="F5" s="15">
        <v>46048.3125462963</v>
      </c>
      <c r="H5" s="12" t="s">
        <v>105</v>
      </c>
      <c r="I5" s="13">
        <v>35661.4</v>
      </c>
      <c r="J5">
        <f t="shared" si="0"/>
        <v>153</v>
      </c>
      <c r="L5" s="12" t="s">
        <v>1724</v>
      </c>
      <c r="M5" s="13">
        <v>1087629.79</v>
      </c>
    </row>
    <row r="6" spans="1:13" x14ac:dyDescent="0.3">
      <c r="A6" s="12" t="s">
        <v>105</v>
      </c>
      <c r="B6" s="13">
        <v>35661.4</v>
      </c>
      <c r="E6" s="12" t="s">
        <v>105</v>
      </c>
      <c r="F6" s="15">
        <v>45939.289201388892</v>
      </c>
      <c r="H6" s="12" t="s">
        <v>338</v>
      </c>
      <c r="I6" s="13">
        <v>123290.49</v>
      </c>
      <c r="J6">
        <f t="shared" si="0"/>
        <v>59</v>
      </c>
      <c r="L6" s="12" t="s">
        <v>1721</v>
      </c>
      <c r="M6" s="13">
        <v>1754421.25</v>
      </c>
    </row>
    <row r="7" spans="1:13" x14ac:dyDescent="0.3">
      <c r="A7" s="12" t="s">
        <v>338</v>
      </c>
      <c r="B7" s="13">
        <v>123290.49</v>
      </c>
      <c r="E7" s="12" t="s">
        <v>338</v>
      </c>
      <c r="F7" s="15">
        <v>46134.125358796293</v>
      </c>
      <c r="H7" s="12" t="s">
        <v>343</v>
      </c>
      <c r="I7" s="13">
        <v>88697.14</v>
      </c>
      <c r="J7">
        <f t="shared" si="0"/>
        <v>103</v>
      </c>
      <c r="L7" s="12" t="s">
        <v>1718</v>
      </c>
      <c r="M7" s="13">
        <v>2423833.8899999997</v>
      </c>
    </row>
    <row r="8" spans="1:13" x14ac:dyDescent="0.3">
      <c r="A8" s="12" t="s">
        <v>343</v>
      </c>
      <c r="B8" s="13">
        <v>88697.14</v>
      </c>
      <c r="E8" s="12" t="s">
        <v>343</v>
      </c>
      <c r="F8" s="15">
        <v>46172.028310185182</v>
      </c>
      <c r="H8" s="12" t="s">
        <v>466</v>
      </c>
      <c r="I8" s="13">
        <v>23670.3</v>
      </c>
      <c r="J8">
        <f t="shared" si="0"/>
        <v>155</v>
      </c>
      <c r="L8" s="12" t="s">
        <v>1732</v>
      </c>
      <c r="M8" s="13">
        <v>1832364.4699999995</v>
      </c>
    </row>
    <row r="9" spans="1:13" x14ac:dyDescent="0.3">
      <c r="A9" s="12" t="s">
        <v>466</v>
      </c>
      <c r="B9" s="13">
        <v>23670.3</v>
      </c>
      <c r="E9" s="12" t="s">
        <v>466</v>
      </c>
      <c r="F9" s="15">
        <v>46148.319641203707</v>
      </c>
      <c r="H9" s="12" t="s">
        <v>317</v>
      </c>
      <c r="I9" s="13">
        <v>88724.31</v>
      </c>
      <c r="J9">
        <f t="shared" si="0"/>
        <v>102</v>
      </c>
      <c r="L9" s="12" t="s">
        <v>1752</v>
      </c>
      <c r="M9" s="13">
        <v>1053277.6599999999</v>
      </c>
    </row>
    <row r="10" spans="1:13" x14ac:dyDescent="0.3">
      <c r="A10" s="12" t="s">
        <v>317</v>
      </c>
      <c r="B10" s="13">
        <v>88724.31</v>
      </c>
      <c r="E10" s="12" t="s">
        <v>317</v>
      </c>
      <c r="F10" s="15">
        <v>46257.828912037039</v>
      </c>
      <c r="H10" s="12" t="s">
        <v>203</v>
      </c>
      <c r="I10" s="13">
        <v>107785.56</v>
      </c>
      <c r="J10">
        <f t="shared" si="0"/>
        <v>78</v>
      </c>
      <c r="L10" s="12" t="s">
        <v>1738</v>
      </c>
      <c r="M10" s="13">
        <v>1814236.2399999995</v>
      </c>
    </row>
    <row r="11" spans="1:13" x14ac:dyDescent="0.3">
      <c r="A11" s="12" t="s">
        <v>203</v>
      </c>
      <c r="B11" s="13">
        <v>107785.56</v>
      </c>
      <c r="E11" s="12" t="s">
        <v>203</v>
      </c>
      <c r="F11" s="15">
        <v>45969.442696759259</v>
      </c>
      <c r="H11" s="12" t="s">
        <v>664</v>
      </c>
      <c r="I11" s="13">
        <v>57557.749999999993</v>
      </c>
      <c r="J11">
        <f t="shared" si="0"/>
        <v>124</v>
      </c>
      <c r="L11" s="12" t="s">
        <v>1726</v>
      </c>
      <c r="M11" s="13">
        <v>3662592.1200000006</v>
      </c>
    </row>
    <row r="12" spans="1:13" x14ac:dyDescent="0.3">
      <c r="A12" s="12" t="s">
        <v>664</v>
      </c>
      <c r="B12" s="13">
        <v>57557.749999999993</v>
      </c>
      <c r="E12" s="12" t="s">
        <v>664</v>
      </c>
      <c r="F12" s="15">
        <v>46267.177256944444</v>
      </c>
      <c r="H12" s="12" t="s">
        <v>154</v>
      </c>
      <c r="I12" s="13">
        <v>69776.83</v>
      </c>
      <c r="J12">
        <f t="shared" si="0"/>
        <v>114</v>
      </c>
      <c r="L12" s="12" t="s">
        <v>1739</v>
      </c>
      <c r="M12" s="13">
        <v>2736808.0799999996</v>
      </c>
    </row>
    <row r="13" spans="1:13" x14ac:dyDescent="0.3">
      <c r="A13" s="12" t="s">
        <v>154</v>
      </c>
      <c r="B13" s="13">
        <v>69776.83</v>
      </c>
      <c r="E13" s="12" t="s">
        <v>154</v>
      </c>
      <c r="F13" s="15">
        <v>46194.863287037035</v>
      </c>
      <c r="H13" s="12" t="s">
        <v>616</v>
      </c>
      <c r="I13" s="13">
        <v>66526.75</v>
      </c>
      <c r="J13">
        <f t="shared" si="0"/>
        <v>114</v>
      </c>
      <c r="L13" s="12" t="s">
        <v>1734</v>
      </c>
      <c r="M13" s="13">
        <v>1698461.18</v>
      </c>
    </row>
    <row r="14" spans="1:13" x14ac:dyDescent="0.3">
      <c r="A14" s="12" t="s">
        <v>616</v>
      </c>
      <c r="B14" s="13">
        <v>66526.75</v>
      </c>
      <c r="E14" s="12" t="s">
        <v>616</v>
      </c>
      <c r="F14" s="15">
        <v>46157.850555555553</v>
      </c>
      <c r="H14" s="12" t="s">
        <v>639</v>
      </c>
      <c r="I14" s="13">
        <v>116642.73</v>
      </c>
      <c r="J14">
        <f t="shared" si="0"/>
        <v>68</v>
      </c>
      <c r="L14" s="12" t="s">
        <v>2121</v>
      </c>
      <c r="M14" s="13">
        <v>18063624.68</v>
      </c>
    </row>
    <row r="15" spans="1:13" x14ac:dyDescent="0.3">
      <c r="A15" s="12" t="s">
        <v>639</v>
      </c>
      <c r="B15" s="13">
        <v>116642.73</v>
      </c>
      <c r="E15" s="12" t="s">
        <v>639</v>
      </c>
      <c r="F15" s="15">
        <v>46263.225983796299</v>
      </c>
      <c r="H15" s="12" t="s">
        <v>249</v>
      </c>
      <c r="I15" s="13">
        <v>15659.41</v>
      </c>
      <c r="J15">
        <f t="shared" si="0"/>
        <v>157</v>
      </c>
    </row>
    <row r="16" spans="1:13" x14ac:dyDescent="0.3">
      <c r="A16" s="12" t="s">
        <v>249</v>
      </c>
      <c r="B16" s="13">
        <v>15659.41</v>
      </c>
      <c r="E16" s="12" t="s">
        <v>249</v>
      </c>
      <c r="F16" s="15">
        <v>45913.102835648147</v>
      </c>
      <c r="H16" s="12" t="s">
        <v>612</v>
      </c>
      <c r="I16" s="13">
        <v>112003.43</v>
      </c>
      <c r="J16">
        <f t="shared" si="0"/>
        <v>72</v>
      </c>
    </row>
    <row r="17" spans="1:10" x14ac:dyDescent="0.3">
      <c r="A17" s="12" t="s">
        <v>612</v>
      </c>
      <c r="B17" s="13">
        <v>112003.43</v>
      </c>
      <c r="E17" s="12" t="s">
        <v>612</v>
      </c>
      <c r="F17" s="15">
        <v>45905.84306712963</v>
      </c>
      <c r="H17" s="12" t="s">
        <v>298</v>
      </c>
      <c r="I17" s="13">
        <v>19173.600000000002</v>
      </c>
      <c r="J17">
        <f t="shared" si="0"/>
        <v>152</v>
      </c>
    </row>
    <row r="18" spans="1:10" x14ac:dyDescent="0.3">
      <c r="A18" s="12" t="s">
        <v>298</v>
      </c>
      <c r="B18" s="13">
        <v>19173.600000000002</v>
      </c>
      <c r="E18" s="12" t="s">
        <v>298</v>
      </c>
      <c r="F18" s="15">
        <v>46274.801828703705</v>
      </c>
      <c r="H18" s="12" t="s">
        <v>564</v>
      </c>
      <c r="I18" s="13">
        <v>62797.29</v>
      </c>
      <c r="J18">
        <f t="shared" si="0"/>
        <v>112</v>
      </c>
    </row>
    <row r="19" spans="1:10" x14ac:dyDescent="0.3">
      <c r="A19" s="12" t="s">
        <v>564</v>
      </c>
      <c r="B19" s="13">
        <v>62797.29</v>
      </c>
      <c r="E19" s="12" t="s">
        <v>564</v>
      </c>
      <c r="F19" s="15">
        <v>46291.513391203705</v>
      </c>
      <c r="H19" s="12" t="s">
        <v>741</v>
      </c>
      <c r="I19" s="13">
        <v>152600.75</v>
      </c>
      <c r="J19">
        <f t="shared" si="0"/>
        <v>32</v>
      </c>
    </row>
    <row r="20" spans="1:10" x14ac:dyDescent="0.3">
      <c r="A20" s="12" t="s">
        <v>741</v>
      </c>
      <c r="B20" s="13">
        <v>152600.75</v>
      </c>
      <c r="E20" s="12" t="s">
        <v>741</v>
      </c>
      <c r="F20" s="15">
        <v>46246.080706018518</v>
      </c>
      <c r="H20" s="12" t="s">
        <v>570</v>
      </c>
      <c r="I20" s="13">
        <v>187082.61</v>
      </c>
      <c r="J20">
        <f t="shared" si="0"/>
        <v>19</v>
      </c>
    </row>
    <row r="21" spans="1:10" x14ac:dyDescent="0.3">
      <c r="A21" s="12" t="s">
        <v>570</v>
      </c>
      <c r="B21" s="13">
        <v>187082.61</v>
      </c>
      <c r="E21" s="12" t="s">
        <v>570</v>
      </c>
      <c r="F21" s="15">
        <v>46260.880972222221</v>
      </c>
      <c r="H21" s="12" t="s">
        <v>255</v>
      </c>
      <c r="I21" s="13">
        <v>133864.4</v>
      </c>
      <c r="J21">
        <f t="shared" si="0"/>
        <v>45</v>
      </c>
    </row>
    <row r="22" spans="1:10" x14ac:dyDescent="0.3">
      <c r="A22" s="12" t="s">
        <v>255</v>
      </c>
      <c r="B22" s="13">
        <v>133864.4</v>
      </c>
      <c r="E22" s="12" t="s">
        <v>255</v>
      </c>
      <c r="F22" s="15">
        <v>46298.933900462966</v>
      </c>
      <c r="H22" s="12" t="s">
        <v>177</v>
      </c>
      <c r="I22" s="13">
        <v>205617.86</v>
      </c>
      <c r="J22">
        <f t="shared" si="0"/>
        <v>13</v>
      </c>
    </row>
    <row r="23" spans="1:10" x14ac:dyDescent="0.3">
      <c r="A23" s="12" t="s">
        <v>177</v>
      </c>
      <c r="B23" s="13">
        <v>205617.86</v>
      </c>
      <c r="E23" s="12" t="s">
        <v>177</v>
      </c>
      <c r="F23" s="15">
        <v>46254.049444444441</v>
      </c>
      <c r="H23" s="12" t="s">
        <v>536</v>
      </c>
      <c r="I23" s="13">
        <v>36777.379999999997</v>
      </c>
      <c r="J23">
        <f t="shared" si="0"/>
        <v>136</v>
      </c>
    </row>
    <row r="24" spans="1:10" x14ac:dyDescent="0.3">
      <c r="A24" s="12" t="s">
        <v>536</v>
      </c>
      <c r="B24" s="13">
        <v>36777.379999999997</v>
      </c>
      <c r="E24" s="12" t="s">
        <v>536</v>
      </c>
      <c r="F24" s="15">
        <v>46089.957662037035</v>
      </c>
      <c r="H24" s="12" t="s">
        <v>135</v>
      </c>
      <c r="I24" s="13">
        <v>144273.41</v>
      </c>
      <c r="J24">
        <f t="shared" si="0"/>
        <v>33</v>
      </c>
    </row>
    <row r="25" spans="1:10" x14ac:dyDescent="0.3">
      <c r="A25" s="12" t="s">
        <v>135</v>
      </c>
      <c r="B25" s="13">
        <v>144273.41</v>
      </c>
      <c r="E25" s="12" t="s">
        <v>135</v>
      </c>
      <c r="F25" s="15">
        <v>46285.232395833336</v>
      </c>
      <c r="H25" s="12" t="s">
        <v>379</v>
      </c>
      <c r="I25" s="13">
        <v>49413</v>
      </c>
      <c r="J25">
        <f t="shared" si="0"/>
        <v>122</v>
      </c>
    </row>
    <row r="26" spans="1:10" x14ac:dyDescent="0.3">
      <c r="A26" s="12" t="s">
        <v>379</v>
      </c>
      <c r="B26" s="13">
        <v>49413</v>
      </c>
      <c r="E26" s="12" t="s">
        <v>379</v>
      </c>
      <c r="F26" s="15">
        <v>46173.747650462959</v>
      </c>
      <c r="H26" s="12" t="s">
        <v>98</v>
      </c>
      <c r="I26" s="13">
        <v>117934.53</v>
      </c>
      <c r="J26">
        <f t="shared" si="0"/>
        <v>59</v>
      </c>
    </row>
    <row r="27" spans="1:10" x14ac:dyDescent="0.3">
      <c r="A27" s="12" t="s">
        <v>98</v>
      </c>
      <c r="B27" s="13">
        <v>117934.53</v>
      </c>
      <c r="E27" s="12" t="s">
        <v>98</v>
      </c>
      <c r="F27" s="15">
        <v>46275.061180555553</v>
      </c>
      <c r="H27" s="12" t="s">
        <v>425</v>
      </c>
      <c r="I27" s="13">
        <v>53907.07</v>
      </c>
      <c r="J27">
        <f t="shared" si="0"/>
        <v>117</v>
      </c>
    </row>
    <row r="28" spans="1:10" x14ac:dyDescent="0.3">
      <c r="A28" s="12" t="s">
        <v>425</v>
      </c>
      <c r="B28" s="13">
        <v>53907.07</v>
      </c>
      <c r="E28" s="12" t="s">
        <v>425</v>
      </c>
      <c r="F28" s="15">
        <v>46239.199930555558</v>
      </c>
      <c r="H28" s="12" t="s">
        <v>824</v>
      </c>
      <c r="I28" s="13">
        <v>76858.400000000009</v>
      </c>
      <c r="J28">
        <f t="shared" si="0"/>
        <v>101</v>
      </c>
    </row>
    <row r="29" spans="1:10" x14ac:dyDescent="0.3">
      <c r="A29" s="12" t="s">
        <v>824</v>
      </c>
      <c r="B29" s="13">
        <v>76858.400000000009</v>
      </c>
      <c r="E29" s="12" t="s">
        <v>824</v>
      </c>
      <c r="F29" s="15">
        <v>46159.754374999997</v>
      </c>
      <c r="H29" s="12" t="s">
        <v>109</v>
      </c>
      <c r="I29" s="13">
        <v>234745.49999999997</v>
      </c>
      <c r="J29">
        <f t="shared" si="0"/>
        <v>5</v>
      </c>
    </row>
    <row r="30" spans="1:10" x14ac:dyDescent="0.3">
      <c r="A30" s="12" t="s">
        <v>109</v>
      </c>
      <c r="B30" s="13">
        <v>234745.49999999997</v>
      </c>
      <c r="E30" s="12" t="s">
        <v>109</v>
      </c>
      <c r="F30" s="15">
        <v>46214.405740740738</v>
      </c>
      <c r="H30" s="12" t="s">
        <v>287</v>
      </c>
      <c r="I30" s="13">
        <v>134969.91</v>
      </c>
      <c r="J30">
        <f t="shared" si="0"/>
        <v>40</v>
      </c>
    </row>
    <row r="31" spans="1:10" x14ac:dyDescent="0.3">
      <c r="A31" s="12" t="s">
        <v>287</v>
      </c>
      <c r="B31" s="13">
        <v>134969.91</v>
      </c>
      <c r="E31" s="12" t="s">
        <v>287</v>
      </c>
      <c r="F31" s="15">
        <v>46211.673020833332</v>
      </c>
      <c r="H31" s="12" t="s">
        <v>231</v>
      </c>
      <c r="I31" s="13">
        <v>108827.01</v>
      </c>
      <c r="J31">
        <f t="shared" si="0"/>
        <v>66</v>
      </c>
    </row>
    <row r="32" spans="1:10" x14ac:dyDescent="0.3">
      <c r="A32" s="12" t="s">
        <v>231</v>
      </c>
      <c r="B32" s="13">
        <v>108827.01</v>
      </c>
      <c r="E32" s="12" t="s">
        <v>231</v>
      </c>
      <c r="F32" s="15">
        <v>46249.983611111114</v>
      </c>
      <c r="H32" s="12" t="s">
        <v>419</v>
      </c>
      <c r="I32" s="13">
        <v>99598.14</v>
      </c>
      <c r="J32">
        <f t="shared" si="0"/>
        <v>76</v>
      </c>
    </row>
    <row r="33" spans="1:10" x14ac:dyDescent="0.3">
      <c r="A33" s="12" t="s">
        <v>419</v>
      </c>
      <c r="B33" s="13">
        <v>99598.14</v>
      </c>
      <c r="E33" s="12" t="s">
        <v>419</v>
      </c>
      <c r="F33" s="15">
        <v>46224.096342592595</v>
      </c>
      <c r="H33" s="12" t="s">
        <v>159</v>
      </c>
      <c r="I33" s="13">
        <v>197950.65000000002</v>
      </c>
      <c r="J33">
        <f t="shared" si="0"/>
        <v>13</v>
      </c>
    </row>
    <row r="34" spans="1:10" x14ac:dyDescent="0.3">
      <c r="A34" s="12" t="s">
        <v>159</v>
      </c>
      <c r="B34" s="13">
        <v>197950.65000000002</v>
      </c>
      <c r="E34" s="12" t="s">
        <v>159</v>
      </c>
      <c r="F34" s="15">
        <v>46266.996087962965</v>
      </c>
      <c r="H34" s="12" t="s">
        <v>93</v>
      </c>
      <c r="I34" s="13">
        <v>89319.86</v>
      </c>
      <c r="J34">
        <f t="shared" si="0"/>
        <v>85</v>
      </c>
    </row>
    <row r="35" spans="1:10" x14ac:dyDescent="0.3">
      <c r="A35" s="12" t="s">
        <v>93</v>
      </c>
      <c r="B35" s="13">
        <v>89319.86</v>
      </c>
      <c r="E35" s="12" t="s">
        <v>93</v>
      </c>
      <c r="F35" s="15">
        <v>46288.416076388887</v>
      </c>
      <c r="H35" s="12" t="s">
        <v>239</v>
      </c>
      <c r="I35" s="13">
        <v>170939.81</v>
      </c>
      <c r="J35">
        <f t="shared" si="0"/>
        <v>22</v>
      </c>
    </row>
    <row r="36" spans="1:10" x14ac:dyDescent="0.3">
      <c r="A36" s="12" t="s">
        <v>239</v>
      </c>
      <c r="B36" s="13">
        <v>170939.81</v>
      </c>
      <c r="E36" s="12" t="s">
        <v>239</v>
      </c>
      <c r="F36" s="15">
        <v>46147.74759259259</v>
      </c>
      <c r="H36" s="12" t="s">
        <v>64</v>
      </c>
      <c r="I36" s="13">
        <v>125602</v>
      </c>
      <c r="J36">
        <f t="shared" si="0"/>
        <v>48</v>
      </c>
    </row>
    <row r="37" spans="1:10" x14ac:dyDescent="0.3">
      <c r="A37" s="12" t="s">
        <v>64</v>
      </c>
      <c r="B37" s="13">
        <v>125602</v>
      </c>
      <c r="E37" s="12" t="s">
        <v>196</v>
      </c>
      <c r="F37" s="15">
        <v>46248.240347222221</v>
      </c>
      <c r="H37" s="12" t="s">
        <v>953</v>
      </c>
      <c r="I37" s="13">
        <v>98143.73</v>
      </c>
      <c r="J37">
        <f t="shared" si="0"/>
        <v>73</v>
      </c>
    </row>
    <row r="38" spans="1:10" x14ac:dyDescent="0.3">
      <c r="A38" s="12" t="s">
        <v>953</v>
      </c>
      <c r="B38" s="13">
        <v>98143.73</v>
      </c>
      <c r="E38" s="12" t="s">
        <v>64</v>
      </c>
      <c r="F38" s="15">
        <v>46224.2503125</v>
      </c>
      <c r="H38" s="12" t="s">
        <v>720</v>
      </c>
      <c r="I38" s="13">
        <v>37704.6</v>
      </c>
      <c r="J38">
        <f t="shared" si="0"/>
        <v>121</v>
      </c>
    </row>
    <row r="39" spans="1:10" x14ac:dyDescent="0.3">
      <c r="A39" s="12" t="s">
        <v>720</v>
      </c>
      <c r="B39" s="13">
        <v>37704.6</v>
      </c>
      <c r="E39" s="12" t="s">
        <v>953</v>
      </c>
      <c r="F39" s="15">
        <v>46204.854212962964</v>
      </c>
      <c r="H39" s="12" t="s">
        <v>524</v>
      </c>
      <c r="I39" s="13">
        <v>132562.35999999999</v>
      </c>
      <c r="J39">
        <f t="shared" si="0"/>
        <v>39</v>
      </c>
    </row>
    <row r="40" spans="1:10" x14ac:dyDescent="0.3">
      <c r="A40" s="12" t="s">
        <v>524</v>
      </c>
      <c r="B40" s="13">
        <v>132562.35999999999</v>
      </c>
      <c r="E40" s="12" t="s">
        <v>720</v>
      </c>
      <c r="F40" s="15">
        <v>45863.925844907404</v>
      </c>
      <c r="H40" s="12" t="s">
        <v>272</v>
      </c>
      <c r="I40" s="13">
        <v>49490.89</v>
      </c>
      <c r="J40">
        <f t="shared" si="0"/>
        <v>108</v>
      </c>
    </row>
    <row r="41" spans="1:10" x14ac:dyDescent="0.3">
      <c r="A41" s="12" t="s">
        <v>272</v>
      </c>
      <c r="B41" s="13">
        <v>49490.89</v>
      </c>
      <c r="E41" s="12" t="s">
        <v>524</v>
      </c>
      <c r="F41" s="15">
        <v>46238.440937500003</v>
      </c>
      <c r="H41" s="12" t="s">
        <v>919</v>
      </c>
      <c r="I41" s="13">
        <v>7171.76</v>
      </c>
      <c r="J41">
        <f t="shared" si="0"/>
        <v>133</v>
      </c>
    </row>
    <row r="42" spans="1:10" x14ac:dyDescent="0.3">
      <c r="A42" s="12" t="s">
        <v>919</v>
      </c>
      <c r="B42" s="13">
        <v>7171.76</v>
      </c>
      <c r="E42" s="12" t="s">
        <v>272</v>
      </c>
      <c r="F42" s="15">
        <v>46229.019062500003</v>
      </c>
      <c r="H42" s="12" t="s">
        <v>761</v>
      </c>
      <c r="I42" s="13">
        <v>136974.6</v>
      </c>
      <c r="J42">
        <f t="shared" si="0"/>
        <v>37</v>
      </c>
    </row>
    <row r="43" spans="1:10" x14ac:dyDescent="0.3">
      <c r="A43" s="12" t="s">
        <v>761</v>
      </c>
      <c r="B43" s="13">
        <v>136974.6</v>
      </c>
      <c r="E43" s="12" t="s">
        <v>184</v>
      </c>
      <c r="F43" s="15">
        <v>45990.407766203702</v>
      </c>
      <c r="H43" s="12" t="s">
        <v>144</v>
      </c>
      <c r="I43" s="13">
        <v>189679.69999999998</v>
      </c>
      <c r="J43">
        <f t="shared" si="0"/>
        <v>15</v>
      </c>
    </row>
    <row r="44" spans="1:10" x14ac:dyDescent="0.3">
      <c r="A44" s="12" t="s">
        <v>144</v>
      </c>
      <c r="B44" s="13">
        <v>189679.69999999998</v>
      </c>
      <c r="E44" s="12" t="s">
        <v>919</v>
      </c>
      <c r="F44" s="15">
        <v>46130.758842592593</v>
      </c>
      <c r="H44" s="12" t="s">
        <v>448</v>
      </c>
      <c r="I44" s="13">
        <v>247840.45</v>
      </c>
      <c r="J44">
        <f t="shared" si="0"/>
        <v>4</v>
      </c>
    </row>
    <row r="45" spans="1:10" x14ac:dyDescent="0.3">
      <c r="A45" s="12" t="s">
        <v>448</v>
      </c>
      <c r="B45" s="13">
        <v>247840.45</v>
      </c>
      <c r="E45" s="12" t="s">
        <v>761</v>
      </c>
      <c r="F45" s="15">
        <v>46114.072511574072</v>
      </c>
      <c r="H45" s="12" t="s">
        <v>289</v>
      </c>
      <c r="I45" s="13">
        <v>117065.82</v>
      </c>
      <c r="J45">
        <f t="shared" si="0"/>
        <v>52</v>
      </c>
    </row>
    <row r="46" spans="1:10" x14ac:dyDescent="0.3">
      <c r="A46" s="12" t="s">
        <v>289</v>
      </c>
      <c r="B46" s="13">
        <v>117065.82</v>
      </c>
      <c r="E46" s="12" t="s">
        <v>144</v>
      </c>
      <c r="F46" s="15">
        <v>46111.697314814817</v>
      </c>
      <c r="H46" s="12" t="s">
        <v>474</v>
      </c>
      <c r="I46" s="13">
        <v>127697.13</v>
      </c>
      <c r="J46">
        <f t="shared" si="0"/>
        <v>39</v>
      </c>
    </row>
    <row r="47" spans="1:10" x14ac:dyDescent="0.3">
      <c r="A47" s="12" t="s">
        <v>474</v>
      </c>
      <c r="B47" s="13">
        <v>127697.13</v>
      </c>
      <c r="E47" s="12" t="s">
        <v>448</v>
      </c>
      <c r="F47" s="15">
        <v>46250.021203703705</v>
      </c>
      <c r="H47" s="12" t="s">
        <v>556</v>
      </c>
      <c r="I47" s="13">
        <v>46561.61</v>
      </c>
      <c r="J47">
        <f t="shared" si="0"/>
        <v>106</v>
      </c>
    </row>
    <row r="48" spans="1:10" x14ac:dyDescent="0.3">
      <c r="A48" s="12" t="s">
        <v>556</v>
      </c>
      <c r="B48" s="13">
        <v>46561.61</v>
      </c>
      <c r="E48" s="12" t="s">
        <v>289</v>
      </c>
      <c r="F48" s="15">
        <v>46240.32984953704</v>
      </c>
      <c r="H48" s="12" t="s">
        <v>1181</v>
      </c>
      <c r="I48" s="13">
        <v>26696.78</v>
      </c>
      <c r="J48">
        <f t="shared" si="0"/>
        <v>117</v>
      </c>
    </row>
    <row r="49" spans="1:10" x14ac:dyDescent="0.3">
      <c r="A49" s="12" t="s">
        <v>1181</v>
      </c>
      <c r="B49" s="13">
        <v>26696.78</v>
      </c>
      <c r="E49" s="12" t="s">
        <v>474</v>
      </c>
      <c r="F49" s="15">
        <v>46193.999560185184</v>
      </c>
      <c r="H49" s="12" t="s">
        <v>633</v>
      </c>
      <c r="I49" s="13">
        <v>35984.31</v>
      </c>
      <c r="J49">
        <f t="shared" si="0"/>
        <v>113</v>
      </c>
    </row>
    <row r="50" spans="1:10" x14ac:dyDescent="0.3">
      <c r="A50" s="12" t="s">
        <v>633</v>
      </c>
      <c r="B50" s="13">
        <v>35984.31</v>
      </c>
      <c r="E50" s="12" t="s">
        <v>556</v>
      </c>
      <c r="F50" s="15">
        <v>46036.266076388885</v>
      </c>
      <c r="H50" s="12" t="s">
        <v>445</v>
      </c>
      <c r="I50" s="13">
        <v>47741.97</v>
      </c>
      <c r="J50">
        <f t="shared" si="0"/>
        <v>103</v>
      </c>
    </row>
    <row r="51" spans="1:10" x14ac:dyDescent="0.3">
      <c r="A51" s="12" t="s">
        <v>445</v>
      </c>
      <c r="B51" s="13">
        <v>47741.97</v>
      </c>
      <c r="E51" s="12" t="s">
        <v>1181</v>
      </c>
      <c r="F51" s="15">
        <v>46049.583541666667</v>
      </c>
      <c r="H51" s="12" t="s">
        <v>808</v>
      </c>
      <c r="I51" s="13">
        <v>59656</v>
      </c>
      <c r="J51">
        <f t="shared" si="0"/>
        <v>92</v>
      </c>
    </row>
    <row r="52" spans="1:10" x14ac:dyDescent="0.3">
      <c r="A52" s="12" t="s">
        <v>808</v>
      </c>
      <c r="B52" s="13">
        <v>59656</v>
      </c>
      <c r="E52" s="12" t="s">
        <v>633</v>
      </c>
      <c r="F52" s="15">
        <v>46077.015509259261</v>
      </c>
      <c r="H52" s="12" t="s">
        <v>281</v>
      </c>
      <c r="I52" s="13">
        <v>122740.41</v>
      </c>
      <c r="J52">
        <f t="shared" si="0"/>
        <v>44</v>
      </c>
    </row>
    <row r="53" spans="1:10" x14ac:dyDescent="0.3">
      <c r="A53" s="12" t="s">
        <v>281</v>
      </c>
      <c r="B53" s="13">
        <v>122740.41</v>
      </c>
      <c r="E53" s="12" t="s">
        <v>445</v>
      </c>
      <c r="F53" s="15">
        <v>46209.675775462965</v>
      </c>
      <c r="H53" s="12" t="s">
        <v>55</v>
      </c>
      <c r="I53" s="13">
        <v>88834.36</v>
      </c>
      <c r="J53">
        <f t="shared" si="0"/>
        <v>75</v>
      </c>
    </row>
    <row r="54" spans="1:10" x14ac:dyDescent="0.3">
      <c r="A54" s="12" t="s">
        <v>55</v>
      </c>
      <c r="B54" s="13">
        <v>88834.36</v>
      </c>
      <c r="E54" s="12" t="s">
        <v>808</v>
      </c>
      <c r="F54" s="15">
        <v>45775.399780092594</v>
      </c>
      <c r="H54" s="12" t="s">
        <v>609</v>
      </c>
      <c r="I54" s="13">
        <v>117990.48000000001</v>
      </c>
      <c r="J54">
        <f t="shared" si="0"/>
        <v>47</v>
      </c>
    </row>
    <row r="55" spans="1:10" x14ac:dyDescent="0.3">
      <c r="A55" s="12" t="s">
        <v>609</v>
      </c>
      <c r="B55" s="13">
        <v>117990.48000000001</v>
      </c>
      <c r="E55" s="12" t="s">
        <v>281</v>
      </c>
      <c r="F55" s="15">
        <v>46044.306041666663</v>
      </c>
      <c r="H55" s="12" t="s">
        <v>491</v>
      </c>
      <c r="I55" s="13">
        <v>70455.77</v>
      </c>
      <c r="J55">
        <f t="shared" si="0"/>
        <v>86</v>
      </c>
    </row>
    <row r="56" spans="1:10" x14ac:dyDescent="0.3">
      <c r="A56" s="12" t="s">
        <v>491</v>
      </c>
      <c r="B56" s="13">
        <v>70455.77</v>
      </c>
      <c r="E56" s="12" t="s">
        <v>55</v>
      </c>
      <c r="F56" s="15">
        <v>46017.925787037035</v>
      </c>
      <c r="H56" s="12" t="s">
        <v>852</v>
      </c>
      <c r="I56" s="13">
        <v>92695.87</v>
      </c>
      <c r="J56">
        <f t="shared" si="0"/>
        <v>70</v>
      </c>
    </row>
    <row r="57" spans="1:10" x14ac:dyDescent="0.3">
      <c r="A57" s="12" t="s">
        <v>852</v>
      </c>
      <c r="B57" s="13">
        <v>92695.87</v>
      </c>
      <c r="E57" s="12" t="s">
        <v>609</v>
      </c>
      <c r="F57" s="15">
        <v>46219.241238425922</v>
      </c>
      <c r="H57" s="12" t="s">
        <v>441</v>
      </c>
      <c r="I57" s="13">
        <v>167016.13999999998</v>
      </c>
      <c r="J57">
        <f t="shared" si="0"/>
        <v>20</v>
      </c>
    </row>
    <row r="58" spans="1:10" x14ac:dyDescent="0.3">
      <c r="A58" s="12" t="s">
        <v>441</v>
      </c>
      <c r="B58" s="13">
        <v>167016.13999999998</v>
      </c>
      <c r="E58" s="12" t="s">
        <v>491</v>
      </c>
      <c r="F58" s="15">
        <v>46295.687361111108</v>
      </c>
      <c r="H58" s="12" t="s">
        <v>407</v>
      </c>
      <c r="I58" s="13">
        <v>106256.51999999999</v>
      </c>
      <c r="J58">
        <f t="shared" si="0"/>
        <v>55</v>
      </c>
    </row>
    <row r="59" spans="1:10" x14ac:dyDescent="0.3">
      <c r="A59" s="12" t="s">
        <v>407</v>
      </c>
      <c r="B59" s="13">
        <v>106256.51999999999</v>
      </c>
      <c r="E59" s="12" t="s">
        <v>852</v>
      </c>
      <c r="F59" s="15">
        <v>46263.950601851851</v>
      </c>
      <c r="H59" s="12" t="s">
        <v>152</v>
      </c>
      <c r="I59" s="13">
        <v>126259.72</v>
      </c>
      <c r="J59">
        <f t="shared" si="0"/>
        <v>40</v>
      </c>
    </row>
    <row r="60" spans="1:10" x14ac:dyDescent="0.3">
      <c r="A60" s="12" t="s">
        <v>152</v>
      </c>
      <c r="B60" s="13">
        <v>126259.72</v>
      </c>
      <c r="E60" s="12" t="s">
        <v>441</v>
      </c>
      <c r="F60" s="15">
        <v>46188.204918981479</v>
      </c>
      <c r="H60" s="12" t="s">
        <v>614</v>
      </c>
      <c r="I60" s="13">
        <v>101296.17000000001</v>
      </c>
      <c r="J60">
        <f t="shared" si="0"/>
        <v>61</v>
      </c>
    </row>
    <row r="61" spans="1:10" x14ac:dyDescent="0.3">
      <c r="A61" s="12" t="s">
        <v>614</v>
      </c>
      <c r="B61" s="13">
        <v>101296.17000000001</v>
      </c>
      <c r="E61" s="12" t="s">
        <v>407</v>
      </c>
      <c r="F61" s="15">
        <v>46247.403796296298</v>
      </c>
      <c r="H61" s="12" t="s">
        <v>618</v>
      </c>
      <c r="I61" s="13">
        <v>114511.29999999999</v>
      </c>
      <c r="J61">
        <f t="shared" si="0"/>
        <v>47</v>
      </c>
    </row>
    <row r="62" spans="1:10" x14ac:dyDescent="0.3">
      <c r="A62" s="12" t="s">
        <v>618</v>
      </c>
      <c r="B62" s="13">
        <v>114511.29999999999</v>
      </c>
      <c r="E62" s="12" t="s">
        <v>152</v>
      </c>
      <c r="F62" s="15">
        <v>46238.200173611112</v>
      </c>
      <c r="H62" s="12" t="s">
        <v>888</v>
      </c>
      <c r="I62" s="13">
        <v>22945.32</v>
      </c>
      <c r="J62">
        <f t="shared" si="0"/>
        <v>105</v>
      </c>
    </row>
    <row r="63" spans="1:10" x14ac:dyDescent="0.3">
      <c r="A63" s="12" t="s">
        <v>888</v>
      </c>
      <c r="B63" s="13">
        <v>22945.32</v>
      </c>
      <c r="E63" s="12" t="s">
        <v>614</v>
      </c>
      <c r="F63" s="15">
        <v>46153.804722222223</v>
      </c>
      <c r="H63" s="12" t="s">
        <v>646</v>
      </c>
      <c r="I63" s="13">
        <v>27278.94</v>
      </c>
      <c r="J63">
        <f t="shared" si="0"/>
        <v>103</v>
      </c>
    </row>
    <row r="64" spans="1:10" x14ac:dyDescent="0.3">
      <c r="A64" s="12" t="s">
        <v>646</v>
      </c>
      <c r="B64" s="13">
        <v>27278.94</v>
      </c>
      <c r="E64" s="12" t="s">
        <v>618</v>
      </c>
      <c r="F64" s="15">
        <v>46158.88962962963</v>
      </c>
      <c r="H64" s="12" t="s">
        <v>1103</v>
      </c>
      <c r="I64" s="13">
        <v>17005.18</v>
      </c>
      <c r="J64">
        <f t="shared" si="0"/>
        <v>107</v>
      </c>
    </row>
    <row r="65" spans="1:10" x14ac:dyDescent="0.3">
      <c r="A65" s="12" t="s">
        <v>1103</v>
      </c>
      <c r="B65" s="13">
        <v>17005.18</v>
      </c>
      <c r="E65" s="12" t="s">
        <v>888</v>
      </c>
      <c r="F65" s="15">
        <v>46218.91369212963</v>
      </c>
      <c r="H65" s="12" t="s">
        <v>309</v>
      </c>
      <c r="I65" s="13">
        <v>130203.83</v>
      </c>
      <c r="J65">
        <f t="shared" si="0"/>
        <v>37</v>
      </c>
    </row>
    <row r="66" spans="1:10" x14ac:dyDescent="0.3">
      <c r="A66" s="12" t="s">
        <v>309</v>
      </c>
      <c r="B66" s="13">
        <v>130203.83</v>
      </c>
      <c r="E66" s="12" t="s">
        <v>646</v>
      </c>
      <c r="F66" s="15">
        <v>46260.721666666665</v>
      </c>
      <c r="H66" s="12" t="s">
        <v>356</v>
      </c>
      <c r="I66" s="13">
        <v>138389.16</v>
      </c>
      <c r="J66">
        <f t="shared" si="0"/>
        <v>32</v>
      </c>
    </row>
    <row r="67" spans="1:10" x14ac:dyDescent="0.3">
      <c r="A67" s="12" t="s">
        <v>356</v>
      </c>
      <c r="B67" s="13">
        <v>138389.16</v>
      </c>
      <c r="E67" s="12" t="s">
        <v>1103</v>
      </c>
      <c r="F67" s="15">
        <v>46149.439120370371</v>
      </c>
      <c r="H67" s="12" t="s">
        <v>781</v>
      </c>
      <c r="I67" s="13">
        <v>212924.71</v>
      </c>
      <c r="J67">
        <f t="shared" si="0"/>
        <v>9</v>
      </c>
    </row>
    <row r="68" spans="1:10" x14ac:dyDescent="0.3">
      <c r="A68" s="12" t="s">
        <v>781</v>
      </c>
      <c r="B68" s="13">
        <v>212924.71</v>
      </c>
      <c r="E68" s="12" t="s">
        <v>309</v>
      </c>
      <c r="F68" s="15">
        <v>46223.845833333333</v>
      </c>
      <c r="H68" s="12" t="s">
        <v>352</v>
      </c>
      <c r="I68" s="13">
        <v>148934.76999999999</v>
      </c>
      <c r="J68">
        <f t="shared" ref="J68:J131" si="1">_xlfn.RANK.EQ(I68,I68:I240,0)</f>
        <v>23</v>
      </c>
    </row>
    <row r="69" spans="1:10" x14ac:dyDescent="0.3">
      <c r="A69" s="12" t="s">
        <v>352</v>
      </c>
      <c r="B69" s="13">
        <v>148934.76999999999</v>
      </c>
      <c r="E69" s="12" t="s">
        <v>356</v>
      </c>
      <c r="F69" s="15">
        <v>46224.345810185187</v>
      </c>
      <c r="H69" s="12" t="s">
        <v>307</v>
      </c>
      <c r="I69" s="13">
        <v>39585.949999999997</v>
      </c>
      <c r="J69">
        <f t="shared" si="1"/>
        <v>95</v>
      </c>
    </row>
    <row r="70" spans="1:10" x14ac:dyDescent="0.3">
      <c r="A70" s="12" t="s">
        <v>307</v>
      </c>
      <c r="B70" s="13">
        <v>39585.949999999997</v>
      </c>
      <c r="E70" s="12" t="s">
        <v>781</v>
      </c>
      <c r="F70" s="15">
        <v>46190.713321759256</v>
      </c>
      <c r="H70" s="12" t="s">
        <v>364</v>
      </c>
      <c r="I70" s="13">
        <v>59018.929999999993</v>
      </c>
      <c r="J70">
        <f t="shared" si="1"/>
        <v>79</v>
      </c>
    </row>
    <row r="71" spans="1:10" x14ac:dyDescent="0.3">
      <c r="A71" s="12" t="s">
        <v>364</v>
      </c>
      <c r="B71" s="13">
        <v>59018.929999999993</v>
      </c>
      <c r="E71" s="12" t="s">
        <v>352</v>
      </c>
      <c r="F71" s="15">
        <v>46294.754259259258</v>
      </c>
      <c r="H71" s="12" t="s">
        <v>314</v>
      </c>
      <c r="I71" s="13">
        <v>93744.44</v>
      </c>
      <c r="J71">
        <f t="shared" si="1"/>
        <v>59</v>
      </c>
    </row>
    <row r="72" spans="1:10" x14ac:dyDescent="0.3">
      <c r="A72" s="12" t="s">
        <v>314</v>
      </c>
      <c r="B72" s="13">
        <v>93744.44</v>
      </c>
      <c r="E72" s="12" t="s">
        <v>307</v>
      </c>
      <c r="F72" s="15">
        <v>46279.716539351852</v>
      </c>
      <c r="H72" s="12" t="s">
        <v>173</v>
      </c>
      <c r="I72" s="13">
        <v>88809.62</v>
      </c>
      <c r="J72">
        <f t="shared" si="1"/>
        <v>63</v>
      </c>
    </row>
    <row r="73" spans="1:10" x14ac:dyDescent="0.3">
      <c r="A73" s="12" t="s">
        <v>173</v>
      </c>
      <c r="B73" s="13">
        <v>88809.62</v>
      </c>
      <c r="E73" s="12" t="s">
        <v>364</v>
      </c>
      <c r="F73" s="15">
        <v>46271.253541666665</v>
      </c>
      <c r="H73" s="12" t="s">
        <v>481</v>
      </c>
      <c r="I73" s="13">
        <v>216917.27</v>
      </c>
      <c r="J73">
        <f t="shared" si="1"/>
        <v>7</v>
      </c>
    </row>
    <row r="74" spans="1:10" x14ac:dyDescent="0.3">
      <c r="A74" s="12" t="s">
        <v>481</v>
      </c>
      <c r="B74" s="13">
        <v>216917.27</v>
      </c>
      <c r="E74" s="12" t="s">
        <v>314</v>
      </c>
      <c r="F74" s="15">
        <v>46164.656076388892</v>
      </c>
      <c r="H74" s="12" t="s">
        <v>642</v>
      </c>
      <c r="I74" s="13">
        <v>78231.67</v>
      </c>
      <c r="J74">
        <f t="shared" si="1"/>
        <v>68</v>
      </c>
    </row>
    <row r="75" spans="1:10" x14ac:dyDescent="0.3">
      <c r="A75" s="12" t="s">
        <v>642</v>
      </c>
      <c r="B75" s="13">
        <v>78231.67</v>
      </c>
      <c r="E75" s="12" t="s">
        <v>173</v>
      </c>
      <c r="F75" s="15">
        <v>46200.361307870371</v>
      </c>
      <c r="H75" s="12" t="s">
        <v>599</v>
      </c>
      <c r="I75" s="13">
        <v>192524.05</v>
      </c>
      <c r="J75">
        <f t="shared" si="1"/>
        <v>11</v>
      </c>
    </row>
    <row r="76" spans="1:10" x14ac:dyDescent="0.3">
      <c r="A76" s="12" t="s">
        <v>599</v>
      </c>
      <c r="B76" s="13">
        <v>192524.05</v>
      </c>
      <c r="E76" s="12" t="s">
        <v>481</v>
      </c>
      <c r="F76" s="15">
        <v>46273.495879629627</v>
      </c>
      <c r="H76" s="12" t="s">
        <v>1058</v>
      </c>
      <c r="I76" s="13">
        <v>89833.790000000008</v>
      </c>
      <c r="J76">
        <f t="shared" si="1"/>
        <v>60</v>
      </c>
    </row>
    <row r="77" spans="1:10" x14ac:dyDescent="0.3">
      <c r="A77" s="12" t="s">
        <v>1058</v>
      </c>
      <c r="B77" s="13">
        <v>89833.790000000008</v>
      </c>
      <c r="E77" s="12" t="s">
        <v>642</v>
      </c>
      <c r="F77" s="15">
        <v>45962.748333333337</v>
      </c>
      <c r="H77" s="12" t="s">
        <v>728</v>
      </c>
      <c r="I77" s="13">
        <v>35757.54</v>
      </c>
      <c r="J77">
        <f t="shared" si="1"/>
        <v>89</v>
      </c>
    </row>
    <row r="78" spans="1:10" x14ac:dyDescent="0.3">
      <c r="A78" s="12" t="s">
        <v>728</v>
      </c>
      <c r="B78" s="13">
        <v>35757.54</v>
      </c>
      <c r="E78" s="12" t="s">
        <v>599</v>
      </c>
      <c r="F78" s="15">
        <v>46190.958541666667</v>
      </c>
      <c r="H78" s="12" t="s">
        <v>948</v>
      </c>
      <c r="I78" s="13">
        <v>142138.22000000003</v>
      </c>
      <c r="J78">
        <f t="shared" si="1"/>
        <v>24</v>
      </c>
    </row>
    <row r="79" spans="1:10" x14ac:dyDescent="0.3">
      <c r="A79" s="12" t="s">
        <v>948</v>
      </c>
      <c r="B79" s="13">
        <v>142138.22000000003</v>
      </c>
      <c r="E79" s="12" t="s">
        <v>1058</v>
      </c>
      <c r="F79" s="15">
        <v>46062.013935185183</v>
      </c>
      <c r="H79" s="12" t="s">
        <v>187</v>
      </c>
      <c r="I79" s="13">
        <v>82581.94</v>
      </c>
      <c r="J79">
        <f t="shared" si="1"/>
        <v>61</v>
      </c>
    </row>
    <row r="80" spans="1:10" x14ac:dyDescent="0.3">
      <c r="A80" s="12" t="s">
        <v>187</v>
      </c>
      <c r="B80" s="13">
        <v>82581.94</v>
      </c>
      <c r="E80" s="12" t="s">
        <v>728</v>
      </c>
      <c r="F80" s="15">
        <v>46060.387650462966</v>
      </c>
      <c r="H80" s="12" t="s">
        <v>138</v>
      </c>
      <c r="I80" s="13">
        <v>6477.23</v>
      </c>
      <c r="J80">
        <f t="shared" si="1"/>
        <v>95</v>
      </c>
    </row>
    <row r="81" spans="1:10" x14ac:dyDescent="0.3">
      <c r="A81" s="12" t="s">
        <v>138</v>
      </c>
      <c r="B81" s="13">
        <v>6477.23</v>
      </c>
      <c r="E81" s="12" t="s">
        <v>948</v>
      </c>
      <c r="F81" s="15">
        <v>46233.751388888886</v>
      </c>
      <c r="H81" s="12" t="s">
        <v>714</v>
      </c>
      <c r="I81" s="13">
        <v>82554.649999999994</v>
      </c>
      <c r="J81">
        <f t="shared" si="1"/>
        <v>61</v>
      </c>
    </row>
    <row r="82" spans="1:10" x14ac:dyDescent="0.3">
      <c r="A82" s="12" t="s">
        <v>714</v>
      </c>
      <c r="B82" s="13">
        <v>82554.649999999994</v>
      </c>
      <c r="E82" s="12" t="s">
        <v>187</v>
      </c>
      <c r="F82" s="15">
        <v>46229.045659722222</v>
      </c>
      <c r="H82" s="12" t="s">
        <v>625</v>
      </c>
      <c r="I82" s="13">
        <v>148733.87</v>
      </c>
      <c r="J82">
        <f t="shared" si="1"/>
        <v>21</v>
      </c>
    </row>
    <row r="83" spans="1:10" x14ac:dyDescent="0.3">
      <c r="A83" s="12" t="s">
        <v>625</v>
      </c>
      <c r="B83" s="13">
        <v>148733.87</v>
      </c>
      <c r="E83" s="12" t="s">
        <v>138</v>
      </c>
      <c r="F83" s="15">
        <v>46290.235555555555</v>
      </c>
      <c r="H83" s="12" t="s">
        <v>295</v>
      </c>
      <c r="I83" s="13">
        <v>54867.850000000006</v>
      </c>
      <c r="J83">
        <f t="shared" si="1"/>
        <v>73</v>
      </c>
    </row>
    <row r="84" spans="1:10" x14ac:dyDescent="0.3">
      <c r="A84" s="12" t="s">
        <v>295</v>
      </c>
      <c r="B84" s="13">
        <v>54867.850000000006</v>
      </c>
      <c r="E84" s="12" t="s">
        <v>714</v>
      </c>
      <c r="F84" s="15">
        <v>46142.511284722219</v>
      </c>
      <c r="H84" s="12" t="s">
        <v>162</v>
      </c>
      <c r="I84" s="13">
        <v>102886.29000000001</v>
      </c>
      <c r="J84">
        <f t="shared" si="1"/>
        <v>51</v>
      </c>
    </row>
    <row r="85" spans="1:10" x14ac:dyDescent="0.3">
      <c r="A85" s="12" t="s">
        <v>162</v>
      </c>
      <c r="B85" s="13">
        <v>102886.29000000001</v>
      </c>
      <c r="E85" s="12" t="s">
        <v>625</v>
      </c>
      <c r="F85" s="15">
        <v>46069.872395833336</v>
      </c>
      <c r="H85" s="12" t="s">
        <v>327</v>
      </c>
      <c r="I85" s="13">
        <v>112720.70000000003</v>
      </c>
      <c r="J85">
        <f t="shared" si="1"/>
        <v>41</v>
      </c>
    </row>
    <row r="86" spans="1:10" x14ac:dyDescent="0.3">
      <c r="A86" s="12" t="s">
        <v>327</v>
      </c>
      <c r="B86" s="13">
        <v>112720.70000000003</v>
      </c>
      <c r="E86" s="12" t="s">
        <v>295</v>
      </c>
      <c r="F86" s="15">
        <v>46258.489988425928</v>
      </c>
      <c r="H86" s="12" t="s">
        <v>170</v>
      </c>
      <c r="I86" s="13">
        <v>126438.78</v>
      </c>
      <c r="J86">
        <f t="shared" si="1"/>
        <v>31</v>
      </c>
    </row>
    <row r="87" spans="1:10" x14ac:dyDescent="0.3">
      <c r="A87" s="12" t="s">
        <v>170</v>
      </c>
      <c r="B87" s="13">
        <v>126438.78</v>
      </c>
      <c r="E87" s="12" t="s">
        <v>162</v>
      </c>
      <c r="F87" s="15">
        <v>46220.400555555556</v>
      </c>
      <c r="H87" s="12" t="s">
        <v>88</v>
      </c>
      <c r="I87" s="13">
        <v>90230.059999999983</v>
      </c>
      <c r="J87">
        <f t="shared" si="1"/>
        <v>54</v>
      </c>
    </row>
    <row r="88" spans="1:10" x14ac:dyDescent="0.3">
      <c r="A88" s="12" t="s">
        <v>88</v>
      </c>
      <c r="B88" s="13">
        <v>90230.059999999983</v>
      </c>
      <c r="E88" s="12" t="s">
        <v>327</v>
      </c>
      <c r="F88" s="15">
        <v>46290.740717592591</v>
      </c>
      <c r="H88" s="12" t="s">
        <v>320</v>
      </c>
      <c r="I88" s="13">
        <v>171135.03999999998</v>
      </c>
      <c r="J88">
        <f t="shared" si="1"/>
        <v>16</v>
      </c>
    </row>
    <row r="89" spans="1:10" x14ac:dyDescent="0.3">
      <c r="A89" s="12" t="s">
        <v>320</v>
      </c>
      <c r="B89" s="13">
        <v>171135.03999999998</v>
      </c>
      <c r="E89" s="12" t="s">
        <v>170</v>
      </c>
      <c r="F89" s="15">
        <v>46272.492048611108</v>
      </c>
      <c r="H89" s="12" t="s">
        <v>501</v>
      </c>
      <c r="I89" s="13">
        <v>140759.07999999999</v>
      </c>
      <c r="J89">
        <f t="shared" si="1"/>
        <v>22</v>
      </c>
    </row>
    <row r="90" spans="1:10" x14ac:dyDescent="0.3">
      <c r="A90" s="12" t="s">
        <v>501</v>
      </c>
      <c r="B90" s="13">
        <v>140759.07999999999</v>
      </c>
      <c r="E90" s="12" t="s">
        <v>88</v>
      </c>
      <c r="F90" s="15">
        <v>46097.321377314816</v>
      </c>
      <c r="H90" s="12" t="s">
        <v>116</v>
      </c>
      <c r="I90" s="13">
        <v>203058.74</v>
      </c>
      <c r="J90">
        <f t="shared" si="1"/>
        <v>9</v>
      </c>
    </row>
    <row r="91" spans="1:10" x14ac:dyDescent="0.3">
      <c r="A91" s="12" t="s">
        <v>116</v>
      </c>
      <c r="B91" s="13">
        <v>203058.74</v>
      </c>
      <c r="E91" s="12" t="s">
        <v>320</v>
      </c>
      <c r="F91" s="15">
        <v>46081.082013888888</v>
      </c>
      <c r="H91" s="12" t="s">
        <v>220</v>
      </c>
      <c r="I91" s="13">
        <v>263354.19999999995</v>
      </c>
      <c r="J91">
        <f t="shared" si="1"/>
        <v>2</v>
      </c>
    </row>
    <row r="92" spans="1:10" x14ac:dyDescent="0.3">
      <c r="A92" s="12" t="s">
        <v>220</v>
      </c>
      <c r="B92" s="13">
        <v>263354.19999999995</v>
      </c>
      <c r="E92" s="12" t="s">
        <v>501</v>
      </c>
      <c r="F92" s="15">
        <v>46131.87400462963</v>
      </c>
      <c r="H92" s="12" t="s">
        <v>914</v>
      </c>
      <c r="I92" s="13">
        <v>138580.21</v>
      </c>
      <c r="J92">
        <f t="shared" si="1"/>
        <v>21</v>
      </c>
    </row>
    <row r="93" spans="1:10" x14ac:dyDescent="0.3">
      <c r="A93" s="12" t="s">
        <v>914</v>
      </c>
      <c r="B93" s="13">
        <v>138580.21</v>
      </c>
      <c r="E93" s="12" t="s">
        <v>116</v>
      </c>
      <c r="F93" s="15">
        <v>46248.578819444447</v>
      </c>
      <c r="H93" s="12" t="s">
        <v>359</v>
      </c>
      <c r="I93" s="13">
        <v>107785.91</v>
      </c>
      <c r="J93">
        <f t="shared" si="1"/>
        <v>37</v>
      </c>
    </row>
    <row r="94" spans="1:10" x14ac:dyDescent="0.3">
      <c r="A94" s="12" t="s">
        <v>359</v>
      </c>
      <c r="B94" s="13">
        <v>107785.91</v>
      </c>
      <c r="E94" s="12" t="s">
        <v>220</v>
      </c>
      <c r="F94" s="15">
        <v>46228.089120370372</v>
      </c>
      <c r="H94" s="12" t="s">
        <v>126</v>
      </c>
      <c r="I94" s="13">
        <v>113177.96</v>
      </c>
      <c r="J94">
        <f t="shared" si="1"/>
        <v>34</v>
      </c>
    </row>
    <row r="95" spans="1:10" x14ac:dyDescent="0.3">
      <c r="A95" s="12" t="s">
        <v>126</v>
      </c>
      <c r="B95" s="13">
        <v>113177.96</v>
      </c>
      <c r="E95" s="12" t="s">
        <v>914</v>
      </c>
      <c r="F95" s="15">
        <v>46228.07136574074</v>
      </c>
      <c r="H95" s="12" t="s">
        <v>292</v>
      </c>
      <c r="I95" s="13">
        <v>16099.310000000001</v>
      </c>
      <c r="J95">
        <f t="shared" si="1"/>
        <v>78</v>
      </c>
    </row>
    <row r="96" spans="1:10" x14ac:dyDescent="0.3">
      <c r="A96" s="12" t="s">
        <v>292</v>
      </c>
      <c r="B96" s="13">
        <v>16099.310000000001</v>
      </c>
      <c r="E96" s="12" t="s">
        <v>359</v>
      </c>
      <c r="F96" s="15">
        <v>45978.066990740743</v>
      </c>
      <c r="H96" s="12" t="s">
        <v>968</v>
      </c>
      <c r="I96" s="13">
        <v>5223.53</v>
      </c>
      <c r="J96">
        <f t="shared" si="1"/>
        <v>80</v>
      </c>
    </row>
    <row r="97" spans="1:10" x14ac:dyDescent="0.3">
      <c r="A97" s="12" t="s">
        <v>968</v>
      </c>
      <c r="B97" s="13">
        <v>5223.53</v>
      </c>
      <c r="E97" s="12" t="s">
        <v>126</v>
      </c>
      <c r="F97" s="15">
        <v>46116.176550925928</v>
      </c>
      <c r="H97" s="12" t="s">
        <v>270</v>
      </c>
      <c r="I97" s="13">
        <v>212680.65</v>
      </c>
      <c r="J97">
        <f t="shared" si="1"/>
        <v>7</v>
      </c>
    </row>
    <row r="98" spans="1:10" x14ac:dyDescent="0.3">
      <c r="A98" s="12" t="s">
        <v>270</v>
      </c>
      <c r="B98" s="13">
        <v>212680.65</v>
      </c>
      <c r="E98" s="12" t="s">
        <v>1170</v>
      </c>
      <c r="F98" s="15">
        <v>46014.31821759259</v>
      </c>
      <c r="H98" s="12" t="s">
        <v>708</v>
      </c>
      <c r="I98" s="13">
        <v>54462.81</v>
      </c>
      <c r="J98">
        <f t="shared" si="1"/>
        <v>61</v>
      </c>
    </row>
    <row r="99" spans="1:10" x14ac:dyDescent="0.3">
      <c r="A99" s="12" t="s">
        <v>708</v>
      </c>
      <c r="B99" s="13">
        <v>54462.81</v>
      </c>
      <c r="E99" s="12" t="s">
        <v>292</v>
      </c>
      <c r="F99" s="15">
        <v>46123.748402777775</v>
      </c>
      <c r="H99" s="12" t="s">
        <v>213</v>
      </c>
      <c r="I99" s="13">
        <v>131613.16</v>
      </c>
      <c r="J99">
        <f t="shared" si="1"/>
        <v>22</v>
      </c>
    </row>
    <row r="100" spans="1:10" x14ac:dyDescent="0.3">
      <c r="A100" s="12" t="s">
        <v>213</v>
      </c>
      <c r="B100" s="13">
        <v>131613.16</v>
      </c>
      <c r="E100" s="12" t="s">
        <v>968</v>
      </c>
      <c r="F100" s="15">
        <v>46250.189363425925</v>
      </c>
      <c r="H100" s="12" t="s">
        <v>771</v>
      </c>
      <c r="I100" s="13">
        <v>113639.5</v>
      </c>
      <c r="J100">
        <f t="shared" si="1"/>
        <v>31</v>
      </c>
    </row>
    <row r="101" spans="1:10" x14ac:dyDescent="0.3">
      <c r="A101" s="12" t="s">
        <v>771</v>
      </c>
      <c r="B101" s="13">
        <v>113639.5</v>
      </c>
      <c r="E101" s="12" t="s">
        <v>270</v>
      </c>
      <c r="F101" s="15">
        <v>46245.029143518521</v>
      </c>
      <c r="H101" s="12" t="s">
        <v>130</v>
      </c>
      <c r="I101" s="13">
        <v>140500.60999999999</v>
      </c>
      <c r="J101">
        <f t="shared" si="1"/>
        <v>19</v>
      </c>
    </row>
    <row r="102" spans="1:10" x14ac:dyDescent="0.3">
      <c r="A102" s="12" t="s">
        <v>130</v>
      </c>
      <c r="B102" s="13">
        <v>140500.60999999999</v>
      </c>
      <c r="E102" s="12" t="s">
        <v>708</v>
      </c>
      <c r="F102" s="15">
        <v>46267.233842592592</v>
      </c>
      <c r="H102" s="12" t="s">
        <v>521</v>
      </c>
      <c r="I102" s="13">
        <v>57170.06</v>
      </c>
      <c r="J102">
        <f t="shared" si="1"/>
        <v>56</v>
      </c>
    </row>
    <row r="103" spans="1:10" x14ac:dyDescent="0.3">
      <c r="A103" s="12" t="s">
        <v>521</v>
      </c>
      <c r="B103" s="13">
        <v>57170.06</v>
      </c>
      <c r="E103" s="12" t="s">
        <v>213</v>
      </c>
      <c r="F103" s="15">
        <v>46193.972430555557</v>
      </c>
      <c r="H103" s="12" t="s">
        <v>732</v>
      </c>
      <c r="I103" s="13">
        <v>47352.66</v>
      </c>
      <c r="J103">
        <f t="shared" si="1"/>
        <v>59</v>
      </c>
    </row>
    <row r="104" spans="1:10" x14ac:dyDescent="0.3">
      <c r="A104" s="12" t="s">
        <v>732</v>
      </c>
      <c r="B104" s="13">
        <v>47352.66</v>
      </c>
      <c r="E104" s="12" t="s">
        <v>771</v>
      </c>
      <c r="F104" s="15">
        <v>46035.786620370367</v>
      </c>
      <c r="H104" s="12" t="s">
        <v>547</v>
      </c>
      <c r="I104" s="13">
        <v>173780.51</v>
      </c>
      <c r="J104">
        <f t="shared" si="1"/>
        <v>12</v>
      </c>
    </row>
    <row r="105" spans="1:10" x14ac:dyDescent="0.3">
      <c r="A105" s="12" t="s">
        <v>547</v>
      </c>
      <c r="B105" s="13">
        <v>173780.51</v>
      </c>
      <c r="E105" s="12" t="s">
        <v>130</v>
      </c>
      <c r="F105" s="15">
        <v>46279.414189814815</v>
      </c>
      <c r="H105" s="12" t="s">
        <v>368</v>
      </c>
      <c r="I105" s="13">
        <v>91463.78</v>
      </c>
      <c r="J105">
        <f t="shared" si="1"/>
        <v>41</v>
      </c>
    </row>
    <row r="106" spans="1:10" x14ac:dyDescent="0.3">
      <c r="A106" s="12" t="s">
        <v>368</v>
      </c>
      <c r="B106" s="13">
        <v>91463.78</v>
      </c>
      <c r="E106" s="12" t="s">
        <v>521</v>
      </c>
      <c r="F106" s="15">
        <v>46092.319374999999</v>
      </c>
      <c r="H106" s="12" t="s">
        <v>210</v>
      </c>
      <c r="I106" s="13">
        <v>94475.3</v>
      </c>
      <c r="J106">
        <f t="shared" si="1"/>
        <v>39</v>
      </c>
    </row>
    <row r="107" spans="1:10" x14ac:dyDescent="0.3">
      <c r="A107" s="12" t="s">
        <v>210</v>
      </c>
      <c r="B107" s="13">
        <v>94475.3</v>
      </c>
      <c r="E107" s="12" t="s">
        <v>732</v>
      </c>
      <c r="F107" s="15">
        <v>46167.781284722223</v>
      </c>
      <c r="H107" s="12" t="s">
        <v>1074</v>
      </c>
      <c r="I107" s="13">
        <v>105155.39</v>
      </c>
      <c r="J107">
        <f t="shared" si="1"/>
        <v>33</v>
      </c>
    </row>
    <row r="108" spans="1:10" x14ac:dyDescent="0.3">
      <c r="A108" s="12" t="s">
        <v>1074</v>
      </c>
      <c r="B108" s="13">
        <v>105155.39</v>
      </c>
      <c r="E108" s="12" t="s">
        <v>1087</v>
      </c>
      <c r="F108" s="15">
        <v>46191.347037037034</v>
      </c>
      <c r="H108" s="12" t="s">
        <v>102</v>
      </c>
      <c r="I108" s="13">
        <v>157905.66999999998</v>
      </c>
      <c r="J108">
        <f t="shared" si="1"/>
        <v>13</v>
      </c>
    </row>
    <row r="109" spans="1:10" x14ac:dyDescent="0.3">
      <c r="A109" s="12" t="s">
        <v>102</v>
      </c>
      <c r="B109" s="13">
        <v>157905.66999999998</v>
      </c>
      <c r="E109" s="12" t="s">
        <v>547</v>
      </c>
      <c r="F109" s="15">
        <v>46210.344560185185</v>
      </c>
      <c r="H109" s="12" t="s">
        <v>258</v>
      </c>
      <c r="I109" s="13">
        <v>30146.379999999997</v>
      </c>
      <c r="J109">
        <f t="shared" si="1"/>
        <v>61</v>
      </c>
    </row>
    <row r="110" spans="1:10" x14ac:dyDescent="0.3">
      <c r="A110" s="12" t="s">
        <v>258</v>
      </c>
      <c r="B110" s="13">
        <v>30146.379999999997</v>
      </c>
      <c r="E110" s="12" t="s">
        <v>368</v>
      </c>
      <c r="F110" s="15">
        <v>46256.756736111114</v>
      </c>
      <c r="H110" s="12" t="s">
        <v>235</v>
      </c>
      <c r="I110" s="13">
        <v>187011.62</v>
      </c>
      <c r="J110">
        <f t="shared" si="1"/>
        <v>8</v>
      </c>
    </row>
    <row r="111" spans="1:10" x14ac:dyDescent="0.3">
      <c r="A111" s="12" t="s">
        <v>235</v>
      </c>
      <c r="B111" s="13">
        <v>187011.62</v>
      </c>
      <c r="E111" s="12" t="s">
        <v>210</v>
      </c>
      <c r="F111" s="15">
        <v>46221.726701388892</v>
      </c>
      <c r="H111" s="12" t="s">
        <v>113</v>
      </c>
      <c r="I111" s="13">
        <v>255407.28999999998</v>
      </c>
      <c r="J111">
        <f t="shared" si="1"/>
        <v>2</v>
      </c>
    </row>
    <row r="112" spans="1:10" x14ac:dyDescent="0.3">
      <c r="A112" s="12" t="s">
        <v>113</v>
      </c>
      <c r="B112" s="13">
        <v>255407.28999999998</v>
      </c>
      <c r="E112" s="12" t="s">
        <v>1074</v>
      </c>
      <c r="F112" s="15">
        <v>46001.811643518522</v>
      </c>
      <c r="H112" s="12" t="s">
        <v>749</v>
      </c>
      <c r="I112" s="13">
        <v>55368.5</v>
      </c>
      <c r="J112">
        <f t="shared" si="1"/>
        <v>49</v>
      </c>
    </row>
    <row r="113" spans="1:10" x14ac:dyDescent="0.3">
      <c r="A113" s="12" t="s">
        <v>749</v>
      </c>
      <c r="B113" s="13">
        <v>55368.5</v>
      </c>
      <c r="E113" s="12" t="s">
        <v>102</v>
      </c>
      <c r="F113" s="15">
        <v>46268.412129629629</v>
      </c>
      <c r="H113" s="12" t="s">
        <v>590</v>
      </c>
      <c r="I113" s="13">
        <v>85689.33</v>
      </c>
      <c r="J113">
        <f t="shared" si="1"/>
        <v>36</v>
      </c>
    </row>
    <row r="114" spans="1:10" x14ac:dyDescent="0.3">
      <c r="A114" s="12" t="s">
        <v>590</v>
      </c>
      <c r="B114" s="13">
        <v>85689.33</v>
      </c>
      <c r="E114" s="12" t="s">
        <v>258</v>
      </c>
      <c r="F114" s="15">
        <v>46004.90115740741</v>
      </c>
      <c r="H114" s="12" t="s">
        <v>530</v>
      </c>
      <c r="I114" s="13">
        <v>21061.79</v>
      </c>
      <c r="J114">
        <f t="shared" si="1"/>
        <v>59</v>
      </c>
    </row>
    <row r="115" spans="1:10" x14ac:dyDescent="0.3">
      <c r="A115" s="12" t="s">
        <v>530</v>
      </c>
      <c r="B115" s="13">
        <v>21061.79</v>
      </c>
      <c r="E115" s="12" t="s">
        <v>235</v>
      </c>
      <c r="F115" s="15">
        <v>46262.391145833331</v>
      </c>
      <c r="H115" s="12" t="s">
        <v>736</v>
      </c>
      <c r="I115" s="13">
        <v>154086.29999999999</v>
      </c>
      <c r="J115">
        <f t="shared" si="1"/>
        <v>11</v>
      </c>
    </row>
    <row r="116" spans="1:10" x14ac:dyDescent="0.3">
      <c r="A116" s="12" t="s">
        <v>736</v>
      </c>
      <c r="B116" s="13">
        <v>154086.29999999999</v>
      </c>
      <c r="E116" s="12" t="s">
        <v>113</v>
      </c>
      <c r="F116" s="15">
        <v>46156.731377314813</v>
      </c>
      <c r="H116" s="12" t="s">
        <v>83</v>
      </c>
      <c r="I116" s="13">
        <v>110702.62000000001</v>
      </c>
      <c r="J116">
        <f t="shared" si="1"/>
        <v>25</v>
      </c>
    </row>
    <row r="117" spans="1:10" x14ac:dyDescent="0.3">
      <c r="A117" s="12" t="s">
        <v>83</v>
      </c>
      <c r="B117" s="13">
        <v>110702.62000000001</v>
      </c>
      <c r="E117" s="12" t="s">
        <v>749</v>
      </c>
      <c r="F117" s="15">
        <v>46284.379988425928</v>
      </c>
      <c r="H117" s="12" t="s">
        <v>166</v>
      </c>
      <c r="I117" s="13">
        <v>127624.59</v>
      </c>
      <c r="J117">
        <f t="shared" si="1"/>
        <v>17</v>
      </c>
    </row>
    <row r="118" spans="1:10" x14ac:dyDescent="0.3">
      <c r="A118" s="12" t="s">
        <v>166</v>
      </c>
      <c r="B118" s="13">
        <v>127624.59</v>
      </c>
      <c r="E118" s="12" t="s">
        <v>590</v>
      </c>
      <c r="F118" s="15">
        <v>46244.231724537036</v>
      </c>
      <c r="H118" s="12" t="s">
        <v>411</v>
      </c>
      <c r="I118" s="13">
        <v>134850.70000000001</v>
      </c>
      <c r="J118">
        <f t="shared" si="1"/>
        <v>15</v>
      </c>
    </row>
    <row r="119" spans="1:10" x14ac:dyDescent="0.3">
      <c r="A119" s="12" t="s">
        <v>411</v>
      </c>
      <c r="B119" s="13">
        <v>134850.70000000001</v>
      </c>
      <c r="E119" s="12" t="s">
        <v>530</v>
      </c>
      <c r="F119" s="15">
        <v>46278.099930555552</v>
      </c>
      <c r="H119" s="12" t="s">
        <v>324</v>
      </c>
      <c r="I119" s="13">
        <v>231232.94</v>
      </c>
      <c r="J119">
        <f t="shared" si="1"/>
        <v>2</v>
      </c>
    </row>
    <row r="120" spans="1:10" x14ac:dyDescent="0.3">
      <c r="A120" s="12" t="s">
        <v>324</v>
      </c>
      <c r="B120" s="13">
        <v>231232.94</v>
      </c>
      <c r="E120" s="12" t="s">
        <v>736</v>
      </c>
      <c r="F120" s="15">
        <v>46247.749710648146</v>
      </c>
      <c r="H120" s="12" t="s">
        <v>268</v>
      </c>
      <c r="I120" s="13">
        <v>61038.62</v>
      </c>
      <c r="J120">
        <f t="shared" si="1"/>
        <v>38</v>
      </c>
    </row>
    <row r="121" spans="1:10" x14ac:dyDescent="0.3">
      <c r="A121" s="12" t="s">
        <v>268</v>
      </c>
      <c r="B121" s="13">
        <v>61038.62</v>
      </c>
      <c r="E121" s="12" t="s">
        <v>83</v>
      </c>
      <c r="F121" s="15">
        <v>46253.003750000003</v>
      </c>
      <c r="H121" s="12" t="s">
        <v>515</v>
      </c>
      <c r="I121" s="13">
        <v>159936.36000000002</v>
      </c>
      <c r="J121">
        <f t="shared" si="1"/>
        <v>9</v>
      </c>
    </row>
    <row r="122" spans="1:10" x14ac:dyDescent="0.3">
      <c r="A122" s="12" t="s">
        <v>515</v>
      </c>
      <c r="B122" s="13">
        <v>159936.36000000002</v>
      </c>
      <c r="E122" s="12" t="s">
        <v>166</v>
      </c>
      <c r="F122" s="15">
        <v>46085.69871527778</v>
      </c>
      <c r="H122" s="12" t="s">
        <v>371</v>
      </c>
      <c r="I122" s="13">
        <v>9796.92</v>
      </c>
      <c r="J122">
        <f t="shared" si="1"/>
        <v>54</v>
      </c>
    </row>
    <row r="123" spans="1:10" x14ac:dyDescent="0.3">
      <c r="A123" s="12" t="s">
        <v>371</v>
      </c>
      <c r="B123" s="13">
        <v>9796.92</v>
      </c>
      <c r="E123" s="12" t="s">
        <v>411</v>
      </c>
      <c r="F123" s="15">
        <v>46027.676354166666</v>
      </c>
      <c r="H123" s="12" t="s">
        <v>527</v>
      </c>
      <c r="I123" s="13">
        <v>79667.09</v>
      </c>
      <c r="J123">
        <f t="shared" si="1"/>
        <v>32</v>
      </c>
    </row>
    <row r="124" spans="1:10" x14ac:dyDescent="0.3">
      <c r="A124" s="12" t="s">
        <v>527</v>
      </c>
      <c r="B124" s="13">
        <v>79667.09</v>
      </c>
      <c r="E124" s="12" t="s">
        <v>324</v>
      </c>
      <c r="F124" s="15">
        <v>46294.487071759257</v>
      </c>
      <c r="H124" s="12" t="s">
        <v>69</v>
      </c>
      <c r="I124" s="13">
        <v>103928.38</v>
      </c>
      <c r="J124">
        <f t="shared" si="1"/>
        <v>24</v>
      </c>
    </row>
    <row r="125" spans="1:10" x14ac:dyDescent="0.3">
      <c r="A125" s="12" t="s">
        <v>69</v>
      </c>
      <c r="B125" s="13">
        <v>103928.38</v>
      </c>
      <c r="E125" s="12" t="s">
        <v>268</v>
      </c>
      <c r="F125" s="15">
        <v>46289.692442129628</v>
      </c>
      <c r="H125" s="12" t="s">
        <v>122</v>
      </c>
      <c r="I125" s="13">
        <v>60716.4</v>
      </c>
      <c r="J125">
        <f t="shared" si="1"/>
        <v>35</v>
      </c>
    </row>
    <row r="126" spans="1:10" x14ac:dyDescent="0.3">
      <c r="A126" s="12" t="s">
        <v>122</v>
      </c>
      <c r="B126" s="13">
        <v>60716.4</v>
      </c>
      <c r="E126" s="12" t="s">
        <v>515</v>
      </c>
      <c r="F126" s="15">
        <v>46249.037754629629</v>
      </c>
      <c r="H126" s="12" t="s">
        <v>148</v>
      </c>
      <c r="I126" s="13">
        <v>179426.81</v>
      </c>
      <c r="J126">
        <f t="shared" si="1"/>
        <v>7</v>
      </c>
    </row>
    <row r="127" spans="1:10" x14ac:dyDescent="0.3">
      <c r="A127" s="12" t="s">
        <v>148</v>
      </c>
      <c r="B127" s="13">
        <v>179426.81</v>
      </c>
      <c r="E127" s="12" t="s">
        <v>371</v>
      </c>
      <c r="F127" s="15">
        <v>46025.927442129629</v>
      </c>
      <c r="H127" s="12" t="s">
        <v>895</v>
      </c>
      <c r="I127" s="13">
        <v>195597.61</v>
      </c>
      <c r="J127">
        <f t="shared" si="1"/>
        <v>5</v>
      </c>
    </row>
    <row r="128" spans="1:10" x14ac:dyDescent="0.3">
      <c r="A128" s="12" t="s">
        <v>895</v>
      </c>
      <c r="B128" s="13">
        <v>195597.61</v>
      </c>
      <c r="E128" s="12" t="s">
        <v>527</v>
      </c>
      <c r="F128" s="15">
        <v>46298.667557870373</v>
      </c>
      <c r="H128" s="12" t="s">
        <v>392</v>
      </c>
      <c r="I128" s="13">
        <v>142631.78999999998</v>
      </c>
      <c r="J128">
        <f t="shared" si="1"/>
        <v>9</v>
      </c>
    </row>
    <row r="129" spans="1:10" x14ac:dyDescent="0.3">
      <c r="A129" s="12" t="s">
        <v>392</v>
      </c>
      <c r="B129" s="13">
        <v>142631.78999999998</v>
      </c>
      <c r="E129" s="12" t="s">
        <v>69</v>
      </c>
      <c r="F129" s="15">
        <v>46106.287418981483</v>
      </c>
      <c r="H129" s="12" t="s">
        <v>822</v>
      </c>
      <c r="I129" s="13">
        <v>21170.76</v>
      </c>
      <c r="J129">
        <f t="shared" si="1"/>
        <v>45</v>
      </c>
    </row>
    <row r="130" spans="1:10" x14ac:dyDescent="0.3">
      <c r="A130" s="12" t="s">
        <v>822</v>
      </c>
      <c r="B130" s="13">
        <v>21170.76</v>
      </c>
      <c r="E130" s="12" t="s">
        <v>122</v>
      </c>
      <c r="F130" s="15">
        <v>46212.064108796294</v>
      </c>
      <c r="H130" s="12" t="s">
        <v>77</v>
      </c>
      <c r="I130" s="13">
        <v>59324.52</v>
      </c>
      <c r="J130">
        <f t="shared" si="1"/>
        <v>32</v>
      </c>
    </row>
    <row r="131" spans="1:10" x14ac:dyDescent="0.3">
      <c r="A131" s="12" t="s">
        <v>77</v>
      </c>
      <c r="B131" s="13">
        <v>59324.52</v>
      </c>
      <c r="E131" s="12" t="s">
        <v>148</v>
      </c>
      <c r="F131" s="15">
        <v>46287.098414351851</v>
      </c>
      <c r="H131" s="12" t="s">
        <v>461</v>
      </c>
      <c r="I131" s="13">
        <v>58484.08</v>
      </c>
      <c r="J131">
        <f t="shared" si="1"/>
        <v>33</v>
      </c>
    </row>
    <row r="132" spans="1:10" x14ac:dyDescent="0.3">
      <c r="A132" s="12" t="s">
        <v>461</v>
      </c>
      <c r="B132" s="13">
        <v>58484.08</v>
      </c>
      <c r="E132" s="12" t="s">
        <v>895</v>
      </c>
      <c r="F132" s="15">
        <v>46133.862395833334</v>
      </c>
      <c r="H132" s="12" t="s">
        <v>284</v>
      </c>
      <c r="I132" s="13">
        <v>130922.70000000001</v>
      </c>
      <c r="J132">
        <f t="shared" ref="J132:J175" si="2">_xlfn.RANK.EQ(I132,I132:I304,0)</f>
        <v>10</v>
      </c>
    </row>
    <row r="133" spans="1:10" x14ac:dyDescent="0.3">
      <c r="A133" s="12" t="s">
        <v>284</v>
      </c>
      <c r="B133" s="13">
        <v>130922.70000000001</v>
      </c>
      <c r="E133" s="12" t="s">
        <v>392</v>
      </c>
      <c r="F133" s="15">
        <v>46182.566574074073</v>
      </c>
      <c r="H133" s="12" t="s">
        <v>227</v>
      </c>
      <c r="I133" s="13">
        <v>93263.62999999999</v>
      </c>
      <c r="J133">
        <f t="shared" si="2"/>
        <v>24</v>
      </c>
    </row>
    <row r="134" spans="1:10" x14ac:dyDescent="0.3">
      <c r="A134" s="12" t="s">
        <v>227</v>
      </c>
      <c r="B134" s="13">
        <v>93263.62999999999</v>
      </c>
      <c r="E134" s="12" t="s">
        <v>822</v>
      </c>
      <c r="F134" s="15">
        <v>46052.285555555558</v>
      </c>
      <c r="H134" s="12" t="s">
        <v>1342</v>
      </c>
      <c r="I134" s="13">
        <v>42404.05</v>
      </c>
      <c r="J134">
        <f t="shared" si="2"/>
        <v>35</v>
      </c>
    </row>
    <row r="135" spans="1:10" x14ac:dyDescent="0.3">
      <c r="A135" s="12" t="s">
        <v>1342</v>
      </c>
      <c r="B135" s="13">
        <v>42404.05</v>
      </c>
      <c r="E135" s="12" t="s">
        <v>77</v>
      </c>
      <c r="F135" s="15">
        <v>46172.016064814816</v>
      </c>
      <c r="H135" s="12" t="s">
        <v>680</v>
      </c>
      <c r="I135" s="13">
        <v>153630.83000000002</v>
      </c>
      <c r="J135">
        <f t="shared" si="2"/>
        <v>7</v>
      </c>
    </row>
    <row r="136" spans="1:10" x14ac:dyDescent="0.3">
      <c r="A136" s="12" t="s">
        <v>680</v>
      </c>
      <c r="B136" s="13">
        <v>153630.83000000002</v>
      </c>
      <c r="E136" s="12" t="s">
        <v>461</v>
      </c>
      <c r="F136" s="15">
        <v>46244.22278935185</v>
      </c>
      <c r="H136" s="12" t="s">
        <v>275</v>
      </c>
      <c r="I136" s="13">
        <v>121547.83</v>
      </c>
      <c r="J136">
        <f t="shared" si="2"/>
        <v>11</v>
      </c>
    </row>
    <row r="137" spans="1:10" x14ac:dyDescent="0.3">
      <c r="A137" s="12" t="s">
        <v>275</v>
      </c>
      <c r="B137" s="13">
        <v>121547.83</v>
      </c>
      <c r="E137" s="12" t="s">
        <v>284</v>
      </c>
      <c r="F137" s="15">
        <v>46207.508368055554</v>
      </c>
      <c r="H137" s="12" t="s">
        <v>568</v>
      </c>
      <c r="I137" s="13">
        <v>97066.65</v>
      </c>
      <c r="J137">
        <f t="shared" si="2"/>
        <v>20</v>
      </c>
    </row>
    <row r="138" spans="1:10" x14ac:dyDescent="0.3">
      <c r="A138" s="12" t="s">
        <v>568</v>
      </c>
      <c r="B138" s="13">
        <v>97066.65</v>
      </c>
      <c r="E138" s="12" t="s">
        <v>227</v>
      </c>
      <c r="F138" s="15">
        <v>46263.906550925924</v>
      </c>
      <c r="H138" s="12" t="s">
        <v>437</v>
      </c>
      <c r="I138" s="13">
        <v>38880.68</v>
      </c>
      <c r="J138">
        <f t="shared" si="2"/>
        <v>35</v>
      </c>
    </row>
    <row r="139" spans="1:10" x14ac:dyDescent="0.3">
      <c r="A139" s="12" t="s">
        <v>437</v>
      </c>
      <c r="B139" s="13">
        <v>38880.68</v>
      </c>
      <c r="E139" s="12" t="s">
        <v>1342</v>
      </c>
      <c r="F139" s="15">
        <v>46044.584861111114</v>
      </c>
      <c r="H139" s="12" t="s">
        <v>585</v>
      </c>
      <c r="I139" s="13">
        <v>52981.16</v>
      </c>
      <c r="J139">
        <f t="shared" si="2"/>
        <v>28</v>
      </c>
    </row>
    <row r="140" spans="1:10" x14ac:dyDescent="0.3">
      <c r="A140" s="12" t="s">
        <v>585</v>
      </c>
      <c r="B140" s="13">
        <v>52981.16</v>
      </c>
      <c r="E140" s="12" t="s">
        <v>680</v>
      </c>
      <c r="F140" s="15">
        <v>46095.086643518516</v>
      </c>
      <c r="H140" s="12" t="s">
        <v>390</v>
      </c>
      <c r="I140" s="13">
        <v>124093.20000000001</v>
      </c>
      <c r="J140">
        <f t="shared" si="2"/>
        <v>10</v>
      </c>
    </row>
    <row r="141" spans="1:10" x14ac:dyDescent="0.3">
      <c r="A141" s="12" t="s">
        <v>390</v>
      </c>
      <c r="B141" s="13">
        <v>124093.20000000001</v>
      </c>
      <c r="E141" s="12" t="s">
        <v>275</v>
      </c>
      <c r="F141" s="15">
        <v>46279.124351851853</v>
      </c>
      <c r="H141" s="12" t="s">
        <v>194</v>
      </c>
      <c r="I141" s="13">
        <v>51900.89</v>
      </c>
      <c r="J141">
        <f t="shared" si="2"/>
        <v>27</v>
      </c>
    </row>
    <row r="142" spans="1:10" x14ac:dyDescent="0.3">
      <c r="A142" s="12" t="s">
        <v>194</v>
      </c>
      <c r="B142" s="13">
        <v>51900.89</v>
      </c>
      <c r="E142" s="12" t="s">
        <v>568</v>
      </c>
      <c r="F142" s="15">
        <v>46191.516863425924</v>
      </c>
      <c r="H142" s="12" t="s">
        <v>503</v>
      </c>
      <c r="I142" s="13">
        <v>15740.34</v>
      </c>
      <c r="J142">
        <f t="shared" si="2"/>
        <v>34</v>
      </c>
    </row>
    <row r="143" spans="1:10" x14ac:dyDescent="0.3">
      <c r="A143" s="12" t="s">
        <v>503</v>
      </c>
      <c r="B143" s="13">
        <v>15740.34</v>
      </c>
      <c r="E143" s="12" t="s">
        <v>437</v>
      </c>
      <c r="F143" s="15">
        <v>46295.383969907409</v>
      </c>
      <c r="H143" s="12" t="s">
        <v>223</v>
      </c>
      <c r="I143" s="13">
        <v>185429.88</v>
      </c>
      <c r="J143">
        <f t="shared" si="2"/>
        <v>5</v>
      </c>
    </row>
    <row r="144" spans="1:10" x14ac:dyDescent="0.3">
      <c r="A144" s="12" t="s">
        <v>223</v>
      </c>
      <c r="B144" s="13">
        <v>185429.88</v>
      </c>
      <c r="E144" s="12" t="s">
        <v>585</v>
      </c>
      <c r="F144" s="15">
        <v>46127.647881944446</v>
      </c>
      <c r="H144" s="12" t="s">
        <v>582</v>
      </c>
      <c r="I144" s="13">
        <v>58995.19</v>
      </c>
      <c r="J144">
        <f t="shared" si="2"/>
        <v>25</v>
      </c>
    </row>
    <row r="145" spans="1:10" x14ac:dyDescent="0.3">
      <c r="A145" s="12" t="s">
        <v>582</v>
      </c>
      <c r="B145" s="13">
        <v>58995.19</v>
      </c>
      <c r="E145" s="12" t="s">
        <v>390</v>
      </c>
      <c r="F145" s="15">
        <v>46261.764884259261</v>
      </c>
      <c r="H145" s="12" t="s">
        <v>252</v>
      </c>
      <c r="I145" s="13">
        <v>216575.00000000003</v>
      </c>
      <c r="J145">
        <f t="shared" si="2"/>
        <v>4</v>
      </c>
    </row>
    <row r="146" spans="1:10" x14ac:dyDescent="0.3">
      <c r="A146" s="12" t="s">
        <v>252</v>
      </c>
      <c r="B146" s="13">
        <v>216575.00000000003</v>
      </c>
      <c r="E146" s="12" t="s">
        <v>194</v>
      </c>
      <c r="F146" s="15">
        <v>46233.133506944447</v>
      </c>
      <c r="H146" s="12" t="s">
        <v>217</v>
      </c>
      <c r="I146" s="13">
        <v>174473.12</v>
      </c>
      <c r="J146">
        <f t="shared" si="2"/>
        <v>4</v>
      </c>
    </row>
    <row r="147" spans="1:10" x14ac:dyDescent="0.3">
      <c r="A147" s="12" t="s">
        <v>217</v>
      </c>
      <c r="B147" s="13">
        <v>174473.12</v>
      </c>
      <c r="E147" s="12" t="s">
        <v>503</v>
      </c>
      <c r="F147" s="15">
        <v>46246.007048611114</v>
      </c>
      <c r="H147" s="12" t="s">
        <v>897</v>
      </c>
      <c r="I147" s="13">
        <v>39921.990000000005</v>
      </c>
      <c r="J147">
        <f t="shared" si="2"/>
        <v>27</v>
      </c>
    </row>
    <row r="148" spans="1:10" x14ac:dyDescent="0.3">
      <c r="A148" s="12" t="s">
        <v>897</v>
      </c>
      <c r="B148" s="13">
        <v>39921.990000000005</v>
      </c>
      <c r="E148" s="12" t="s">
        <v>223</v>
      </c>
      <c r="F148" s="15">
        <v>46263.04278935185</v>
      </c>
      <c r="H148" s="12" t="s">
        <v>776</v>
      </c>
      <c r="I148" s="13">
        <v>76771.72</v>
      </c>
      <c r="J148">
        <f t="shared" si="2"/>
        <v>20</v>
      </c>
    </row>
    <row r="149" spans="1:10" x14ac:dyDescent="0.3">
      <c r="A149" s="12" t="s">
        <v>776</v>
      </c>
      <c r="B149" s="13">
        <v>76771.72</v>
      </c>
      <c r="E149" s="12" t="s">
        <v>582</v>
      </c>
      <c r="F149" s="15">
        <v>46209.494722222225</v>
      </c>
      <c r="H149" s="12" t="s">
        <v>804</v>
      </c>
      <c r="I149" s="13">
        <v>41493.94</v>
      </c>
      <c r="J149">
        <f t="shared" si="2"/>
        <v>25</v>
      </c>
    </row>
    <row r="150" spans="1:10" x14ac:dyDescent="0.3">
      <c r="A150" s="12" t="s">
        <v>804</v>
      </c>
      <c r="B150" s="13">
        <v>41493.94</v>
      </c>
      <c r="E150" s="12" t="s">
        <v>252</v>
      </c>
      <c r="F150" s="15">
        <v>46226.678460648145</v>
      </c>
      <c r="H150" s="12" t="s">
        <v>817</v>
      </c>
      <c r="I150" s="13">
        <v>80379.97</v>
      </c>
      <c r="J150">
        <f t="shared" si="2"/>
        <v>18</v>
      </c>
    </row>
    <row r="151" spans="1:10" x14ac:dyDescent="0.3">
      <c r="A151" s="12" t="s">
        <v>817</v>
      </c>
      <c r="B151" s="13">
        <v>80379.97</v>
      </c>
      <c r="E151" s="12" t="s">
        <v>811</v>
      </c>
      <c r="F151" s="15">
        <v>45687.137708333335</v>
      </c>
      <c r="H151" s="12" t="s">
        <v>395</v>
      </c>
      <c r="I151" s="13">
        <v>121155.1</v>
      </c>
      <c r="J151">
        <f t="shared" si="2"/>
        <v>7</v>
      </c>
    </row>
    <row r="152" spans="1:10" x14ac:dyDescent="0.3">
      <c r="A152" s="12" t="s">
        <v>395</v>
      </c>
      <c r="B152" s="13">
        <v>121155.1</v>
      </c>
      <c r="E152" s="12" t="s">
        <v>217</v>
      </c>
      <c r="F152" s="15">
        <v>46295.214421296296</v>
      </c>
      <c r="H152" s="12" t="s">
        <v>435</v>
      </c>
      <c r="I152" s="13">
        <v>83310.14</v>
      </c>
      <c r="J152">
        <f t="shared" si="2"/>
        <v>16</v>
      </c>
    </row>
    <row r="153" spans="1:10" x14ac:dyDescent="0.3">
      <c r="A153" s="12" t="s">
        <v>435</v>
      </c>
      <c r="B153" s="13">
        <v>83310.14</v>
      </c>
      <c r="E153" s="12" t="s">
        <v>897</v>
      </c>
      <c r="F153" s="15">
        <v>46172.227835648147</v>
      </c>
      <c r="H153" s="12" t="s">
        <v>574</v>
      </c>
      <c r="I153" s="13">
        <v>71983.899999999994</v>
      </c>
      <c r="J153">
        <f t="shared" si="2"/>
        <v>18</v>
      </c>
    </row>
    <row r="154" spans="1:10" x14ac:dyDescent="0.3">
      <c r="A154" s="12" t="s">
        <v>574</v>
      </c>
      <c r="B154" s="13">
        <v>71983.899999999994</v>
      </c>
      <c r="E154" s="12" t="s">
        <v>776</v>
      </c>
      <c r="F154" s="15">
        <v>46258.86922453704</v>
      </c>
      <c r="H154" s="12" t="s">
        <v>206</v>
      </c>
      <c r="I154" s="13">
        <v>47059.17</v>
      </c>
      <c r="J154">
        <f t="shared" si="2"/>
        <v>18</v>
      </c>
    </row>
    <row r="155" spans="1:10" x14ac:dyDescent="0.3">
      <c r="A155" s="12" t="s">
        <v>206</v>
      </c>
      <c r="B155" s="13">
        <v>47059.17</v>
      </c>
      <c r="E155" s="12" t="s">
        <v>804</v>
      </c>
      <c r="F155" s="15">
        <v>46113.501620370371</v>
      </c>
      <c r="H155" s="12" t="s">
        <v>867</v>
      </c>
      <c r="I155" s="13">
        <v>42105.54</v>
      </c>
      <c r="J155">
        <f t="shared" si="2"/>
        <v>19</v>
      </c>
    </row>
    <row r="156" spans="1:10" x14ac:dyDescent="0.3">
      <c r="A156" s="12" t="s">
        <v>867</v>
      </c>
      <c r="B156" s="13">
        <v>42105.54</v>
      </c>
      <c r="E156" s="12" t="s">
        <v>817</v>
      </c>
      <c r="F156" s="15">
        <v>46187.452418981484</v>
      </c>
      <c r="H156" s="12" t="s">
        <v>350</v>
      </c>
      <c r="I156" s="13">
        <v>103039.20000000001</v>
      </c>
      <c r="J156">
        <f t="shared" si="2"/>
        <v>14</v>
      </c>
    </row>
    <row r="157" spans="1:10" x14ac:dyDescent="0.3">
      <c r="A157" s="12" t="s">
        <v>350</v>
      </c>
      <c r="B157" s="13">
        <v>103039.20000000001</v>
      </c>
      <c r="E157" s="12" t="s">
        <v>395</v>
      </c>
      <c r="F157" s="15">
        <v>46231.767071759263</v>
      </c>
      <c r="H157" s="12" t="s">
        <v>1126</v>
      </c>
      <c r="I157" s="13">
        <v>94644.310000000012</v>
      </c>
      <c r="J157">
        <f t="shared" si="2"/>
        <v>14</v>
      </c>
    </row>
    <row r="158" spans="1:10" x14ac:dyDescent="0.3">
      <c r="A158" s="12" t="s">
        <v>1126</v>
      </c>
      <c r="B158" s="13">
        <v>94644.310000000012</v>
      </c>
      <c r="E158" s="12" t="s">
        <v>435</v>
      </c>
      <c r="F158" s="15">
        <v>46271.49827546296</v>
      </c>
      <c r="H158" s="12" t="s">
        <v>1094</v>
      </c>
      <c r="I158" s="13">
        <v>78202.97</v>
      </c>
      <c r="J158">
        <f t="shared" si="2"/>
        <v>14</v>
      </c>
    </row>
    <row r="159" spans="1:10" x14ac:dyDescent="0.3">
      <c r="A159" s="12" t="s">
        <v>1094</v>
      </c>
      <c r="B159" s="13">
        <v>78202.97</v>
      </c>
      <c r="E159" s="12" t="s">
        <v>574</v>
      </c>
      <c r="F159" s="15">
        <v>46271.865590277775</v>
      </c>
      <c r="H159" s="12" t="s">
        <v>333</v>
      </c>
      <c r="I159" s="13">
        <v>125952.45000000001</v>
      </c>
      <c r="J159">
        <f t="shared" si="2"/>
        <v>6</v>
      </c>
    </row>
    <row r="160" spans="1:10" x14ac:dyDescent="0.3">
      <c r="A160" s="12" t="s">
        <v>333</v>
      </c>
      <c r="B160" s="13">
        <v>125952.45000000001</v>
      </c>
      <c r="E160" s="12" t="s">
        <v>206</v>
      </c>
      <c r="F160" s="15">
        <v>46268.899224537039</v>
      </c>
      <c r="H160" s="12" t="s">
        <v>847</v>
      </c>
      <c r="I160" s="13">
        <v>137181.77000000002</v>
      </c>
      <c r="J160">
        <f t="shared" si="2"/>
        <v>5</v>
      </c>
    </row>
    <row r="161" spans="1:10" x14ac:dyDescent="0.3">
      <c r="A161" s="12" t="s">
        <v>847</v>
      </c>
      <c r="B161" s="13">
        <v>137181.77000000002</v>
      </c>
      <c r="E161" s="12" t="s">
        <v>867</v>
      </c>
      <c r="F161" s="15">
        <v>46268.318310185183</v>
      </c>
      <c r="H161" s="12" t="s">
        <v>428</v>
      </c>
      <c r="I161" s="13">
        <v>117795.12999999999</v>
      </c>
      <c r="J161">
        <f t="shared" si="2"/>
        <v>6</v>
      </c>
    </row>
    <row r="162" spans="1:10" x14ac:dyDescent="0.3">
      <c r="A162" s="12" t="s">
        <v>428</v>
      </c>
      <c r="B162" s="13">
        <v>117795.12999999999</v>
      </c>
      <c r="E162" s="12" t="s">
        <v>350</v>
      </c>
      <c r="F162" s="15">
        <v>46142.877060185187</v>
      </c>
      <c r="H162" s="12" t="s">
        <v>398</v>
      </c>
      <c r="I162" s="13">
        <v>109800.78</v>
      </c>
      <c r="J162">
        <f t="shared" si="2"/>
        <v>7</v>
      </c>
    </row>
    <row r="163" spans="1:10" x14ac:dyDescent="0.3">
      <c r="A163" s="12" t="s">
        <v>398</v>
      </c>
      <c r="B163" s="13">
        <v>109800.78</v>
      </c>
      <c r="E163" s="12" t="s">
        <v>1126</v>
      </c>
      <c r="F163" s="15">
        <v>46077.335729166669</v>
      </c>
      <c r="H163" s="12" t="s">
        <v>484</v>
      </c>
      <c r="I163" s="13">
        <v>223210.89999999997</v>
      </c>
      <c r="J163">
        <f t="shared" si="2"/>
        <v>3</v>
      </c>
    </row>
    <row r="164" spans="1:10" x14ac:dyDescent="0.3">
      <c r="A164" s="12" t="s">
        <v>484</v>
      </c>
      <c r="B164" s="13">
        <v>223210.89999999997</v>
      </c>
      <c r="E164" s="12" t="s">
        <v>1094</v>
      </c>
      <c r="F164" s="15">
        <v>46250.551608796297</v>
      </c>
      <c r="H164" s="12" t="s">
        <v>620</v>
      </c>
      <c r="I164" s="13">
        <v>44316.67</v>
      </c>
      <c r="J164">
        <f t="shared" si="2"/>
        <v>10</v>
      </c>
    </row>
    <row r="165" spans="1:10" x14ac:dyDescent="0.3">
      <c r="A165" s="12" t="s">
        <v>620</v>
      </c>
      <c r="B165" s="13">
        <v>44316.67</v>
      </c>
      <c r="E165" s="12" t="s">
        <v>333</v>
      </c>
      <c r="F165" s="15">
        <v>46201.252962962964</v>
      </c>
      <c r="H165" s="12" t="s">
        <v>261</v>
      </c>
      <c r="I165" s="13">
        <v>20855.86</v>
      </c>
      <c r="J165">
        <f t="shared" si="2"/>
        <v>11</v>
      </c>
    </row>
    <row r="166" spans="1:10" x14ac:dyDescent="0.3">
      <c r="A166" s="12" t="s">
        <v>261</v>
      </c>
      <c r="B166" s="13">
        <v>20855.86</v>
      </c>
      <c r="E166" s="12" t="s">
        <v>242</v>
      </c>
      <c r="F166" s="15">
        <v>46274.482743055552</v>
      </c>
      <c r="H166" s="12" t="s">
        <v>141</v>
      </c>
      <c r="I166" s="13">
        <v>74371.200000000012</v>
      </c>
      <c r="J166">
        <f t="shared" si="2"/>
        <v>9</v>
      </c>
    </row>
    <row r="167" spans="1:10" x14ac:dyDescent="0.3">
      <c r="A167" s="12" t="s">
        <v>141</v>
      </c>
      <c r="B167" s="13">
        <v>74371.200000000012</v>
      </c>
      <c r="E167" s="12" t="s">
        <v>847</v>
      </c>
      <c r="F167" s="15">
        <v>46243.955891203703</v>
      </c>
      <c r="H167" s="12" t="s">
        <v>246</v>
      </c>
      <c r="I167" s="13">
        <v>298069.90999999997</v>
      </c>
      <c r="J167">
        <f t="shared" si="2"/>
        <v>1</v>
      </c>
    </row>
    <row r="168" spans="1:10" x14ac:dyDescent="0.3">
      <c r="A168" s="12" t="s">
        <v>246</v>
      </c>
      <c r="B168" s="13">
        <v>298069.90999999997</v>
      </c>
      <c r="E168" s="12" t="s">
        <v>428</v>
      </c>
      <c r="F168" s="15">
        <v>46200.921516203707</v>
      </c>
      <c r="H168" s="12" t="s">
        <v>401</v>
      </c>
      <c r="I168" s="13">
        <v>24326.44</v>
      </c>
      <c r="J168">
        <f t="shared" si="2"/>
        <v>8</v>
      </c>
    </row>
    <row r="169" spans="1:10" x14ac:dyDescent="0.3">
      <c r="A169" s="12" t="s">
        <v>401</v>
      </c>
      <c r="B169" s="13">
        <v>24326.44</v>
      </c>
      <c r="E169" s="12" t="s">
        <v>398</v>
      </c>
      <c r="F169" s="15">
        <v>46295.640208333331</v>
      </c>
      <c r="H169" s="12" t="s">
        <v>477</v>
      </c>
      <c r="I169" s="13">
        <v>117121.79</v>
      </c>
      <c r="J169">
        <f t="shared" si="2"/>
        <v>4</v>
      </c>
    </row>
    <row r="170" spans="1:10" x14ac:dyDescent="0.3">
      <c r="A170" s="12" t="s">
        <v>477</v>
      </c>
      <c r="B170" s="13">
        <v>117121.79</v>
      </c>
      <c r="E170" s="12" t="s">
        <v>484</v>
      </c>
      <c r="F170" s="15">
        <v>46217.168194444443</v>
      </c>
      <c r="H170" s="12" t="s">
        <v>303</v>
      </c>
      <c r="I170" s="13">
        <v>105445.09</v>
      </c>
      <c r="J170">
        <f t="shared" si="2"/>
        <v>4</v>
      </c>
    </row>
    <row r="171" spans="1:10" x14ac:dyDescent="0.3">
      <c r="A171" s="12" t="s">
        <v>303</v>
      </c>
      <c r="B171" s="13">
        <v>105445.09</v>
      </c>
      <c r="E171" s="12" t="s">
        <v>620</v>
      </c>
      <c r="F171" s="15">
        <v>46264.193530092591</v>
      </c>
      <c r="H171" s="12" t="s">
        <v>684</v>
      </c>
      <c r="I171" s="13">
        <v>120714.05</v>
      </c>
      <c r="J171">
        <f t="shared" si="2"/>
        <v>3</v>
      </c>
    </row>
    <row r="172" spans="1:10" x14ac:dyDescent="0.3">
      <c r="A172" s="12" t="s">
        <v>684</v>
      </c>
      <c r="B172" s="13">
        <v>120714.05</v>
      </c>
      <c r="E172" s="12" t="s">
        <v>261</v>
      </c>
      <c r="F172" s="15">
        <v>46120.938055555554</v>
      </c>
      <c r="H172" s="12" t="s">
        <v>119</v>
      </c>
      <c r="I172" s="13">
        <v>145560.19</v>
      </c>
      <c r="J172">
        <f t="shared" si="2"/>
        <v>2</v>
      </c>
    </row>
    <row r="173" spans="1:10" x14ac:dyDescent="0.3">
      <c r="A173" s="12" t="s">
        <v>119</v>
      </c>
      <c r="B173" s="13">
        <v>145560.19</v>
      </c>
      <c r="E173" s="12" t="s">
        <v>141</v>
      </c>
      <c r="F173" s="15">
        <v>46102.175949074073</v>
      </c>
      <c r="H173" s="12" t="s">
        <v>759</v>
      </c>
      <c r="I173" s="13">
        <v>103592.79000000001</v>
      </c>
      <c r="J173">
        <f t="shared" si="2"/>
        <v>3</v>
      </c>
    </row>
    <row r="174" spans="1:10" x14ac:dyDescent="0.3">
      <c r="A174" s="12" t="s">
        <v>759</v>
      </c>
      <c r="B174" s="13">
        <v>103592.79000000001</v>
      </c>
      <c r="E174" s="12" t="s">
        <v>246</v>
      </c>
      <c r="F174" s="15">
        <v>46098.490624999999</v>
      </c>
      <c r="H174" s="12" t="s">
        <v>1005</v>
      </c>
      <c r="I174" s="13">
        <v>105402.1</v>
      </c>
      <c r="J174">
        <f t="shared" si="2"/>
        <v>2</v>
      </c>
    </row>
    <row r="175" spans="1:10" x14ac:dyDescent="0.3">
      <c r="A175" s="12" t="s">
        <v>1005</v>
      </c>
      <c r="B175" s="13">
        <v>105402.1</v>
      </c>
      <c r="E175" s="12" t="s">
        <v>401</v>
      </c>
      <c r="F175" s="15">
        <v>46233.728738425925</v>
      </c>
      <c r="H175" s="12" t="s">
        <v>180</v>
      </c>
      <c r="I175" s="13">
        <v>223457.96999999997</v>
      </c>
      <c r="J175">
        <f t="shared" si="2"/>
        <v>1</v>
      </c>
    </row>
    <row r="176" spans="1:10" x14ac:dyDescent="0.3">
      <c r="A176" s="12" t="s">
        <v>180</v>
      </c>
      <c r="B176" s="13">
        <v>223457.96999999997</v>
      </c>
      <c r="E176" s="12" t="s">
        <v>477</v>
      </c>
      <c r="F176" s="15">
        <v>46277.229224537034</v>
      </c>
    </row>
    <row r="177" spans="1:6" x14ac:dyDescent="0.3">
      <c r="A177" s="12" t="s">
        <v>2121</v>
      </c>
      <c r="B177" s="13">
        <v>18063624.68</v>
      </c>
      <c r="E177" s="12" t="s">
        <v>303</v>
      </c>
      <c r="F177" s="15">
        <v>46193.41615740741</v>
      </c>
    </row>
    <row r="178" spans="1:6" x14ac:dyDescent="0.3">
      <c r="E178" s="12" t="s">
        <v>684</v>
      </c>
      <c r="F178" s="15">
        <v>46223.583587962959</v>
      </c>
    </row>
    <row r="179" spans="1:6" x14ac:dyDescent="0.3">
      <c r="E179" s="12" t="s">
        <v>119</v>
      </c>
      <c r="F179" s="15">
        <v>46238.793321759258</v>
      </c>
    </row>
    <row r="180" spans="1:6" x14ac:dyDescent="0.3">
      <c r="E180" s="12" t="s">
        <v>759</v>
      </c>
      <c r="F180" s="15">
        <v>46189.445092592592</v>
      </c>
    </row>
    <row r="181" spans="1:6" x14ac:dyDescent="0.3">
      <c r="E181" s="12" t="s">
        <v>1005</v>
      </c>
      <c r="F181" s="15">
        <v>46147.052337962959</v>
      </c>
    </row>
    <row r="182" spans="1:6" x14ac:dyDescent="0.3">
      <c r="E182" s="12" t="s">
        <v>180</v>
      </c>
      <c r="F182" s="15">
        <v>46076.385787037034</v>
      </c>
    </row>
    <row r="183" spans="1:6" x14ac:dyDescent="0.3">
      <c r="E183" s="12" t="s">
        <v>2121</v>
      </c>
      <c r="F183" s="15">
        <v>46298.933900462966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topLeftCell="D1" workbookViewId="0">
      <pane ySplit="1" topLeftCell="A200" activePane="bottomLeft" state="frozen"/>
      <selection pane="bottomLeft" activeCell="K215" sqref="K215"/>
    </sheetView>
  </sheetViews>
  <sheetFormatPr defaultRowHeight="14.4" x14ac:dyDescent="0.3"/>
  <cols>
    <col min="1" max="1" width="16" customWidth="1"/>
    <col min="2" max="2" width="23" customWidth="1"/>
    <col min="3" max="3" width="11.77734375" bestFit="1" customWidth="1"/>
    <col min="4" max="4" width="13" customWidth="1"/>
    <col min="5" max="5" width="8" bestFit="1" customWidth="1"/>
    <col min="6" max="7" width="13" customWidth="1"/>
    <col min="8" max="8" width="10.5546875" bestFit="1" customWidth="1"/>
    <col min="9" max="9" width="20" style="10" customWidth="1"/>
    <col min="10" max="10" width="13" customWidth="1"/>
    <col min="11" max="11" width="16" customWidth="1"/>
    <col min="12" max="12" width="20" customWidth="1"/>
    <col min="13" max="13" width="13" customWidth="1"/>
    <col min="14" max="14" width="18" customWidth="1"/>
    <col min="15" max="15" width="21" customWidth="1"/>
    <col min="16" max="16" width="9.5546875" bestFit="1" customWidth="1"/>
    <col min="17" max="17" width="12.6640625" bestFit="1" customWidth="1"/>
  </cols>
  <sheetData>
    <row r="1" spans="1:17" ht="31.95" customHeight="1" x14ac:dyDescent="0.3">
      <c r="A1" s="1" t="s">
        <v>42</v>
      </c>
      <c r="B1" s="1" t="s">
        <v>43</v>
      </c>
      <c r="C1" s="1" t="s">
        <v>2113</v>
      </c>
      <c r="D1" s="1" t="s">
        <v>44</v>
      </c>
      <c r="E1" s="1" t="s">
        <v>2118</v>
      </c>
      <c r="F1" s="1" t="s">
        <v>45</v>
      </c>
      <c r="G1" s="1" t="s">
        <v>46</v>
      </c>
      <c r="H1" s="8" t="s">
        <v>2119</v>
      </c>
      <c r="I1" s="8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6" t="s">
        <v>2111</v>
      </c>
      <c r="Q1" s="6" t="s">
        <v>2117</v>
      </c>
    </row>
    <row r="2" spans="1:17" x14ac:dyDescent="0.3">
      <c r="A2" t="s">
        <v>54</v>
      </c>
      <c r="B2" s="2">
        <v>46017.925787037027</v>
      </c>
      <c r="C2" s="2" t="str">
        <f>TEXT(B2,"mmm-yyyy")</f>
        <v>Dec-2025</v>
      </c>
      <c r="D2" t="s">
        <v>55</v>
      </c>
      <c r="E2" t="str">
        <f>VLOOKUP(D2,Customers!A:H,7,0)</f>
        <v>Self-employed</v>
      </c>
      <c r="F2" t="s">
        <v>56</v>
      </c>
      <c r="G2" t="s">
        <v>57</v>
      </c>
      <c r="H2" t="str">
        <f>IFERROR(VLOOKUP(Transactions!G2,Merchants!A:B,2,FALSE),"Not Found")</f>
        <v>Daily Stores</v>
      </c>
      <c r="I2" s="9">
        <v>38002.959999999999</v>
      </c>
      <c r="J2" s="3">
        <v>114.01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tr">
        <f>IF(I2&gt;=2500,"High Value","Standard")</f>
        <v>High Value</v>
      </c>
      <c r="Q2" t="str">
        <f>VLOOKUP(G2,Merchants!A:C,3,TRUE)</f>
        <v>Travel</v>
      </c>
    </row>
    <row r="3" spans="1:17" x14ac:dyDescent="0.3">
      <c r="A3" t="s">
        <v>63</v>
      </c>
      <c r="B3" s="2">
        <v>45989.443935185183</v>
      </c>
      <c r="C3" s="2" t="str">
        <f t="shared" ref="C3:C66" si="0">TEXT(B3,"mmm-yyyy")</f>
        <v>Nov-2025</v>
      </c>
      <c r="D3" t="s">
        <v>64</v>
      </c>
      <c r="E3" t="str">
        <f>VLOOKUP(D3,Customers!A:H,7,0)</f>
        <v>Student</v>
      </c>
      <c r="F3" t="s">
        <v>65</v>
      </c>
      <c r="G3" t="s">
        <v>66</v>
      </c>
      <c r="H3" t="str">
        <f>IFERROR(VLOOKUP(Transactions!G3,Merchants!A:B,2,FALSE),"Not Found")</f>
        <v>Prime Digital</v>
      </c>
      <c r="I3" s="9">
        <v>17431.060000000001</v>
      </c>
      <c r="J3" s="3">
        <v>34.86</v>
      </c>
      <c r="K3" t="s">
        <v>58</v>
      </c>
      <c r="L3" t="s">
        <v>59</v>
      </c>
      <c r="M3" t="s">
        <v>60</v>
      </c>
      <c r="N3" t="s">
        <v>67</v>
      </c>
      <c r="O3" t="s">
        <v>62</v>
      </c>
      <c r="P3" t="str">
        <f t="shared" ref="P3:P66" si="1">IF(I3&gt;=2500,"High Value","Standard")</f>
        <v>High Value</v>
      </c>
      <c r="Q3" t="str">
        <f>VLOOKUP(G3,Merchants!A:C,3,TRUE)</f>
        <v>Fuel</v>
      </c>
    </row>
    <row r="4" spans="1:17" x14ac:dyDescent="0.3">
      <c r="A4" t="s">
        <v>68</v>
      </c>
      <c r="B4" s="2">
        <v>45913.221851851849</v>
      </c>
      <c r="C4" s="2" t="str">
        <f t="shared" si="0"/>
        <v>Sep-2025</v>
      </c>
      <c r="D4" t="s">
        <v>69</v>
      </c>
      <c r="E4" t="str">
        <f>VLOOKUP(D4,Customers!A:H,7,0)</f>
        <v>Self-employed</v>
      </c>
      <c r="F4" t="s">
        <v>70</v>
      </c>
      <c r="G4" t="s">
        <v>71</v>
      </c>
      <c r="H4" t="str">
        <f>IFERROR(VLOOKUP(Transactions!G4,Merchants!A:B,2,FALSE),"Not Found")</f>
        <v>Metro Pay</v>
      </c>
      <c r="I4" s="9">
        <v>42712.55</v>
      </c>
      <c r="J4" s="3">
        <v>427.13</v>
      </c>
      <c r="K4" t="s">
        <v>72</v>
      </c>
      <c r="L4" t="s">
        <v>73</v>
      </c>
      <c r="M4" t="s">
        <v>74</v>
      </c>
      <c r="N4" t="s">
        <v>61</v>
      </c>
      <c r="O4" t="s">
        <v>75</v>
      </c>
      <c r="P4" t="str">
        <f t="shared" si="1"/>
        <v>High Value</v>
      </c>
      <c r="Q4" t="str">
        <f>VLOOKUP(G4,Merchants!A:C,3,TRUE)</f>
        <v>Fashion</v>
      </c>
    </row>
    <row r="5" spans="1:17" x14ac:dyDescent="0.3">
      <c r="A5" t="s">
        <v>76</v>
      </c>
      <c r="B5" s="2">
        <v>45735.961226851847</v>
      </c>
      <c r="C5" s="2" t="str">
        <f t="shared" si="0"/>
        <v>Mar-2025</v>
      </c>
      <c r="D5" t="s">
        <v>77</v>
      </c>
      <c r="E5" t="str">
        <f>VLOOKUP(D5,Customers!A:H,7,0)</f>
        <v>Student</v>
      </c>
      <c r="F5" t="s">
        <v>78</v>
      </c>
      <c r="G5" t="s">
        <v>79</v>
      </c>
      <c r="H5" t="str">
        <f>IFERROR(VLOOKUP(Transactions!G5,Merchants!A:B,2,FALSE),"Not Found")</f>
        <v>Nova Retail</v>
      </c>
      <c r="I5" s="9">
        <v>47696.46</v>
      </c>
      <c r="J5" s="3">
        <v>476.96</v>
      </c>
      <c r="K5" t="s">
        <v>72</v>
      </c>
      <c r="L5" t="s">
        <v>80</v>
      </c>
      <c r="M5" t="s">
        <v>74</v>
      </c>
      <c r="N5" t="s">
        <v>61</v>
      </c>
      <c r="O5" t="s">
        <v>81</v>
      </c>
      <c r="P5" t="str">
        <f t="shared" si="1"/>
        <v>High Value</v>
      </c>
      <c r="Q5" t="str">
        <f>VLOOKUP(G5,Merchants!A:C,3,TRUE)</f>
        <v>Grocery</v>
      </c>
    </row>
    <row r="6" spans="1:17" x14ac:dyDescent="0.3">
      <c r="A6" t="s">
        <v>82</v>
      </c>
      <c r="B6" s="2">
        <v>46253.003750000003</v>
      </c>
      <c r="C6" s="2" t="str">
        <f t="shared" si="0"/>
        <v>Aug-2026</v>
      </c>
      <c r="D6" t="s">
        <v>83</v>
      </c>
      <c r="E6" t="str">
        <f>VLOOKUP(D6,Customers!A:H,7,0)</f>
        <v>Business Owner</v>
      </c>
      <c r="F6" t="s">
        <v>84</v>
      </c>
      <c r="G6" t="s">
        <v>85</v>
      </c>
      <c r="H6" t="str">
        <f>IFERROR(VLOOKUP(Transactions!G6,Merchants!A:B,2,FALSE),"Not Found")</f>
        <v>Metro Pay</v>
      </c>
      <c r="I6" s="9">
        <v>52147.57</v>
      </c>
      <c r="J6" s="3">
        <v>104.3</v>
      </c>
      <c r="K6" t="s">
        <v>72</v>
      </c>
      <c r="L6" t="s">
        <v>73</v>
      </c>
      <c r="M6" t="s">
        <v>86</v>
      </c>
      <c r="N6" t="s">
        <v>61</v>
      </c>
      <c r="O6" t="s">
        <v>62</v>
      </c>
      <c r="P6" t="str">
        <f t="shared" si="1"/>
        <v>High Value</v>
      </c>
      <c r="Q6" t="str">
        <f>VLOOKUP(G6,Merchants!A:C,3,TRUE)</f>
        <v>Travel</v>
      </c>
    </row>
    <row r="7" spans="1:17" x14ac:dyDescent="0.3">
      <c r="A7" t="s">
        <v>87</v>
      </c>
      <c r="B7" s="2">
        <v>46097.321377314824</v>
      </c>
      <c r="C7" s="2" t="str">
        <f t="shared" si="0"/>
        <v>Mar-2026</v>
      </c>
      <c r="D7" t="s">
        <v>88</v>
      </c>
      <c r="E7" t="str">
        <f>VLOOKUP(D7,Customers!A:H,7,0)</f>
        <v>Salaried</v>
      </c>
      <c r="F7" t="s">
        <v>89</v>
      </c>
      <c r="G7" t="s">
        <v>71</v>
      </c>
      <c r="H7" t="str">
        <f>IFERROR(VLOOKUP(Transactions!G7,Merchants!A:B,2,FALSE),"Not Found")</f>
        <v>Metro Pay</v>
      </c>
      <c r="I7" s="9">
        <v>29733.43</v>
      </c>
      <c r="J7" s="3">
        <v>148.66999999999999</v>
      </c>
      <c r="K7" t="s">
        <v>90</v>
      </c>
      <c r="L7" t="s">
        <v>59</v>
      </c>
      <c r="M7" t="s">
        <v>74</v>
      </c>
      <c r="N7" t="s">
        <v>61</v>
      </c>
      <c r="O7" t="s">
        <v>91</v>
      </c>
      <c r="P7" t="str">
        <f t="shared" si="1"/>
        <v>High Value</v>
      </c>
      <c r="Q7" t="str">
        <f>VLOOKUP(G7,Merchants!A:C,3,TRUE)</f>
        <v>Fashion</v>
      </c>
    </row>
    <row r="8" spans="1:17" x14ac:dyDescent="0.3">
      <c r="A8" t="s">
        <v>92</v>
      </c>
      <c r="B8" s="2">
        <v>45705.151053240741</v>
      </c>
      <c r="C8" s="2" t="str">
        <f t="shared" si="0"/>
        <v>Feb-2025</v>
      </c>
      <c r="D8" t="s">
        <v>93</v>
      </c>
      <c r="E8" t="str">
        <f>VLOOKUP(D8,Customers!A:H,7,0)</f>
        <v>Student</v>
      </c>
      <c r="F8" t="s">
        <v>94</v>
      </c>
      <c r="G8" t="s">
        <v>95</v>
      </c>
      <c r="H8" t="str">
        <f>IFERROR(VLOOKUP(Transactions!G8,Merchants!A:B,2,FALSE),"Not Found")</f>
        <v>Quick Pay</v>
      </c>
      <c r="I8" s="9">
        <v>37608.15</v>
      </c>
      <c r="J8" s="3">
        <v>75.22</v>
      </c>
      <c r="K8" t="s">
        <v>96</v>
      </c>
      <c r="L8" t="s">
        <v>73</v>
      </c>
      <c r="M8" t="s">
        <v>74</v>
      </c>
      <c r="N8" t="s">
        <v>67</v>
      </c>
      <c r="O8" t="s">
        <v>75</v>
      </c>
      <c r="P8" t="str">
        <f t="shared" si="1"/>
        <v>High Value</v>
      </c>
      <c r="Q8" t="str">
        <f>VLOOKUP(G8,Merchants!A:C,3,TRUE)</f>
        <v>Healthcare</v>
      </c>
    </row>
    <row r="9" spans="1:17" x14ac:dyDescent="0.3">
      <c r="A9" t="s">
        <v>97</v>
      </c>
      <c r="B9" s="2">
        <v>45865.200115740743</v>
      </c>
      <c r="C9" s="2" t="str">
        <f t="shared" si="0"/>
        <v>Jul-2025</v>
      </c>
      <c r="D9" t="s">
        <v>98</v>
      </c>
      <c r="E9" t="str">
        <f>VLOOKUP(D9,Customers!A:H,7,0)</f>
        <v>Self-employed</v>
      </c>
      <c r="F9" t="s">
        <v>99</v>
      </c>
      <c r="G9" t="s">
        <v>100</v>
      </c>
      <c r="H9" t="str">
        <f>IFERROR(VLOOKUP(Transactions!G9,Merchants!A:B,2,FALSE),"Not Found")</f>
        <v>Metro Stores</v>
      </c>
      <c r="I9" s="9">
        <v>52940.65</v>
      </c>
      <c r="J9" s="3">
        <v>264.7</v>
      </c>
      <c r="K9" t="s">
        <v>72</v>
      </c>
      <c r="L9" t="s">
        <v>59</v>
      </c>
      <c r="M9" t="s">
        <v>86</v>
      </c>
      <c r="N9" t="s">
        <v>61</v>
      </c>
      <c r="O9" t="s">
        <v>62</v>
      </c>
      <c r="P9" t="str">
        <f t="shared" si="1"/>
        <v>High Value</v>
      </c>
      <c r="Q9" t="str">
        <f>VLOOKUP(G9,Merchants!A:C,3,TRUE)</f>
        <v>Healthcare</v>
      </c>
    </row>
    <row r="10" spans="1:17" x14ac:dyDescent="0.3">
      <c r="A10" t="s">
        <v>101</v>
      </c>
      <c r="B10" s="2">
        <v>45711.601261574076</v>
      </c>
      <c r="C10" s="2" t="str">
        <f t="shared" si="0"/>
        <v>Feb-2025</v>
      </c>
      <c r="D10" t="s">
        <v>102</v>
      </c>
      <c r="E10" t="str">
        <f>VLOOKUP(D10,Customers!A:H,7,0)</f>
        <v>Business Owner</v>
      </c>
      <c r="F10" t="s">
        <v>99</v>
      </c>
      <c r="G10" t="s">
        <v>103</v>
      </c>
      <c r="H10" t="str">
        <f>IFERROR(VLOOKUP(Transactions!G10,Merchants!A:B,2,FALSE),"Not Found")</f>
        <v>Nova Pay</v>
      </c>
      <c r="I10" s="9">
        <v>37573.699999999997</v>
      </c>
      <c r="J10" s="3">
        <v>112.72</v>
      </c>
      <c r="K10" t="s">
        <v>58</v>
      </c>
      <c r="L10" t="s">
        <v>80</v>
      </c>
      <c r="M10" t="s">
        <v>86</v>
      </c>
      <c r="N10" t="s">
        <v>67</v>
      </c>
      <c r="O10" t="s">
        <v>75</v>
      </c>
      <c r="P10" t="str">
        <f t="shared" si="1"/>
        <v>High Value</v>
      </c>
      <c r="Q10" t="str">
        <f>VLOOKUP(G10,Merchants!A:C,3,TRUE)</f>
        <v>Fashion</v>
      </c>
    </row>
    <row r="11" spans="1:17" x14ac:dyDescent="0.3">
      <c r="A11" t="s">
        <v>104</v>
      </c>
      <c r="B11" s="2">
        <v>45737.201307870368</v>
      </c>
      <c r="C11" s="2" t="str">
        <f t="shared" si="0"/>
        <v>Mar-2025</v>
      </c>
      <c r="D11" t="s">
        <v>105</v>
      </c>
      <c r="E11" t="str">
        <f>VLOOKUP(D11,Customers!A:H,7,0)</f>
        <v>Student</v>
      </c>
      <c r="F11" t="s">
        <v>106</v>
      </c>
      <c r="G11" t="s">
        <v>107</v>
      </c>
      <c r="H11" t="str">
        <f>IFERROR(VLOOKUP(Transactions!G11,Merchants!A:B,2,FALSE),"Not Found")</f>
        <v>Blue Services</v>
      </c>
      <c r="I11" s="9">
        <v>35661.4</v>
      </c>
      <c r="J11" s="3">
        <v>356.61</v>
      </c>
      <c r="K11" t="s">
        <v>72</v>
      </c>
      <c r="L11" t="s">
        <v>59</v>
      </c>
      <c r="M11" t="s">
        <v>86</v>
      </c>
      <c r="N11" t="s">
        <v>61</v>
      </c>
      <c r="O11" t="s">
        <v>62</v>
      </c>
      <c r="P11" t="str">
        <f t="shared" si="1"/>
        <v>High Value</v>
      </c>
      <c r="Q11" t="str">
        <f>VLOOKUP(G11,Merchants!A:C,3,TRUE)</f>
        <v>Travel</v>
      </c>
    </row>
    <row r="12" spans="1:17" x14ac:dyDescent="0.3">
      <c r="A12" t="s">
        <v>108</v>
      </c>
      <c r="B12" s="2">
        <v>46147.107442129629</v>
      </c>
      <c r="C12" s="2" t="str">
        <f t="shared" si="0"/>
        <v>May-2026</v>
      </c>
      <c r="D12" t="s">
        <v>109</v>
      </c>
      <c r="E12" t="str">
        <f>VLOOKUP(D12,Customers!A:H,7,0)</f>
        <v>Salaried</v>
      </c>
      <c r="F12" t="s">
        <v>110</v>
      </c>
      <c r="G12" t="s">
        <v>100</v>
      </c>
      <c r="H12" t="str">
        <f>IFERROR(VLOOKUP(Transactions!G12,Merchants!A:B,2,FALSE),"Not Found")</f>
        <v>Metro Stores</v>
      </c>
      <c r="I12" s="9">
        <v>13813.92</v>
      </c>
      <c r="J12" s="3">
        <v>27.63</v>
      </c>
      <c r="K12" t="s">
        <v>72</v>
      </c>
      <c r="L12" t="s">
        <v>59</v>
      </c>
      <c r="M12" t="s">
        <v>111</v>
      </c>
      <c r="N12" t="s">
        <v>61</v>
      </c>
      <c r="O12" t="s">
        <v>62</v>
      </c>
      <c r="P12" t="str">
        <f t="shared" si="1"/>
        <v>High Value</v>
      </c>
      <c r="Q12" t="str">
        <f>VLOOKUP(G12,Merchants!A:C,3,TRUE)</f>
        <v>Healthcare</v>
      </c>
    </row>
    <row r="13" spans="1:17" x14ac:dyDescent="0.3">
      <c r="A13" t="s">
        <v>112</v>
      </c>
      <c r="B13" s="2">
        <v>45804.103773148148</v>
      </c>
      <c r="C13" s="2" t="str">
        <f t="shared" si="0"/>
        <v>May-2025</v>
      </c>
      <c r="D13" t="s">
        <v>113</v>
      </c>
      <c r="E13" t="str">
        <f>VLOOKUP(D13,Customers!A:H,7,0)</f>
        <v>Business Owner</v>
      </c>
      <c r="F13" t="s">
        <v>114</v>
      </c>
      <c r="G13" t="s">
        <v>57</v>
      </c>
      <c r="H13" t="str">
        <f>IFERROR(VLOOKUP(Transactions!G13,Merchants!A:B,2,FALSE),"Not Found")</f>
        <v>Daily Stores</v>
      </c>
      <c r="I13" s="9">
        <v>31877.45</v>
      </c>
      <c r="J13" s="3">
        <v>95.63</v>
      </c>
      <c r="K13" t="s">
        <v>90</v>
      </c>
      <c r="L13" t="s">
        <v>59</v>
      </c>
      <c r="M13" t="s">
        <v>74</v>
      </c>
      <c r="N13" t="s">
        <v>61</v>
      </c>
      <c r="O13" t="s">
        <v>62</v>
      </c>
      <c r="P13" t="str">
        <f t="shared" si="1"/>
        <v>High Value</v>
      </c>
      <c r="Q13" t="str">
        <f>VLOOKUP(G13,Merchants!A:C,3,TRUE)</f>
        <v>Travel</v>
      </c>
    </row>
    <row r="14" spans="1:17" x14ac:dyDescent="0.3">
      <c r="A14" t="s">
        <v>115</v>
      </c>
      <c r="B14" s="2">
        <v>45746.152407407397</v>
      </c>
      <c r="C14" s="2" t="str">
        <f t="shared" si="0"/>
        <v>Mar-2025</v>
      </c>
      <c r="D14" t="s">
        <v>116</v>
      </c>
      <c r="E14" t="str">
        <f>VLOOKUP(D14,Customers!A:H,7,0)</f>
        <v>Business Owner</v>
      </c>
      <c r="F14" t="s">
        <v>65</v>
      </c>
      <c r="G14" t="s">
        <v>117</v>
      </c>
      <c r="H14" t="str">
        <f>IFERROR(VLOOKUP(Transactions!G14,Merchants!A:B,2,FALSE),"Not Found")</f>
        <v>Prime Pay</v>
      </c>
      <c r="I14" s="9">
        <v>8486.7900000000009</v>
      </c>
      <c r="J14" s="3">
        <v>84.87</v>
      </c>
      <c r="K14" t="s">
        <v>72</v>
      </c>
      <c r="L14" t="s">
        <v>59</v>
      </c>
      <c r="M14" t="s">
        <v>111</v>
      </c>
      <c r="N14" t="s">
        <v>67</v>
      </c>
      <c r="O14" t="s">
        <v>81</v>
      </c>
      <c r="P14" t="str">
        <f t="shared" si="1"/>
        <v>High Value</v>
      </c>
      <c r="Q14" t="str">
        <f>VLOOKUP(G14,Merchants!A:C,3,TRUE)</f>
        <v>Travel</v>
      </c>
    </row>
    <row r="15" spans="1:17" x14ac:dyDescent="0.3">
      <c r="A15" t="s">
        <v>118</v>
      </c>
      <c r="B15" s="2">
        <v>45744.376469907409</v>
      </c>
      <c r="C15" s="2" t="str">
        <f t="shared" si="0"/>
        <v>Mar-2025</v>
      </c>
      <c r="D15" t="s">
        <v>119</v>
      </c>
      <c r="E15" t="str">
        <f>VLOOKUP(D15,Customers!A:H,7,0)</f>
        <v>Salaried</v>
      </c>
      <c r="F15" t="s">
        <v>120</v>
      </c>
      <c r="G15" t="s">
        <v>85</v>
      </c>
      <c r="H15" t="str">
        <f>IFERROR(VLOOKUP(Transactions!G15,Merchants!A:B,2,FALSE),"Not Found")</f>
        <v>Metro Pay</v>
      </c>
      <c r="I15" s="9">
        <v>33248.46</v>
      </c>
      <c r="J15" s="3">
        <v>166.24</v>
      </c>
      <c r="K15" t="s">
        <v>72</v>
      </c>
      <c r="L15" t="s">
        <v>59</v>
      </c>
      <c r="M15" t="s">
        <v>111</v>
      </c>
      <c r="N15" t="s">
        <v>67</v>
      </c>
      <c r="O15" t="s">
        <v>75</v>
      </c>
      <c r="P15" t="str">
        <f t="shared" si="1"/>
        <v>High Value</v>
      </c>
      <c r="Q15" t="str">
        <f>VLOOKUP(G15,Merchants!A:C,3,TRUE)</f>
        <v>Travel</v>
      </c>
    </row>
    <row r="16" spans="1:17" x14ac:dyDescent="0.3">
      <c r="A16" t="s">
        <v>121</v>
      </c>
      <c r="B16" s="2">
        <v>45960.980254629627</v>
      </c>
      <c r="C16" s="2" t="str">
        <f t="shared" si="0"/>
        <v>Oct-2025</v>
      </c>
      <c r="D16" t="s">
        <v>122</v>
      </c>
      <c r="E16" t="str">
        <f>VLOOKUP(D16,Customers!A:H,7,0)</f>
        <v>Self-employed</v>
      </c>
      <c r="F16" t="s">
        <v>123</v>
      </c>
      <c r="G16" t="s">
        <v>124</v>
      </c>
      <c r="H16" t="str">
        <f>IFERROR(VLOOKUP(Transactions!G16,Merchants!A:B,2,FALSE),"Not Found")</f>
        <v>Daily Services</v>
      </c>
      <c r="I16" s="9">
        <v>3368.69</v>
      </c>
      <c r="J16" s="3">
        <v>10.11</v>
      </c>
      <c r="K16" t="s">
        <v>90</v>
      </c>
      <c r="L16" t="s">
        <v>73</v>
      </c>
      <c r="M16" t="s">
        <v>74</v>
      </c>
      <c r="N16" t="s">
        <v>67</v>
      </c>
      <c r="O16" t="s">
        <v>91</v>
      </c>
      <c r="P16" t="str">
        <f t="shared" si="1"/>
        <v>High Value</v>
      </c>
      <c r="Q16" t="str">
        <f>VLOOKUP(G16,Merchants!A:C,3,TRUE)</f>
        <v>Food &amp; Dining</v>
      </c>
    </row>
    <row r="17" spans="1:17" x14ac:dyDescent="0.3">
      <c r="A17" t="s">
        <v>125</v>
      </c>
      <c r="B17" s="2">
        <v>46027.480092592603</v>
      </c>
      <c r="C17" s="2" t="str">
        <f t="shared" si="0"/>
        <v>Jan-2026</v>
      </c>
      <c r="D17" t="s">
        <v>126</v>
      </c>
      <c r="E17" t="str">
        <f>VLOOKUP(D17,Customers!A:H,7,0)</f>
        <v>Student</v>
      </c>
      <c r="F17" t="s">
        <v>127</v>
      </c>
      <c r="G17" t="s">
        <v>128</v>
      </c>
      <c r="H17" t="str">
        <f>IFERROR(VLOOKUP(Transactions!G17,Merchants!A:B,2,FALSE),"Not Found")</f>
        <v>Blue Foods</v>
      </c>
      <c r="I17" s="9">
        <v>8005.77</v>
      </c>
      <c r="J17" s="3">
        <v>80.06</v>
      </c>
      <c r="K17" t="s">
        <v>90</v>
      </c>
      <c r="L17" t="s">
        <v>73</v>
      </c>
      <c r="M17" t="s">
        <v>74</v>
      </c>
      <c r="N17" t="s">
        <v>67</v>
      </c>
      <c r="O17" t="s">
        <v>91</v>
      </c>
      <c r="P17" t="str">
        <f t="shared" si="1"/>
        <v>High Value</v>
      </c>
      <c r="Q17" t="str">
        <f>VLOOKUP(G17,Merchants!A:C,3,TRUE)</f>
        <v>Food &amp; Dining</v>
      </c>
    </row>
    <row r="18" spans="1:17" x14ac:dyDescent="0.3">
      <c r="A18" t="s">
        <v>129</v>
      </c>
      <c r="B18" s="2">
        <v>46259.102442129632</v>
      </c>
      <c r="C18" s="2" t="str">
        <f t="shared" si="0"/>
        <v>Aug-2026</v>
      </c>
      <c r="D18" t="s">
        <v>130</v>
      </c>
      <c r="E18" t="str">
        <f>VLOOKUP(D18,Customers!A:H,7,0)</f>
        <v>Student</v>
      </c>
      <c r="F18" t="s">
        <v>131</v>
      </c>
      <c r="G18" t="s">
        <v>132</v>
      </c>
      <c r="H18" t="str">
        <f>IFERROR(VLOOKUP(Transactions!G18,Merchants!A:B,2,FALSE),"Not Found")</f>
        <v>Metro Retail</v>
      </c>
      <c r="I18" s="9">
        <v>926.23</v>
      </c>
      <c r="J18" s="3">
        <v>1.85</v>
      </c>
      <c r="K18" t="s">
        <v>133</v>
      </c>
      <c r="L18" t="s">
        <v>59</v>
      </c>
      <c r="M18" t="s">
        <v>74</v>
      </c>
      <c r="N18" t="s">
        <v>61</v>
      </c>
      <c r="O18" t="s">
        <v>75</v>
      </c>
      <c r="P18" t="str">
        <f t="shared" si="1"/>
        <v>Standard</v>
      </c>
      <c r="Q18" t="str">
        <f>VLOOKUP(G18,Merchants!A:C,3,TRUE)</f>
        <v>Entertainment</v>
      </c>
    </row>
    <row r="19" spans="1:17" x14ac:dyDescent="0.3">
      <c r="A19" t="s">
        <v>134</v>
      </c>
      <c r="B19" s="2">
        <v>45742.971712962957</v>
      </c>
      <c r="C19" s="2" t="str">
        <f t="shared" si="0"/>
        <v>Mar-2025</v>
      </c>
      <c r="D19" t="s">
        <v>135</v>
      </c>
      <c r="E19" t="str">
        <f>VLOOKUP(D19,Customers!A:H,7,0)</f>
        <v>Salaried</v>
      </c>
      <c r="F19" t="s">
        <v>136</v>
      </c>
      <c r="G19" t="s">
        <v>103</v>
      </c>
      <c r="H19" t="str">
        <f>IFERROR(VLOOKUP(Transactions!G19,Merchants!A:B,2,FALSE),"Not Found")</f>
        <v>Nova Pay</v>
      </c>
      <c r="I19" s="9">
        <v>32240.23</v>
      </c>
      <c r="J19" s="3">
        <v>161.19999999999999</v>
      </c>
      <c r="K19" t="s">
        <v>133</v>
      </c>
      <c r="L19" t="s">
        <v>59</v>
      </c>
      <c r="M19" t="s">
        <v>111</v>
      </c>
      <c r="N19" t="s">
        <v>67</v>
      </c>
      <c r="O19" t="s">
        <v>81</v>
      </c>
      <c r="P19" t="str">
        <f t="shared" si="1"/>
        <v>High Value</v>
      </c>
      <c r="Q19" t="str">
        <f>VLOOKUP(G19,Merchants!A:C,3,TRUE)</f>
        <v>Fashion</v>
      </c>
    </row>
    <row r="20" spans="1:17" x14ac:dyDescent="0.3">
      <c r="A20" t="s">
        <v>137</v>
      </c>
      <c r="B20" s="2">
        <v>46058.889641203707</v>
      </c>
      <c r="C20" s="2" t="str">
        <f t="shared" si="0"/>
        <v>Feb-2026</v>
      </c>
      <c r="D20" t="s">
        <v>138</v>
      </c>
      <c r="E20" t="str">
        <f>VLOOKUP(D20,Customers!A:H,7,0)</f>
        <v>Self-employed</v>
      </c>
      <c r="F20" t="s">
        <v>139</v>
      </c>
      <c r="G20" t="s">
        <v>117</v>
      </c>
      <c r="H20" t="str">
        <f>IFERROR(VLOOKUP(Transactions!G20,Merchants!A:B,2,FALSE),"Not Found")</f>
        <v>Prime Pay</v>
      </c>
      <c r="I20" s="9">
        <v>38094.230000000003</v>
      </c>
      <c r="J20" s="3">
        <v>76.19</v>
      </c>
      <c r="K20" t="s">
        <v>90</v>
      </c>
      <c r="L20" t="s">
        <v>73</v>
      </c>
      <c r="M20" t="s">
        <v>86</v>
      </c>
      <c r="N20" t="s">
        <v>67</v>
      </c>
      <c r="O20" t="s">
        <v>91</v>
      </c>
      <c r="P20" t="str">
        <f t="shared" si="1"/>
        <v>High Value</v>
      </c>
      <c r="Q20" t="str">
        <f>VLOOKUP(G20,Merchants!A:C,3,TRUE)</f>
        <v>Travel</v>
      </c>
    </row>
    <row r="21" spans="1:17" x14ac:dyDescent="0.3">
      <c r="A21" t="s">
        <v>140</v>
      </c>
      <c r="B21" s="2">
        <v>46102.175949074073</v>
      </c>
      <c r="C21" s="2" t="str">
        <f t="shared" si="0"/>
        <v>Mar-2026</v>
      </c>
      <c r="D21" t="s">
        <v>141</v>
      </c>
      <c r="E21" t="str">
        <f>VLOOKUP(D21,Customers!A:H,7,0)</f>
        <v>Salaried</v>
      </c>
      <c r="F21" t="s">
        <v>142</v>
      </c>
      <c r="G21" t="s">
        <v>85</v>
      </c>
      <c r="H21" t="str">
        <f>IFERROR(VLOOKUP(Transactions!G21,Merchants!A:B,2,FALSE),"Not Found")</f>
        <v>Metro Pay</v>
      </c>
      <c r="I21" s="9">
        <v>27256.97</v>
      </c>
      <c r="J21" s="3">
        <v>136.28</v>
      </c>
      <c r="K21" t="s">
        <v>90</v>
      </c>
      <c r="L21" t="s">
        <v>59</v>
      </c>
      <c r="M21" t="s">
        <v>86</v>
      </c>
      <c r="N21" t="s">
        <v>67</v>
      </c>
      <c r="O21" t="s">
        <v>62</v>
      </c>
      <c r="P21" t="str">
        <f t="shared" si="1"/>
        <v>High Value</v>
      </c>
      <c r="Q21" t="str">
        <f>VLOOKUP(G21,Merchants!A:C,3,TRUE)</f>
        <v>Travel</v>
      </c>
    </row>
    <row r="22" spans="1:17" x14ac:dyDescent="0.3">
      <c r="A22" t="s">
        <v>143</v>
      </c>
      <c r="B22" s="2">
        <v>45669.248530092591</v>
      </c>
      <c r="C22" s="2" t="str">
        <f t="shared" si="0"/>
        <v>Jan-2025</v>
      </c>
      <c r="D22" t="s">
        <v>144</v>
      </c>
      <c r="E22" t="str">
        <f>VLOOKUP(D22,Customers!A:H,7,0)</f>
        <v>Self-employed</v>
      </c>
      <c r="F22" t="s">
        <v>145</v>
      </c>
      <c r="G22" t="s">
        <v>146</v>
      </c>
      <c r="H22" t="str">
        <f>IFERROR(VLOOKUP(Transactions!G22,Merchants!A:B,2,FALSE),"Not Found")</f>
        <v>Prime Mart</v>
      </c>
      <c r="I22" s="9">
        <v>29835.13</v>
      </c>
      <c r="J22" s="3">
        <v>149.18</v>
      </c>
      <c r="K22" t="s">
        <v>72</v>
      </c>
      <c r="L22" t="s">
        <v>59</v>
      </c>
      <c r="M22" t="s">
        <v>86</v>
      </c>
      <c r="N22" t="s">
        <v>67</v>
      </c>
      <c r="O22" t="s">
        <v>81</v>
      </c>
      <c r="P22" t="str">
        <f t="shared" si="1"/>
        <v>High Value</v>
      </c>
      <c r="Q22" t="str">
        <f>VLOOKUP(G22,Merchants!A:C,3,TRUE)</f>
        <v>Food &amp; Dining</v>
      </c>
    </row>
    <row r="23" spans="1:17" x14ac:dyDescent="0.3">
      <c r="A23" t="s">
        <v>147</v>
      </c>
      <c r="B23" s="2">
        <v>46097.412604166668</v>
      </c>
      <c r="C23" s="2" t="str">
        <f t="shared" si="0"/>
        <v>Mar-2026</v>
      </c>
      <c r="D23" t="s">
        <v>148</v>
      </c>
      <c r="E23" t="str">
        <f>VLOOKUP(D23,Customers!A:H,7,0)</f>
        <v>Salaried</v>
      </c>
      <c r="F23" t="s">
        <v>149</v>
      </c>
      <c r="G23" t="s">
        <v>150</v>
      </c>
      <c r="H23" t="str">
        <f>IFERROR(VLOOKUP(Transactions!G23,Merchants!A:B,2,FALSE),"Not Found")</f>
        <v>Nova Services</v>
      </c>
      <c r="I23" s="9">
        <v>31478.87</v>
      </c>
      <c r="J23" s="3">
        <v>62.96</v>
      </c>
      <c r="K23" t="s">
        <v>72</v>
      </c>
      <c r="L23" t="s">
        <v>59</v>
      </c>
      <c r="M23" t="s">
        <v>86</v>
      </c>
      <c r="N23" t="s">
        <v>61</v>
      </c>
      <c r="O23" t="s">
        <v>62</v>
      </c>
      <c r="P23" t="str">
        <f t="shared" si="1"/>
        <v>High Value</v>
      </c>
      <c r="Q23" t="str">
        <f>VLOOKUP(G23,Merchants!A:C,3,TRUE)</f>
        <v>Electronics</v>
      </c>
    </row>
    <row r="24" spans="1:17" x14ac:dyDescent="0.3">
      <c r="A24" t="s">
        <v>151</v>
      </c>
      <c r="B24" s="2">
        <v>46034.238634259258</v>
      </c>
      <c r="C24" s="2" t="str">
        <f t="shared" si="0"/>
        <v>Jan-2026</v>
      </c>
      <c r="D24" t="s">
        <v>152</v>
      </c>
      <c r="E24" t="str">
        <f>VLOOKUP(D24,Customers!A:H,7,0)</f>
        <v>Salaried</v>
      </c>
      <c r="F24" t="s">
        <v>142</v>
      </c>
      <c r="G24" t="s">
        <v>150</v>
      </c>
      <c r="H24" t="str">
        <f>IFERROR(VLOOKUP(Transactions!G24,Merchants!A:B,2,FALSE),"Not Found")</f>
        <v>Nova Services</v>
      </c>
      <c r="I24" s="9">
        <v>15381.45</v>
      </c>
      <c r="J24" s="3">
        <v>30.76</v>
      </c>
      <c r="K24" t="s">
        <v>58</v>
      </c>
      <c r="L24" t="s">
        <v>59</v>
      </c>
      <c r="M24" t="s">
        <v>86</v>
      </c>
      <c r="N24" t="s">
        <v>67</v>
      </c>
      <c r="O24" t="s">
        <v>62</v>
      </c>
      <c r="P24" t="str">
        <f t="shared" si="1"/>
        <v>High Value</v>
      </c>
      <c r="Q24" t="str">
        <f>VLOOKUP(G24,Merchants!A:C,3,TRUE)</f>
        <v>Electronics</v>
      </c>
    </row>
    <row r="25" spans="1:17" x14ac:dyDescent="0.3">
      <c r="A25" t="s">
        <v>153</v>
      </c>
      <c r="B25" s="2">
        <v>45705.715682870366</v>
      </c>
      <c r="C25" s="2" t="str">
        <f t="shared" si="0"/>
        <v>Feb-2025</v>
      </c>
      <c r="D25" t="s">
        <v>154</v>
      </c>
      <c r="E25" t="str">
        <f>VLOOKUP(D25,Customers!A:H,7,0)</f>
        <v>Self-employed</v>
      </c>
      <c r="F25" t="s">
        <v>155</v>
      </c>
      <c r="G25" t="s">
        <v>156</v>
      </c>
      <c r="H25" t="str">
        <f>IFERROR(VLOOKUP(Transactions!G25,Merchants!A:B,2,FALSE),"Not Found")</f>
        <v>Blue Digital</v>
      </c>
      <c r="I25" s="9">
        <v>21902.19</v>
      </c>
      <c r="J25" s="3">
        <v>65.709999999999994</v>
      </c>
      <c r="K25" t="s">
        <v>96</v>
      </c>
      <c r="L25" t="s">
        <v>157</v>
      </c>
      <c r="M25" t="s">
        <v>111</v>
      </c>
      <c r="N25" t="s">
        <v>61</v>
      </c>
      <c r="O25" t="s">
        <v>62</v>
      </c>
      <c r="P25" t="str">
        <f t="shared" si="1"/>
        <v>High Value</v>
      </c>
      <c r="Q25" t="str">
        <f>VLOOKUP(G25,Merchants!A:C,3,TRUE)</f>
        <v>Electronics</v>
      </c>
    </row>
    <row r="26" spans="1:17" x14ac:dyDescent="0.3">
      <c r="A26" t="s">
        <v>158</v>
      </c>
      <c r="B26" s="2">
        <v>46084.485347222217</v>
      </c>
      <c r="C26" s="2" t="str">
        <f t="shared" si="0"/>
        <v>Mar-2026</v>
      </c>
      <c r="D26" t="s">
        <v>159</v>
      </c>
      <c r="E26" t="str">
        <f>VLOOKUP(D26,Customers!A:H,7,0)</f>
        <v>Business Owner</v>
      </c>
      <c r="F26" t="s">
        <v>160</v>
      </c>
      <c r="G26" t="s">
        <v>128</v>
      </c>
      <c r="H26" t="str">
        <f>IFERROR(VLOOKUP(Transactions!G26,Merchants!A:B,2,FALSE),"Not Found")</f>
        <v>Blue Foods</v>
      </c>
      <c r="I26" s="9">
        <v>16348.35</v>
      </c>
      <c r="J26" s="3">
        <v>81.739999999999995</v>
      </c>
      <c r="K26" t="s">
        <v>58</v>
      </c>
      <c r="L26" t="s">
        <v>59</v>
      </c>
      <c r="M26" t="s">
        <v>111</v>
      </c>
      <c r="N26" t="s">
        <v>67</v>
      </c>
      <c r="O26" t="s">
        <v>91</v>
      </c>
      <c r="P26" t="str">
        <f t="shared" si="1"/>
        <v>High Value</v>
      </c>
      <c r="Q26" t="str">
        <f>VLOOKUP(G26,Merchants!A:C,3,TRUE)</f>
        <v>Food &amp; Dining</v>
      </c>
    </row>
    <row r="27" spans="1:17" x14ac:dyDescent="0.3">
      <c r="A27" t="s">
        <v>161</v>
      </c>
      <c r="B27" s="2">
        <v>46068.104560185187</v>
      </c>
      <c r="C27" s="2" t="str">
        <f t="shared" si="0"/>
        <v>Feb-2026</v>
      </c>
      <c r="D27" t="s">
        <v>162</v>
      </c>
      <c r="E27" t="str">
        <f>VLOOKUP(D27,Customers!A:H,7,0)</f>
        <v>Self-employed</v>
      </c>
      <c r="F27" t="s">
        <v>163</v>
      </c>
      <c r="G27" t="s">
        <v>164</v>
      </c>
      <c r="H27" t="str">
        <f>IFERROR(VLOOKUP(Transactions!G27,Merchants!A:B,2,FALSE),"Not Found")</f>
        <v>Green Foods</v>
      </c>
      <c r="I27" s="9">
        <v>52631.78</v>
      </c>
      <c r="J27" s="3">
        <v>263.16000000000003</v>
      </c>
      <c r="K27" t="s">
        <v>96</v>
      </c>
      <c r="L27" t="s">
        <v>73</v>
      </c>
      <c r="M27" t="s">
        <v>86</v>
      </c>
      <c r="N27" t="s">
        <v>61</v>
      </c>
      <c r="O27" t="s">
        <v>62</v>
      </c>
      <c r="P27" t="str">
        <f t="shared" si="1"/>
        <v>High Value</v>
      </c>
      <c r="Q27" t="str">
        <f>VLOOKUP(G27,Merchants!A:C,3,TRUE)</f>
        <v>Grocery</v>
      </c>
    </row>
    <row r="28" spans="1:17" x14ac:dyDescent="0.3">
      <c r="A28" t="s">
        <v>165</v>
      </c>
      <c r="B28" s="2">
        <v>45956.855312500003</v>
      </c>
      <c r="C28" s="2" t="str">
        <f t="shared" si="0"/>
        <v>Oct-2025</v>
      </c>
      <c r="D28" t="s">
        <v>166</v>
      </c>
      <c r="E28" t="str">
        <f>VLOOKUP(D28,Customers!A:H,7,0)</f>
        <v>Business Owner</v>
      </c>
      <c r="F28" t="s">
        <v>167</v>
      </c>
      <c r="G28" t="s">
        <v>168</v>
      </c>
      <c r="H28" t="str">
        <f>IFERROR(VLOOKUP(Transactions!G28,Merchants!A:B,2,FALSE),"Not Found")</f>
        <v>Quick Hub</v>
      </c>
      <c r="I28" s="9">
        <v>47091.98</v>
      </c>
      <c r="J28" s="3">
        <v>141.28</v>
      </c>
      <c r="K28" t="s">
        <v>96</v>
      </c>
      <c r="L28" t="s">
        <v>80</v>
      </c>
      <c r="M28" t="s">
        <v>111</v>
      </c>
      <c r="N28" t="s">
        <v>67</v>
      </c>
      <c r="O28" t="s">
        <v>62</v>
      </c>
      <c r="P28" t="str">
        <f t="shared" si="1"/>
        <v>High Value</v>
      </c>
      <c r="Q28" t="str">
        <f>VLOOKUP(G28,Merchants!A:C,3,TRUE)</f>
        <v>Utilities</v>
      </c>
    </row>
    <row r="29" spans="1:17" x14ac:dyDescent="0.3">
      <c r="A29" t="s">
        <v>169</v>
      </c>
      <c r="B29" s="2">
        <v>45664.622037037043</v>
      </c>
      <c r="C29" s="2" t="str">
        <f t="shared" si="0"/>
        <v>Jan-2025</v>
      </c>
      <c r="D29" t="s">
        <v>170</v>
      </c>
      <c r="E29" t="str">
        <f>VLOOKUP(D29,Customers!A:H,7,0)</f>
        <v>Self-employed</v>
      </c>
      <c r="F29" t="s">
        <v>171</v>
      </c>
      <c r="G29" t="s">
        <v>85</v>
      </c>
      <c r="H29" t="str">
        <f>IFERROR(VLOOKUP(Transactions!G29,Merchants!A:B,2,FALSE),"Not Found")</f>
        <v>Metro Pay</v>
      </c>
      <c r="I29" s="9">
        <v>1532.22</v>
      </c>
      <c r="J29" s="3">
        <v>3.06</v>
      </c>
      <c r="K29" t="s">
        <v>96</v>
      </c>
      <c r="L29" t="s">
        <v>59</v>
      </c>
      <c r="M29" t="s">
        <v>60</v>
      </c>
      <c r="N29" t="s">
        <v>67</v>
      </c>
      <c r="O29" t="s">
        <v>62</v>
      </c>
      <c r="P29" t="str">
        <f t="shared" si="1"/>
        <v>Standard</v>
      </c>
      <c r="Q29" t="str">
        <f>VLOOKUP(G29,Merchants!A:C,3,TRUE)</f>
        <v>Travel</v>
      </c>
    </row>
    <row r="30" spans="1:17" x14ac:dyDescent="0.3">
      <c r="A30" t="s">
        <v>172</v>
      </c>
      <c r="B30" s="2">
        <v>46200.361307870371</v>
      </c>
      <c r="C30" s="2" t="str">
        <f t="shared" si="0"/>
        <v>Jun-2026</v>
      </c>
      <c r="D30" t="s">
        <v>173</v>
      </c>
      <c r="E30" t="str">
        <f>VLOOKUP(D30,Customers!A:H,7,0)</f>
        <v>Self-employed</v>
      </c>
      <c r="F30" t="s">
        <v>174</v>
      </c>
      <c r="G30" t="s">
        <v>175</v>
      </c>
      <c r="H30" t="str">
        <f>IFERROR(VLOOKUP(Transactions!G30,Merchants!A:B,2,FALSE),"Not Found")</f>
        <v>Fresh Mart</v>
      </c>
      <c r="I30" s="9">
        <v>25246.97</v>
      </c>
      <c r="J30" s="3">
        <v>75.739999999999995</v>
      </c>
      <c r="K30" t="s">
        <v>90</v>
      </c>
      <c r="L30" t="s">
        <v>157</v>
      </c>
      <c r="M30" t="s">
        <v>74</v>
      </c>
      <c r="N30" t="s">
        <v>61</v>
      </c>
      <c r="O30" t="s">
        <v>75</v>
      </c>
      <c r="P30" t="str">
        <f t="shared" si="1"/>
        <v>High Value</v>
      </c>
      <c r="Q30" t="str">
        <f>VLOOKUP(G30,Merchants!A:C,3,TRUE)</f>
        <v>Electronics</v>
      </c>
    </row>
    <row r="31" spans="1:17" x14ac:dyDescent="0.3">
      <c r="A31" t="s">
        <v>176</v>
      </c>
      <c r="B31" s="2">
        <v>45744.881041666667</v>
      </c>
      <c r="C31" s="2" t="str">
        <f t="shared" si="0"/>
        <v>Mar-2025</v>
      </c>
      <c r="D31" t="s">
        <v>177</v>
      </c>
      <c r="E31" t="str">
        <f>VLOOKUP(D31,Customers!A:H,7,0)</f>
        <v>Self-employed</v>
      </c>
      <c r="F31" t="s">
        <v>178</v>
      </c>
      <c r="G31" t="s">
        <v>71</v>
      </c>
      <c r="H31" t="str">
        <f>IFERROR(VLOOKUP(Transactions!G31,Merchants!A:B,2,FALSE),"Not Found")</f>
        <v>Metro Pay</v>
      </c>
      <c r="I31" s="9">
        <v>5825.06</v>
      </c>
      <c r="J31" s="3">
        <v>58.25</v>
      </c>
      <c r="K31" t="s">
        <v>58</v>
      </c>
      <c r="L31" t="s">
        <v>59</v>
      </c>
      <c r="M31" t="s">
        <v>74</v>
      </c>
      <c r="N31" t="s">
        <v>67</v>
      </c>
      <c r="O31" t="s">
        <v>62</v>
      </c>
      <c r="P31" t="str">
        <f t="shared" si="1"/>
        <v>High Value</v>
      </c>
      <c r="Q31" t="str">
        <f>VLOOKUP(G31,Merchants!A:C,3,TRUE)</f>
        <v>Fashion</v>
      </c>
    </row>
    <row r="32" spans="1:17" x14ac:dyDescent="0.3">
      <c r="A32" t="s">
        <v>179</v>
      </c>
      <c r="B32" s="2">
        <v>45956.395925925928</v>
      </c>
      <c r="C32" s="2" t="str">
        <f t="shared" si="0"/>
        <v>Oct-2025</v>
      </c>
      <c r="D32" t="s">
        <v>180</v>
      </c>
      <c r="E32" t="str">
        <f>VLOOKUP(D32,Customers!A:H,7,0)</f>
        <v>Student</v>
      </c>
      <c r="F32" t="s">
        <v>181</v>
      </c>
      <c r="G32" t="s">
        <v>182</v>
      </c>
      <c r="H32" t="str">
        <f>IFERROR(VLOOKUP(Transactions!G32,Merchants!A:B,2,FALSE),"Not Found")</f>
        <v>Fresh Hub</v>
      </c>
      <c r="I32" s="9">
        <v>51069.73</v>
      </c>
      <c r="J32" s="3">
        <v>510.7</v>
      </c>
      <c r="K32" t="s">
        <v>72</v>
      </c>
      <c r="L32" t="s">
        <v>157</v>
      </c>
      <c r="M32" t="s">
        <v>74</v>
      </c>
      <c r="N32" t="s">
        <v>61</v>
      </c>
      <c r="O32" t="s">
        <v>62</v>
      </c>
      <c r="P32" t="str">
        <f t="shared" si="1"/>
        <v>High Value</v>
      </c>
      <c r="Q32" t="str">
        <f>VLOOKUP(G32,Merchants!A:C,3,TRUE)</f>
        <v>Healthcare</v>
      </c>
    </row>
    <row r="33" spans="1:17" x14ac:dyDescent="0.3">
      <c r="A33" t="s">
        <v>183</v>
      </c>
      <c r="B33" s="2">
        <v>45734.307511574072</v>
      </c>
      <c r="C33" s="2" t="str">
        <f t="shared" si="0"/>
        <v>Mar-2025</v>
      </c>
      <c r="D33" t="s">
        <v>184</v>
      </c>
      <c r="E33" t="str">
        <f>VLOOKUP(D33,Customers!A:H,7,0)</f>
        <v>Salaried</v>
      </c>
      <c r="F33" t="s">
        <v>185</v>
      </c>
      <c r="G33" t="s">
        <v>95</v>
      </c>
      <c r="H33" t="str">
        <f>IFERROR(VLOOKUP(Transactions!G33,Merchants!A:B,2,FALSE),"Not Found")</f>
        <v>Quick Pay</v>
      </c>
      <c r="I33" s="9">
        <v>8253.1</v>
      </c>
      <c r="J33" s="3">
        <v>16.510000000000002</v>
      </c>
      <c r="K33" t="s">
        <v>96</v>
      </c>
      <c r="L33" t="s">
        <v>80</v>
      </c>
      <c r="M33" t="s">
        <v>74</v>
      </c>
      <c r="N33" t="s">
        <v>61</v>
      </c>
      <c r="O33" t="s">
        <v>75</v>
      </c>
      <c r="P33" t="str">
        <f t="shared" si="1"/>
        <v>High Value</v>
      </c>
      <c r="Q33" t="str">
        <f>VLOOKUP(G33,Merchants!A:C,3,TRUE)</f>
        <v>Healthcare</v>
      </c>
    </row>
    <row r="34" spans="1:17" x14ac:dyDescent="0.3">
      <c r="A34" t="s">
        <v>186</v>
      </c>
      <c r="B34" s="2">
        <v>45781.813009259262</v>
      </c>
      <c r="C34" s="2" t="str">
        <f t="shared" si="0"/>
        <v>May-2025</v>
      </c>
      <c r="D34" t="s">
        <v>187</v>
      </c>
      <c r="E34" t="str">
        <f>VLOOKUP(D34,Customers!A:H,7,0)</f>
        <v>Business Owner</v>
      </c>
      <c r="F34" t="s">
        <v>188</v>
      </c>
      <c r="G34" t="s">
        <v>189</v>
      </c>
      <c r="H34" t="str">
        <f>IFERROR(VLOOKUP(Transactions!G34,Merchants!A:B,2,FALSE),"Not Found")</f>
        <v>Quick Services</v>
      </c>
      <c r="I34" s="9">
        <v>21561.42</v>
      </c>
      <c r="J34" s="3">
        <v>215.61</v>
      </c>
      <c r="K34" t="s">
        <v>58</v>
      </c>
      <c r="L34" t="s">
        <v>80</v>
      </c>
      <c r="M34" t="s">
        <v>86</v>
      </c>
      <c r="N34" t="s">
        <v>67</v>
      </c>
      <c r="O34" t="s">
        <v>81</v>
      </c>
      <c r="P34" t="str">
        <f t="shared" si="1"/>
        <v>High Value</v>
      </c>
      <c r="Q34" t="str">
        <f>VLOOKUP(G34,Merchants!A:C,3,TRUE)</f>
        <v>Food &amp; Dining</v>
      </c>
    </row>
    <row r="35" spans="1:17" x14ac:dyDescent="0.3">
      <c r="A35" t="s">
        <v>190</v>
      </c>
      <c r="B35" s="2">
        <v>46275.061180555553</v>
      </c>
      <c r="C35" s="2" t="str">
        <f t="shared" si="0"/>
        <v>Sep-2026</v>
      </c>
      <c r="D35" t="s">
        <v>98</v>
      </c>
      <c r="E35" t="str">
        <f>VLOOKUP(D35,Customers!A:H,7,0)</f>
        <v>Self-employed</v>
      </c>
      <c r="F35" t="s">
        <v>191</v>
      </c>
      <c r="G35" t="s">
        <v>192</v>
      </c>
      <c r="H35" t="str">
        <f>IFERROR(VLOOKUP(Transactions!G35,Merchants!A:B,2,FALSE),"Not Found")</f>
        <v>Blue Foods</v>
      </c>
      <c r="I35" s="9">
        <v>12979.75</v>
      </c>
      <c r="J35" s="3">
        <v>38.94</v>
      </c>
      <c r="K35" t="s">
        <v>72</v>
      </c>
      <c r="L35" t="s">
        <v>73</v>
      </c>
      <c r="M35" t="s">
        <v>74</v>
      </c>
      <c r="N35" t="s">
        <v>67</v>
      </c>
      <c r="O35" t="s">
        <v>81</v>
      </c>
      <c r="P35" t="str">
        <f t="shared" si="1"/>
        <v>High Value</v>
      </c>
      <c r="Q35" t="str">
        <f>VLOOKUP(G35,Merchants!A:C,3,TRUE)</f>
        <v>Travel</v>
      </c>
    </row>
    <row r="36" spans="1:17" x14ac:dyDescent="0.3">
      <c r="A36" t="s">
        <v>193</v>
      </c>
      <c r="B36" s="2">
        <v>45924.263761574082</v>
      </c>
      <c r="C36" s="2" t="str">
        <f t="shared" si="0"/>
        <v>Sep-2025</v>
      </c>
      <c r="D36" t="s">
        <v>194</v>
      </c>
      <c r="E36" t="str">
        <f>VLOOKUP(D36,Customers!A:H,7,0)</f>
        <v>Self-employed</v>
      </c>
      <c r="F36" t="s">
        <v>78</v>
      </c>
      <c r="G36" t="s">
        <v>164</v>
      </c>
      <c r="H36" t="str">
        <f>IFERROR(VLOOKUP(Transactions!G36,Merchants!A:B,2,FALSE),"Not Found")</f>
        <v>Green Foods</v>
      </c>
      <c r="I36" s="9">
        <v>1961.82</v>
      </c>
      <c r="J36" s="3">
        <v>19.62</v>
      </c>
      <c r="K36" t="s">
        <v>90</v>
      </c>
      <c r="L36" t="s">
        <v>59</v>
      </c>
      <c r="M36" t="s">
        <v>86</v>
      </c>
      <c r="N36" t="s">
        <v>61</v>
      </c>
      <c r="O36" t="s">
        <v>91</v>
      </c>
      <c r="P36" t="str">
        <f t="shared" si="1"/>
        <v>Standard</v>
      </c>
      <c r="Q36" t="str">
        <f>VLOOKUP(G36,Merchants!A:C,3,TRUE)</f>
        <v>Grocery</v>
      </c>
    </row>
    <row r="37" spans="1:17" x14ac:dyDescent="0.3">
      <c r="A37" t="s">
        <v>195</v>
      </c>
      <c r="B37" s="2">
        <v>45801.184247685182</v>
      </c>
      <c r="C37" s="2" t="str">
        <f t="shared" si="0"/>
        <v>May-2025</v>
      </c>
      <c r="D37" t="s">
        <v>196</v>
      </c>
      <c r="E37" t="str">
        <f>VLOOKUP(D37,Customers!A:H,7,0)</f>
        <v>Student</v>
      </c>
      <c r="F37" t="s">
        <v>197</v>
      </c>
      <c r="G37" t="s">
        <v>198</v>
      </c>
      <c r="H37" t="str">
        <f>IFERROR(VLOOKUP(Transactions!G37,Merchants!A:B,2,FALSE),"Not Found")</f>
        <v>Metro Services</v>
      </c>
      <c r="I37" s="9">
        <v>816.22</v>
      </c>
      <c r="J37" s="3">
        <v>2.4500000000000002</v>
      </c>
      <c r="K37" t="s">
        <v>72</v>
      </c>
      <c r="L37" t="s">
        <v>73</v>
      </c>
      <c r="M37" t="s">
        <v>86</v>
      </c>
      <c r="N37" t="s">
        <v>61</v>
      </c>
      <c r="O37" t="s">
        <v>91</v>
      </c>
      <c r="P37" t="str">
        <f t="shared" si="1"/>
        <v>Standard</v>
      </c>
      <c r="Q37" t="str">
        <f>VLOOKUP(G37,Merchants!A:C,3,TRUE)</f>
        <v>Travel</v>
      </c>
    </row>
    <row r="38" spans="1:17" x14ac:dyDescent="0.3">
      <c r="A38" t="s">
        <v>199</v>
      </c>
      <c r="B38" s="2">
        <v>45680.097800925927</v>
      </c>
      <c r="C38" s="2" t="str">
        <f t="shared" si="0"/>
        <v>Jan-2025</v>
      </c>
      <c r="D38" t="s">
        <v>98</v>
      </c>
      <c r="E38" t="str">
        <f>VLOOKUP(D38,Customers!A:H,7,0)</f>
        <v>Self-employed</v>
      </c>
      <c r="F38" t="s">
        <v>200</v>
      </c>
      <c r="G38" t="s">
        <v>201</v>
      </c>
      <c r="H38" t="str">
        <f>IFERROR(VLOOKUP(Transactions!G38,Merchants!A:B,2,FALSE),"Not Found")</f>
        <v>Urban Stores</v>
      </c>
      <c r="I38" s="9">
        <v>11945.25</v>
      </c>
      <c r="J38" s="3">
        <v>35.840000000000003</v>
      </c>
      <c r="K38" t="s">
        <v>58</v>
      </c>
      <c r="L38" t="s">
        <v>80</v>
      </c>
      <c r="M38" t="s">
        <v>86</v>
      </c>
      <c r="N38" t="s">
        <v>61</v>
      </c>
      <c r="O38" t="s">
        <v>91</v>
      </c>
      <c r="P38" t="str">
        <f t="shared" si="1"/>
        <v>High Value</v>
      </c>
      <c r="Q38" t="str">
        <f>VLOOKUP(G38,Merchants!A:C,3,TRUE)</f>
        <v>Entertainment</v>
      </c>
    </row>
    <row r="39" spans="1:17" x14ac:dyDescent="0.3">
      <c r="A39" t="s">
        <v>202</v>
      </c>
      <c r="B39" s="2">
        <v>45830.87060185185</v>
      </c>
      <c r="C39" s="2" t="str">
        <f t="shared" si="0"/>
        <v>Jun-2025</v>
      </c>
      <c r="D39" t="s">
        <v>203</v>
      </c>
      <c r="E39" t="str">
        <f>VLOOKUP(D39,Customers!A:H,7,0)</f>
        <v>Salaried</v>
      </c>
      <c r="F39" t="s">
        <v>204</v>
      </c>
      <c r="G39" t="s">
        <v>128</v>
      </c>
      <c r="H39" t="str">
        <f>IFERROR(VLOOKUP(Transactions!G39,Merchants!A:B,2,FALSE),"Not Found")</f>
        <v>Blue Foods</v>
      </c>
      <c r="I39" s="9">
        <v>26046.07</v>
      </c>
      <c r="J39" s="3">
        <v>260.45999999999998</v>
      </c>
      <c r="K39" t="s">
        <v>96</v>
      </c>
      <c r="L39" t="s">
        <v>80</v>
      </c>
      <c r="M39" t="s">
        <v>111</v>
      </c>
      <c r="N39" t="s">
        <v>61</v>
      </c>
      <c r="O39" t="s">
        <v>62</v>
      </c>
      <c r="P39" t="str">
        <f t="shared" si="1"/>
        <v>High Value</v>
      </c>
      <c r="Q39" t="str">
        <f>VLOOKUP(G39,Merchants!A:C,3,TRUE)</f>
        <v>Food &amp; Dining</v>
      </c>
    </row>
    <row r="40" spans="1:17" x14ac:dyDescent="0.3">
      <c r="A40" t="s">
        <v>205</v>
      </c>
      <c r="B40" s="2">
        <v>45849.41715277778</v>
      </c>
      <c r="C40" s="2" t="str">
        <f t="shared" si="0"/>
        <v>Jul-2025</v>
      </c>
      <c r="D40" t="s">
        <v>206</v>
      </c>
      <c r="E40" t="str">
        <f>VLOOKUP(D40,Customers!A:H,7,0)</f>
        <v>Business Owner</v>
      </c>
      <c r="F40" t="s">
        <v>207</v>
      </c>
      <c r="G40" t="s">
        <v>208</v>
      </c>
      <c r="H40" t="str">
        <f>IFERROR(VLOOKUP(Transactions!G40,Merchants!A:B,2,FALSE),"Not Found")</f>
        <v>Blue Retail</v>
      </c>
      <c r="I40" s="9">
        <v>16863.29</v>
      </c>
      <c r="J40" s="3">
        <v>33.729999999999997</v>
      </c>
      <c r="K40" t="s">
        <v>90</v>
      </c>
      <c r="L40" t="s">
        <v>73</v>
      </c>
      <c r="M40" t="s">
        <v>60</v>
      </c>
      <c r="N40" t="s">
        <v>61</v>
      </c>
      <c r="O40" t="s">
        <v>75</v>
      </c>
      <c r="P40" t="str">
        <f t="shared" si="1"/>
        <v>High Value</v>
      </c>
      <c r="Q40" t="str">
        <f>VLOOKUP(G40,Merchants!A:C,3,TRUE)</f>
        <v>Healthcare</v>
      </c>
    </row>
    <row r="41" spans="1:17" x14ac:dyDescent="0.3">
      <c r="A41" t="s">
        <v>209</v>
      </c>
      <c r="B41" s="2">
        <v>46221.726701388892</v>
      </c>
      <c r="C41" s="2" t="str">
        <f t="shared" si="0"/>
        <v>Jul-2026</v>
      </c>
      <c r="D41" t="s">
        <v>210</v>
      </c>
      <c r="E41" t="str">
        <f>VLOOKUP(D41,Customers!A:H,7,0)</f>
        <v>Business Owner</v>
      </c>
      <c r="F41" t="s">
        <v>211</v>
      </c>
      <c r="G41" t="s">
        <v>156</v>
      </c>
      <c r="H41" t="str">
        <f>IFERROR(VLOOKUP(Transactions!G41,Merchants!A:B,2,FALSE),"Not Found")</f>
        <v>Blue Digital</v>
      </c>
      <c r="I41" s="9">
        <v>3752.65</v>
      </c>
      <c r="J41" s="3">
        <v>11.26</v>
      </c>
      <c r="K41" t="s">
        <v>133</v>
      </c>
      <c r="L41" t="s">
        <v>59</v>
      </c>
      <c r="M41" t="s">
        <v>111</v>
      </c>
      <c r="N41" t="s">
        <v>67</v>
      </c>
      <c r="O41" t="s">
        <v>75</v>
      </c>
      <c r="P41" t="str">
        <f t="shared" si="1"/>
        <v>High Value</v>
      </c>
      <c r="Q41" t="str">
        <f>VLOOKUP(G41,Merchants!A:C,3,TRUE)</f>
        <v>Electronics</v>
      </c>
    </row>
    <row r="42" spans="1:17" x14ac:dyDescent="0.3">
      <c r="A42" t="s">
        <v>212</v>
      </c>
      <c r="B42" s="2">
        <v>46025.727696759262</v>
      </c>
      <c r="C42" s="2" t="str">
        <f t="shared" si="0"/>
        <v>Jan-2026</v>
      </c>
      <c r="D42" t="s">
        <v>213</v>
      </c>
      <c r="E42" t="str">
        <f>VLOOKUP(D42,Customers!A:H,7,0)</f>
        <v>Student</v>
      </c>
      <c r="F42" t="s">
        <v>214</v>
      </c>
      <c r="G42" t="s">
        <v>215</v>
      </c>
      <c r="H42" t="str">
        <f>IFERROR(VLOOKUP(Transactions!G42,Merchants!A:B,2,FALSE),"Not Found")</f>
        <v>Daily Hub</v>
      </c>
      <c r="I42" s="9">
        <v>32716.62</v>
      </c>
      <c r="J42" s="3">
        <v>163.58000000000001</v>
      </c>
      <c r="K42" t="s">
        <v>58</v>
      </c>
      <c r="L42" t="s">
        <v>59</v>
      </c>
      <c r="M42" t="s">
        <v>60</v>
      </c>
      <c r="N42" t="s">
        <v>67</v>
      </c>
      <c r="O42" t="s">
        <v>91</v>
      </c>
      <c r="P42" t="str">
        <f t="shared" si="1"/>
        <v>High Value</v>
      </c>
      <c r="Q42" t="str">
        <f>VLOOKUP(G42,Merchants!A:C,3,TRUE)</f>
        <v>Fashion</v>
      </c>
    </row>
    <row r="43" spans="1:17" x14ac:dyDescent="0.3">
      <c r="A43" t="s">
        <v>216</v>
      </c>
      <c r="B43" s="2">
        <v>45945.088877314818</v>
      </c>
      <c r="C43" s="2" t="str">
        <f t="shared" si="0"/>
        <v>Oct-2025</v>
      </c>
      <c r="D43" t="s">
        <v>217</v>
      </c>
      <c r="E43" t="str">
        <f>VLOOKUP(D43,Customers!A:H,7,0)</f>
        <v>Self-employed</v>
      </c>
      <c r="F43" t="s">
        <v>218</v>
      </c>
      <c r="G43" t="s">
        <v>95</v>
      </c>
      <c r="H43" t="str">
        <f>IFERROR(VLOOKUP(Transactions!G43,Merchants!A:B,2,FALSE),"Not Found")</f>
        <v>Quick Pay</v>
      </c>
      <c r="I43" s="9">
        <v>48538.37</v>
      </c>
      <c r="J43" s="3">
        <v>242.69</v>
      </c>
      <c r="K43" t="s">
        <v>58</v>
      </c>
      <c r="L43" t="s">
        <v>59</v>
      </c>
      <c r="M43" t="s">
        <v>111</v>
      </c>
      <c r="N43" t="s">
        <v>67</v>
      </c>
      <c r="O43" t="s">
        <v>81</v>
      </c>
      <c r="P43" t="str">
        <f t="shared" si="1"/>
        <v>High Value</v>
      </c>
      <c r="Q43" t="str">
        <f>VLOOKUP(G43,Merchants!A:C,3,TRUE)</f>
        <v>Healthcare</v>
      </c>
    </row>
    <row r="44" spans="1:17" x14ac:dyDescent="0.3">
      <c r="A44" t="s">
        <v>219</v>
      </c>
      <c r="B44" s="2">
        <v>46204.084814814807</v>
      </c>
      <c r="C44" s="2" t="str">
        <f t="shared" si="0"/>
        <v>Jul-2026</v>
      </c>
      <c r="D44" t="s">
        <v>220</v>
      </c>
      <c r="E44" t="str">
        <f>VLOOKUP(D44,Customers!A:H,7,0)</f>
        <v>Student</v>
      </c>
      <c r="F44" t="s">
        <v>221</v>
      </c>
      <c r="G44" t="s">
        <v>215</v>
      </c>
      <c r="H44" t="str">
        <f>IFERROR(VLOOKUP(Transactions!G44,Merchants!A:B,2,FALSE),"Not Found")</f>
        <v>Daily Hub</v>
      </c>
      <c r="I44" s="9">
        <v>45866.58</v>
      </c>
      <c r="J44" s="3">
        <v>458.67</v>
      </c>
      <c r="K44" t="s">
        <v>90</v>
      </c>
      <c r="L44" t="s">
        <v>157</v>
      </c>
      <c r="M44" t="s">
        <v>111</v>
      </c>
      <c r="N44" t="s">
        <v>61</v>
      </c>
      <c r="O44" t="s">
        <v>81</v>
      </c>
      <c r="P44" t="str">
        <f t="shared" si="1"/>
        <v>High Value</v>
      </c>
      <c r="Q44" t="str">
        <f>VLOOKUP(G44,Merchants!A:C,3,TRUE)</f>
        <v>Fashion</v>
      </c>
    </row>
    <row r="45" spans="1:17" x14ac:dyDescent="0.3">
      <c r="A45" t="s">
        <v>222</v>
      </c>
      <c r="B45" s="2">
        <v>46263.04278935185</v>
      </c>
      <c r="C45" s="2" t="str">
        <f t="shared" si="0"/>
        <v>Aug-2026</v>
      </c>
      <c r="D45" t="s">
        <v>223</v>
      </c>
      <c r="E45" t="str">
        <f>VLOOKUP(D45,Customers!A:H,7,0)</f>
        <v>Business Owner</v>
      </c>
      <c r="F45" t="s">
        <v>224</v>
      </c>
      <c r="G45" t="s">
        <v>225</v>
      </c>
      <c r="H45" t="str">
        <f>IFERROR(VLOOKUP(Transactions!G45,Merchants!A:B,2,FALSE),"Not Found")</f>
        <v>Quick Retail</v>
      </c>
      <c r="I45" s="9">
        <v>42236.83</v>
      </c>
      <c r="J45" s="3">
        <v>126.71</v>
      </c>
      <c r="K45" t="s">
        <v>96</v>
      </c>
      <c r="L45" t="s">
        <v>59</v>
      </c>
      <c r="M45" t="s">
        <v>60</v>
      </c>
      <c r="N45" t="s">
        <v>67</v>
      </c>
      <c r="O45" t="s">
        <v>75</v>
      </c>
      <c r="P45" t="str">
        <f t="shared" si="1"/>
        <v>High Value</v>
      </c>
      <c r="Q45" t="str">
        <f>VLOOKUP(G45,Merchants!A:C,3,TRUE)</f>
        <v>Grocery</v>
      </c>
    </row>
    <row r="46" spans="1:17" x14ac:dyDescent="0.3">
      <c r="A46" t="s">
        <v>226</v>
      </c>
      <c r="B46" s="2">
        <v>45696.136921296304</v>
      </c>
      <c r="C46" s="2" t="str">
        <f t="shared" si="0"/>
        <v>Feb-2025</v>
      </c>
      <c r="D46" t="s">
        <v>227</v>
      </c>
      <c r="E46" t="str">
        <f>VLOOKUP(D46,Customers!A:H,7,0)</f>
        <v>Self-employed</v>
      </c>
      <c r="F46" t="s">
        <v>228</v>
      </c>
      <c r="G46" t="s">
        <v>229</v>
      </c>
      <c r="H46" t="str">
        <f>IFERROR(VLOOKUP(Transactions!G46,Merchants!A:B,2,FALSE),"Not Found")</f>
        <v>Urban Services</v>
      </c>
      <c r="I46" s="9">
        <v>3464.46</v>
      </c>
      <c r="J46" s="3">
        <v>6.93</v>
      </c>
      <c r="K46" t="s">
        <v>72</v>
      </c>
      <c r="L46" t="s">
        <v>59</v>
      </c>
      <c r="M46" t="s">
        <v>111</v>
      </c>
      <c r="N46" t="s">
        <v>67</v>
      </c>
      <c r="O46" t="s">
        <v>81</v>
      </c>
      <c r="P46" t="str">
        <f t="shared" si="1"/>
        <v>High Value</v>
      </c>
      <c r="Q46" t="str">
        <f>VLOOKUP(G46,Merchants!A:C,3,TRUE)</f>
        <v>Fashion</v>
      </c>
    </row>
    <row r="47" spans="1:17" x14ac:dyDescent="0.3">
      <c r="A47" t="s">
        <v>230</v>
      </c>
      <c r="B47" s="2">
        <v>45839.490891203714</v>
      </c>
      <c r="C47" s="2" t="str">
        <f t="shared" si="0"/>
        <v>Jul-2025</v>
      </c>
      <c r="D47" t="s">
        <v>231</v>
      </c>
      <c r="E47" t="str">
        <f>VLOOKUP(D47,Customers!A:H,7,0)</f>
        <v>Student</v>
      </c>
      <c r="F47" t="s">
        <v>232</v>
      </c>
      <c r="G47" t="s">
        <v>233</v>
      </c>
      <c r="H47" t="str">
        <f>IFERROR(VLOOKUP(Transactions!G47,Merchants!A:B,2,FALSE),"Not Found")</f>
        <v>Urban Retail</v>
      </c>
      <c r="I47" s="9">
        <v>3667.4</v>
      </c>
      <c r="J47" s="3">
        <v>11</v>
      </c>
      <c r="K47" t="s">
        <v>72</v>
      </c>
      <c r="L47" t="s">
        <v>59</v>
      </c>
      <c r="M47" t="s">
        <v>86</v>
      </c>
      <c r="N47" t="s">
        <v>61</v>
      </c>
      <c r="O47" t="s">
        <v>75</v>
      </c>
      <c r="P47" t="str">
        <f t="shared" si="1"/>
        <v>High Value</v>
      </c>
      <c r="Q47" t="str">
        <f>VLOOKUP(G47,Merchants!A:C,3,TRUE)</f>
        <v>Utilities</v>
      </c>
    </row>
    <row r="48" spans="1:17" x14ac:dyDescent="0.3">
      <c r="A48" t="s">
        <v>234</v>
      </c>
      <c r="B48" s="2">
        <v>46258.153263888889</v>
      </c>
      <c r="C48" s="2" t="str">
        <f t="shared" si="0"/>
        <v>Aug-2026</v>
      </c>
      <c r="D48" t="s">
        <v>235</v>
      </c>
      <c r="E48" t="str">
        <f>VLOOKUP(D48,Customers!A:H,7,0)</f>
        <v>Student</v>
      </c>
      <c r="F48" t="s">
        <v>236</v>
      </c>
      <c r="G48" t="s">
        <v>237</v>
      </c>
      <c r="H48" t="str">
        <f>IFERROR(VLOOKUP(Transactions!G48,Merchants!A:B,2,FALSE),"Not Found")</f>
        <v>Metro Pay</v>
      </c>
      <c r="I48" s="9">
        <v>20260.009999999998</v>
      </c>
      <c r="J48" s="3">
        <v>60.78</v>
      </c>
      <c r="K48" t="s">
        <v>96</v>
      </c>
      <c r="L48" t="s">
        <v>59</v>
      </c>
      <c r="M48" t="s">
        <v>60</v>
      </c>
      <c r="N48" t="s">
        <v>67</v>
      </c>
      <c r="O48" t="s">
        <v>81</v>
      </c>
      <c r="P48" t="str">
        <f t="shared" si="1"/>
        <v>High Value</v>
      </c>
      <c r="Q48" t="str">
        <f>VLOOKUP(G48,Merchants!A:C,3,TRUE)</f>
        <v>Healthcare</v>
      </c>
    </row>
    <row r="49" spans="1:17" x14ac:dyDescent="0.3">
      <c r="A49" t="s">
        <v>238</v>
      </c>
      <c r="B49" s="2">
        <v>45886.893449074072</v>
      </c>
      <c r="C49" s="2" t="str">
        <f t="shared" si="0"/>
        <v>Aug-2025</v>
      </c>
      <c r="D49" t="s">
        <v>239</v>
      </c>
      <c r="E49" t="str">
        <f>VLOOKUP(D49,Customers!A:H,7,0)</f>
        <v>Salaried</v>
      </c>
      <c r="F49" t="s">
        <v>240</v>
      </c>
      <c r="G49" t="s">
        <v>229</v>
      </c>
      <c r="H49" t="str">
        <f>IFERROR(VLOOKUP(Transactions!G49,Merchants!A:B,2,FALSE),"Not Found")</f>
        <v>Urban Services</v>
      </c>
      <c r="I49" s="9">
        <v>48885.81</v>
      </c>
      <c r="J49" s="3">
        <v>244.43</v>
      </c>
      <c r="K49" t="s">
        <v>133</v>
      </c>
      <c r="L49" t="s">
        <v>59</v>
      </c>
      <c r="M49" t="s">
        <v>74</v>
      </c>
      <c r="N49" t="s">
        <v>67</v>
      </c>
      <c r="O49" t="s">
        <v>62</v>
      </c>
      <c r="P49" t="str">
        <f t="shared" si="1"/>
        <v>High Value</v>
      </c>
      <c r="Q49" t="str">
        <f>VLOOKUP(G49,Merchants!A:C,3,TRUE)</f>
        <v>Fashion</v>
      </c>
    </row>
    <row r="50" spans="1:17" x14ac:dyDescent="0.3">
      <c r="A50" t="s">
        <v>241</v>
      </c>
      <c r="B50" s="2">
        <v>46274.482743055552</v>
      </c>
      <c r="C50" s="2" t="str">
        <f t="shared" si="0"/>
        <v>Sep-2026</v>
      </c>
      <c r="D50" t="s">
        <v>242</v>
      </c>
      <c r="E50" t="str">
        <f>VLOOKUP(D50,Customers!A:H,7,0)</f>
        <v>Salaried</v>
      </c>
      <c r="F50" t="s">
        <v>243</v>
      </c>
      <c r="G50" t="s">
        <v>244</v>
      </c>
      <c r="H50" t="str">
        <f>IFERROR(VLOOKUP(Transactions!G50,Merchants!A:B,2,FALSE),"Not Found")</f>
        <v>Blue Hub</v>
      </c>
      <c r="I50" s="9">
        <v>55270.19</v>
      </c>
      <c r="J50" s="3">
        <v>165.81</v>
      </c>
      <c r="K50" t="s">
        <v>96</v>
      </c>
      <c r="L50" t="s">
        <v>157</v>
      </c>
      <c r="M50" t="s">
        <v>111</v>
      </c>
      <c r="N50" t="s">
        <v>61</v>
      </c>
      <c r="O50" t="s">
        <v>91</v>
      </c>
      <c r="P50" t="str">
        <f t="shared" si="1"/>
        <v>High Value</v>
      </c>
      <c r="Q50" t="str">
        <f>VLOOKUP(G50,Merchants!A:C,3,TRUE)</f>
        <v>Healthcare</v>
      </c>
    </row>
    <row r="51" spans="1:17" x14ac:dyDescent="0.3">
      <c r="A51" t="s">
        <v>245</v>
      </c>
      <c r="B51" s="2">
        <v>45901.526122685187</v>
      </c>
      <c r="C51" s="2" t="str">
        <f t="shared" si="0"/>
        <v>Sep-2025</v>
      </c>
      <c r="D51" t="s">
        <v>246</v>
      </c>
      <c r="E51" t="str">
        <f>VLOOKUP(D51,Customers!A:H,7,0)</f>
        <v>Student</v>
      </c>
      <c r="F51" t="s">
        <v>247</v>
      </c>
      <c r="G51" t="s">
        <v>201</v>
      </c>
      <c r="H51" t="str">
        <f>IFERROR(VLOOKUP(Transactions!G51,Merchants!A:B,2,FALSE),"Not Found")</f>
        <v>Urban Stores</v>
      </c>
      <c r="I51" s="9">
        <v>58944.54</v>
      </c>
      <c r="J51" s="3">
        <v>117.89</v>
      </c>
      <c r="K51" t="s">
        <v>96</v>
      </c>
      <c r="L51" t="s">
        <v>59</v>
      </c>
      <c r="M51" t="s">
        <v>86</v>
      </c>
      <c r="N51" t="s">
        <v>61</v>
      </c>
      <c r="O51" t="s">
        <v>62</v>
      </c>
      <c r="P51" t="str">
        <f t="shared" si="1"/>
        <v>High Value</v>
      </c>
      <c r="Q51" t="str">
        <f>VLOOKUP(G51,Merchants!A:C,3,TRUE)</f>
        <v>Entertainment</v>
      </c>
    </row>
    <row r="52" spans="1:17" x14ac:dyDescent="0.3">
      <c r="A52" t="s">
        <v>248</v>
      </c>
      <c r="B52" s="2">
        <v>45913.102835648147</v>
      </c>
      <c r="C52" s="2" t="str">
        <f t="shared" si="0"/>
        <v>Sep-2025</v>
      </c>
      <c r="D52" t="s">
        <v>249</v>
      </c>
      <c r="E52" t="str">
        <f>VLOOKUP(D52,Customers!A:H,7,0)</f>
        <v>Business Owner</v>
      </c>
      <c r="F52" t="s">
        <v>123</v>
      </c>
      <c r="G52" t="s">
        <v>250</v>
      </c>
      <c r="H52" t="str">
        <f>IFERROR(VLOOKUP(Transactions!G52,Merchants!A:B,2,FALSE),"Not Found")</f>
        <v>Fresh Hub</v>
      </c>
      <c r="I52" s="9">
        <v>21093.82</v>
      </c>
      <c r="J52" s="3">
        <v>42.19</v>
      </c>
      <c r="K52" t="s">
        <v>96</v>
      </c>
      <c r="L52" t="s">
        <v>73</v>
      </c>
      <c r="M52" t="s">
        <v>111</v>
      </c>
      <c r="N52" t="s">
        <v>61</v>
      </c>
      <c r="O52" t="s">
        <v>75</v>
      </c>
      <c r="P52" t="str">
        <f t="shared" si="1"/>
        <v>High Value</v>
      </c>
      <c r="Q52" t="str">
        <f>VLOOKUP(G52,Merchants!A:C,3,TRUE)</f>
        <v>Healthcare</v>
      </c>
    </row>
    <row r="53" spans="1:17" x14ac:dyDescent="0.3">
      <c r="A53" t="s">
        <v>251</v>
      </c>
      <c r="B53" s="2">
        <v>46045.532824074071</v>
      </c>
      <c r="C53" s="2" t="str">
        <f t="shared" si="0"/>
        <v>Jan-2026</v>
      </c>
      <c r="D53" t="s">
        <v>252</v>
      </c>
      <c r="E53" t="str">
        <f>VLOOKUP(D53,Customers!A:H,7,0)</f>
        <v>Business Owner</v>
      </c>
      <c r="F53" t="s">
        <v>253</v>
      </c>
      <c r="G53" t="s">
        <v>128</v>
      </c>
      <c r="H53" t="str">
        <f>IFERROR(VLOOKUP(Transactions!G53,Merchants!A:B,2,FALSE),"Not Found")</f>
        <v>Blue Foods</v>
      </c>
      <c r="I53" s="9">
        <v>32806.839999999997</v>
      </c>
      <c r="J53" s="3">
        <v>328.07</v>
      </c>
      <c r="K53" t="s">
        <v>90</v>
      </c>
      <c r="L53" t="s">
        <v>59</v>
      </c>
      <c r="M53" t="s">
        <v>111</v>
      </c>
      <c r="N53" t="s">
        <v>61</v>
      </c>
      <c r="O53" t="s">
        <v>91</v>
      </c>
      <c r="P53" t="str">
        <f t="shared" si="1"/>
        <v>High Value</v>
      </c>
      <c r="Q53" t="str">
        <f>VLOOKUP(G53,Merchants!A:C,3,TRUE)</f>
        <v>Food &amp; Dining</v>
      </c>
    </row>
    <row r="54" spans="1:17" x14ac:dyDescent="0.3">
      <c r="A54" t="s">
        <v>254</v>
      </c>
      <c r="B54" s="2">
        <v>45692.447384259263</v>
      </c>
      <c r="C54" s="2" t="str">
        <f t="shared" si="0"/>
        <v>Feb-2025</v>
      </c>
      <c r="D54" t="s">
        <v>255</v>
      </c>
      <c r="E54" t="str">
        <f>VLOOKUP(D54,Customers!A:H,7,0)</f>
        <v>Self-employed</v>
      </c>
      <c r="F54" t="s">
        <v>256</v>
      </c>
      <c r="G54" t="s">
        <v>95</v>
      </c>
      <c r="H54" t="str">
        <f>IFERROR(VLOOKUP(Transactions!G54,Merchants!A:B,2,FALSE),"Not Found")</f>
        <v>Quick Pay</v>
      </c>
      <c r="I54" s="9">
        <v>1302.67</v>
      </c>
      <c r="J54" s="3">
        <v>2.61</v>
      </c>
      <c r="K54" t="s">
        <v>96</v>
      </c>
      <c r="L54" t="s">
        <v>59</v>
      </c>
      <c r="M54" t="s">
        <v>111</v>
      </c>
      <c r="N54" t="s">
        <v>67</v>
      </c>
      <c r="O54" t="s">
        <v>91</v>
      </c>
      <c r="P54" t="str">
        <f t="shared" si="1"/>
        <v>Standard</v>
      </c>
      <c r="Q54" t="str">
        <f>VLOOKUP(G54,Merchants!A:C,3,TRUE)</f>
        <v>Healthcare</v>
      </c>
    </row>
    <row r="55" spans="1:17" x14ac:dyDescent="0.3">
      <c r="A55" t="s">
        <v>257</v>
      </c>
      <c r="B55" s="2">
        <v>46004.90115740741</v>
      </c>
      <c r="C55" s="2" t="str">
        <f t="shared" si="0"/>
        <v>Dec-2025</v>
      </c>
      <c r="D55" t="s">
        <v>258</v>
      </c>
      <c r="E55" t="str">
        <f>VLOOKUP(D55,Customers!A:H,7,0)</f>
        <v>Salaried</v>
      </c>
      <c r="F55" t="s">
        <v>259</v>
      </c>
      <c r="G55" t="s">
        <v>156</v>
      </c>
      <c r="H55" t="str">
        <f>IFERROR(VLOOKUP(Transactions!G55,Merchants!A:B,2,FALSE),"Not Found")</f>
        <v>Blue Digital</v>
      </c>
      <c r="I55" s="9">
        <v>59118.04</v>
      </c>
      <c r="J55" s="3">
        <v>118.24</v>
      </c>
      <c r="K55" t="s">
        <v>90</v>
      </c>
      <c r="L55" t="s">
        <v>73</v>
      </c>
      <c r="M55" t="s">
        <v>74</v>
      </c>
      <c r="N55" t="s">
        <v>67</v>
      </c>
      <c r="O55" t="s">
        <v>91</v>
      </c>
      <c r="P55" t="str">
        <f t="shared" si="1"/>
        <v>High Value</v>
      </c>
      <c r="Q55" t="str">
        <f>VLOOKUP(G55,Merchants!A:C,3,TRUE)</f>
        <v>Electronics</v>
      </c>
    </row>
    <row r="56" spans="1:17" x14ac:dyDescent="0.3">
      <c r="A56" t="s">
        <v>260</v>
      </c>
      <c r="B56" s="2">
        <v>45761.502280092587</v>
      </c>
      <c r="C56" s="2" t="str">
        <f t="shared" si="0"/>
        <v>Apr-2025</v>
      </c>
      <c r="D56" t="s">
        <v>261</v>
      </c>
      <c r="E56" t="str">
        <f>VLOOKUP(D56,Customers!A:H,7,0)</f>
        <v>Student</v>
      </c>
      <c r="F56" t="s">
        <v>262</v>
      </c>
      <c r="G56" t="s">
        <v>263</v>
      </c>
      <c r="H56" t="str">
        <f>IFERROR(VLOOKUP(Transactions!G56,Merchants!A:B,2,FALSE),"Not Found")</f>
        <v>Urban Retail</v>
      </c>
      <c r="I56" s="9">
        <v>12412.47</v>
      </c>
      <c r="J56" s="3">
        <v>62.06</v>
      </c>
      <c r="K56" t="s">
        <v>90</v>
      </c>
      <c r="L56" t="s">
        <v>59</v>
      </c>
      <c r="M56" t="s">
        <v>86</v>
      </c>
      <c r="N56" t="s">
        <v>67</v>
      </c>
      <c r="O56" t="s">
        <v>75</v>
      </c>
      <c r="P56" t="str">
        <f t="shared" si="1"/>
        <v>High Value</v>
      </c>
      <c r="Q56" t="str">
        <f>VLOOKUP(G56,Merchants!A:C,3,TRUE)</f>
        <v>Grocery</v>
      </c>
    </row>
    <row r="57" spans="1:17" x14ac:dyDescent="0.3">
      <c r="A57" t="s">
        <v>264</v>
      </c>
      <c r="B57" s="2">
        <v>46243.833854166667</v>
      </c>
      <c r="C57" s="2" t="str">
        <f t="shared" si="0"/>
        <v>Aug-2026</v>
      </c>
      <c r="D57" t="s">
        <v>265</v>
      </c>
      <c r="E57" t="str">
        <f>VLOOKUP(D57,Customers!A:H,7,0)</f>
        <v>Salaried</v>
      </c>
      <c r="F57" t="s">
        <v>266</v>
      </c>
      <c r="G57" t="s">
        <v>103</v>
      </c>
      <c r="H57" t="str">
        <f>IFERROR(VLOOKUP(Transactions!G57,Merchants!A:B,2,FALSE),"Not Found")</f>
        <v>Nova Pay</v>
      </c>
      <c r="I57" s="9">
        <v>50407.28</v>
      </c>
      <c r="J57" s="3">
        <v>252.04</v>
      </c>
      <c r="K57" t="s">
        <v>72</v>
      </c>
      <c r="L57" t="s">
        <v>59</v>
      </c>
      <c r="M57" t="s">
        <v>74</v>
      </c>
      <c r="N57" t="s">
        <v>67</v>
      </c>
      <c r="O57" t="s">
        <v>91</v>
      </c>
      <c r="P57" t="str">
        <f t="shared" si="1"/>
        <v>High Value</v>
      </c>
      <c r="Q57" t="str">
        <f>VLOOKUP(G57,Merchants!A:C,3,TRUE)</f>
        <v>Fashion</v>
      </c>
    </row>
    <row r="58" spans="1:17" x14ac:dyDescent="0.3">
      <c r="A58" t="s">
        <v>267</v>
      </c>
      <c r="B58" s="2">
        <v>45684.313946759263</v>
      </c>
      <c r="C58" s="2" t="str">
        <f t="shared" si="0"/>
        <v>Jan-2025</v>
      </c>
      <c r="D58" t="s">
        <v>268</v>
      </c>
      <c r="E58" t="str">
        <f>VLOOKUP(D58,Customers!A:H,7,0)</f>
        <v>Student</v>
      </c>
      <c r="F58" t="s">
        <v>232</v>
      </c>
      <c r="G58" t="s">
        <v>124</v>
      </c>
      <c r="H58" t="str">
        <f>IFERROR(VLOOKUP(Transactions!G58,Merchants!A:B,2,FALSE),"Not Found")</f>
        <v>Daily Services</v>
      </c>
      <c r="I58" s="9">
        <v>10332.85</v>
      </c>
      <c r="J58" s="3">
        <v>20.67</v>
      </c>
      <c r="K58" t="s">
        <v>72</v>
      </c>
      <c r="L58" t="s">
        <v>59</v>
      </c>
      <c r="M58" t="s">
        <v>74</v>
      </c>
      <c r="N58" t="s">
        <v>61</v>
      </c>
      <c r="O58" t="s">
        <v>75</v>
      </c>
      <c r="P58" t="str">
        <f t="shared" si="1"/>
        <v>High Value</v>
      </c>
      <c r="Q58" t="str">
        <f>VLOOKUP(G58,Merchants!A:C,3,TRUE)</f>
        <v>Food &amp; Dining</v>
      </c>
    </row>
    <row r="59" spans="1:17" x14ac:dyDescent="0.3">
      <c r="A59" t="s">
        <v>269</v>
      </c>
      <c r="B59" s="2">
        <v>45929.138252314813</v>
      </c>
      <c r="C59" s="2" t="str">
        <f t="shared" si="0"/>
        <v>Sep-2025</v>
      </c>
      <c r="D59" t="s">
        <v>270</v>
      </c>
      <c r="E59" t="str">
        <f>VLOOKUP(D59,Customers!A:H,7,0)</f>
        <v>Business Owner</v>
      </c>
      <c r="F59" t="s">
        <v>167</v>
      </c>
      <c r="G59" t="s">
        <v>215</v>
      </c>
      <c r="H59" t="str">
        <f>IFERROR(VLOOKUP(Transactions!G59,Merchants!A:B,2,FALSE),"Not Found")</f>
        <v>Daily Hub</v>
      </c>
      <c r="I59" s="9">
        <v>38547.800000000003</v>
      </c>
      <c r="J59" s="3">
        <v>192.74</v>
      </c>
      <c r="K59" t="s">
        <v>96</v>
      </c>
      <c r="L59" t="s">
        <v>59</v>
      </c>
      <c r="M59" t="s">
        <v>86</v>
      </c>
      <c r="N59" t="s">
        <v>61</v>
      </c>
      <c r="O59" t="s">
        <v>75</v>
      </c>
      <c r="P59" t="str">
        <f t="shared" si="1"/>
        <v>High Value</v>
      </c>
      <c r="Q59" t="str">
        <f>VLOOKUP(G59,Merchants!A:C,3,TRUE)</f>
        <v>Fashion</v>
      </c>
    </row>
    <row r="60" spans="1:17" x14ac:dyDescent="0.3">
      <c r="A60" t="s">
        <v>271</v>
      </c>
      <c r="B60" s="2">
        <v>46134.399583333332</v>
      </c>
      <c r="C60" s="2" t="str">
        <f t="shared" si="0"/>
        <v>Apr-2026</v>
      </c>
      <c r="D60" t="s">
        <v>272</v>
      </c>
      <c r="E60" t="str">
        <f>VLOOKUP(D60,Customers!A:H,7,0)</f>
        <v>Self-employed</v>
      </c>
      <c r="F60" t="s">
        <v>273</v>
      </c>
      <c r="G60" t="s">
        <v>107</v>
      </c>
      <c r="H60" t="str">
        <f>IFERROR(VLOOKUP(Transactions!G60,Merchants!A:B,2,FALSE),"Not Found")</f>
        <v>Blue Services</v>
      </c>
      <c r="I60" s="9">
        <v>13651.91</v>
      </c>
      <c r="J60" s="3">
        <v>27.3</v>
      </c>
      <c r="K60" t="s">
        <v>58</v>
      </c>
      <c r="L60" t="s">
        <v>59</v>
      </c>
      <c r="M60" t="s">
        <v>86</v>
      </c>
      <c r="N60" t="s">
        <v>61</v>
      </c>
      <c r="O60" t="s">
        <v>75</v>
      </c>
      <c r="P60" t="str">
        <f t="shared" si="1"/>
        <v>High Value</v>
      </c>
      <c r="Q60" t="str">
        <f>VLOOKUP(G60,Merchants!A:C,3,TRUE)</f>
        <v>Travel</v>
      </c>
    </row>
    <row r="61" spans="1:17" x14ac:dyDescent="0.3">
      <c r="A61" t="s">
        <v>274</v>
      </c>
      <c r="B61" s="2">
        <v>46261.345138888893</v>
      </c>
      <c r="C61" s="2" t="str">
        <f t="shared" si="0"/>
        <v>Aug-2026</v>
      </c>
      <c r="D61" t="s">
        <v>275</v>
      </c>
      <c r="E61" t="str">
        <f>VLOOKUP(D61,Customers!A:H,7,0)</f>
        <v>Student</v>
      </c>
      <c r="F61" t="s">
        <v>276</v>
      </c>
      <c r="G61" t="s">
        <v>277</v>
      </c>
      <c r="H61" t="str">
        <f>IFERROR(VLOOKUP(Transactions!G61,Merchants!A:B,2,FALSE),"Not Found")</f>
        <v>Daily Digital</v>
      </c>
      <c r="I61" s="9">
        <v>33260.75</v>
      </c>
      <c r="J61" s="3">
        <v>332.61</v>
      </c>
      <c r="K61" t="s">
        <v>133</v>
      </c>
      <c r="L61" t="s">
        <v>73</v>
      </c>
      <c r="M61" t="s">
        <v>111</v>
      </c>
      <c r="N61" t="s">
        <v>61</v>
      </c>
      <c r="O61" t="s">
        <v>81</v>
      </c>
      <c r="P61" t="str">
        <f t="shared" si="1"/>
        <v>High Value</v>
      </c>
      <c r="Q61" t="str">
        <f>VLOOKUP(G61,Merchants!A:C,3,TRUE)</f>
        <v>Grocery</v>
      </c>
    </row>
    <row r="62" spans="1:17" x14ac:dyDescent="0.3">
      <c r="A62" t="s">
        <v>278</v>
      </c>
      <c r="B62" s="2">
        <v>45738.598923611113</v>
      </c>
      <c r="C62" s="2" t="str">
        <f t="shared" si="0"/>
        <v>Mar-2025</v>
      </c>
      <c r="D62" t="s">
        <v>159</v>
      </c>
      <c r="E62" t="str">
        <f>VLOOKUP(D62,Customers!A:H,7,0)</f>
        <v>Business Owner</v>
      </c>
      <c r="F62" t="s">
        <v>279</v>
      </c>
      <c r="G62" t="s">
        <v>250</v>
      </c>
      <c r="H62" t="str">
        <f>IFERROR(VLOOKUP(Transactions!G62,Merchants!A:B,2,FALSE),"Not Found")</f>
        <v>Fresh Hub</v>
      </c>
      <c r="I62" s="9">
        <v>54176.35</v>
      </c>
      <c r="J62" s="3">
        <v>162.53</v>
      </c>
      <c r="K62" t="s">
        <v>90</v>
      </c>
      <c r="L62" t="s">
        <v>80</v>
      </c>
      <c r="M62" t="s">
        <v>111</v>
      </c>
      <c r="N62" t="s">
        <v>67</v>
      </c>
      <c r="O62" t="s">
        <v>62</v>
      </c>
      <c r="P62" t="str">
        <f t="shared" si="1"/>
        <v>High Value</v>
      </c>
      <c r="Q62" t="str">
        <f>VLOOKUP(G62,Merchants!A:C,3,TRUE)</f>
        <v>Healthcare</v>
      </c>
    </row>
    <row r="63" spans="1:17" x14ac:dyDescent="0.3">
      <c r="A63" t="s">
        <v>280</v>
      </c>
      <c r="B63" s="2">
        <v>45787.064733796287</v>
      </c>
      <c r="C63" s="2" t="str">
        <f t="shared" si="0"/>
        <v>May-2025</v>
      </c>
      <c r="D63" t="s">
        <v>281</v>
      </c>
      <c r="E63" t="str">
        <f>VLOOKUP(D63,Customers!A:H,7,0)</f>
        <v>Salaried</v>
      </c>
      <c r="F63" t="s">
        <v>282</v>
      </c>
      <c r="G63" t="s">
        <v>237</v>
      </c>
      <c r="H63" t="str">
        <f>IFERROR(VLOOKUP(Transactions!G63,Merchants!A:B,2,FALSE),"Not Found")</f>
        <v>Metro Pay</v>
      </c>
      <c r="I63" s="9">
        <v>25460.16</v>
      </c>
      <c r="J63" s="3">
        <v>254.6</v>
      </c>
      <c r="K63" t="s">
        <v>90</v>
      </c>
      <c r="L63" t="s">
        <v>157</v>
      </c>
      <c r="M63" t="s">
        <v>60</v>
      </c>
      <c r="N63" t="s">
        <v>61</v>
      </c>
      <c r="O63" t="s">
        <v>91</v>
      </c>
      <c r="P63" t="str">
        <f t="shared" si="1"/>
        <v>High Value</v>
      </c>
      <c r="Q63" t="str">
        <f>VLOOKUP(G63,Merchants!A:C,3,TRUE)</f>
        <v>Healthcare</v>
      </c>
    </row>
    <row r="64" spans="1:17" x14ac:dyDescent="0.3">
      <c r="A64" t="s">
        <v>283</v>
      </c>
      <c r="B64" s="2">
        <v>45747.588750000003</v>
      </c>
      <c r="C64" s="2" t="str">
        <f t="shared" si="0"/>
        <v>Mar-2025</v>
      </c>
      <c r="D64" t="s">
        <v>284</v>
      </c>
      <c r="E64" t="str">
        <f>VLOOKUP(D64,Customers!A:H,7,0)</f>
        <v>Student</v>
      </c>
      <c r="F64" t="s">
        <v>285</v>
      </c>
      <c r="G64" t="s">
        <v>229</v>
      </c>
      <c r="H64" t="str">
        <f>IFERROR(VLOOKUP(Transactions!G64,Merchants!A:B,2,FALSE),"Not Found")</f>
        <v>Urban Services</v>
      </c>
      <c r="I64" s="9">
        <v>33426.22</v>
      </c>
      <c r="J64" s="3">
        <v>167.13</v>
      </c>
      <c r="K64" t="s">
        <v>133</v>
      </c>
      <c r="L64" t="s">
        <v>59</v>
      </c>
      <c r="M64" t="s">
        <v>74</v>
      </c>
      <c r="N64" t="s">
        <v>67</v>
      </c>
      <c r="O64" t="s">
        <v>75</v>
      </c>
      <c r="P64" t="str">
        <f t="shared" si="1"/>
        <v>High Value</v>
      </c>
      <c r="Q64" t="str">
        <f>VLOOKUP(G64,Merchants!A:C,3,TRUE)</f>
        <v>Fashion</v>
      </c>
    </row>
    <row r="65" spans="1:17" x14ac:dyDescent="0.3">
      <c r="A65" t="s">
        <v>286</v>
      </c>
      <c r="B65" s="2">
        <v>45811.224814814806</v>
      </c>
      <c r="C65" s="2" t="str">
        <f t="shared" si="0"/>
        <v>Jun-2025</v>
      </c>
      <c r="D65" t="s">
        <v>287</v>
      </c>
      <c r="E65" t="str">
        <f>VLOOKUP(D65,Customers!A:H,7,0)</f>
        <v>Self-employed</v>
      </c>
      <c r="F65" t="s">
        <v>243</v>
      </c>
      <c r="G65" t="s">
        <v>244</v>
      </c>
      <c r="H65" t="str">
        <f>IFERROR(VLOOKUP(Transactions!G65,Merchants!A:B,2,FALSE),"Not Found")</f>
        <v>Blue Hub</v>
      </c>
      <c r="I65" s="9">
        <v>34038.980000000003</v>
      </c>
      <c r="J65" s="3">
        <v>68.08</v>
      </c>
      <c r="K65" t="s">
        <v>72</v>
      </c>
      <c r="L65" t="s">
        <v>59</v>
      </c>
      <c r="M65" t="s">
        <v>60</v>
      </c>
      <c r="N65" t="s">
        <v>61</v>
      </c>
      <c r="O65" t="s">
        <v>81</v>
      </c>
      <c r="P65" t="str">
        <f t="shared" si="1"/>
        <v>High Value</v>
      </c>
      <c r="Q65" t="str">
        <f>VLOOKUP(G65,Merchants!A:C,3,TRUE)</f>
        <v>Healthcare</v>
      </c>
    </row>
    <row r="66" spans="1:17" x14ac:dyDescent="0.3">
      <c r="A66" t="s">
        <v>288</v>
      </c>
      <c r="B66" s="2">
        <v>46050.993333333332</v>
      </c>
      <c r="C66" s="2" t="str">
        <f t="shared" si="0"/>
        <v>Jan-2026</v>
      </c>
      <c r="D66" t="s">
        <v>289</v>
      </c>
      <c r="E66" t="str">
        <f>VLOOKUP(D66,Customers!A:H,7,0)</f>
        <v>Business Owner</v>
      </c>
      <c r="F66" t="s">
        <v>290</v>
      </c>
      <c r="G66" t="s">
        <v>198</v>
      </c>
      <c r="H66" t="str">
        <f>IFERROR(VLOOKUP(Transactions!G66,Merchants!A:B,2,FALSE),"Not Found")</f>
        <v>Metro Services</v>
      </c>
      <c r="I66" s="9">
        <v>29186.53</v>
      </c>
      <c r="J66" s="3">
        <v>58.37</v>
      </c>
      <c r="K66" t="s">
        <v>90</v>
      </c>
      <c r="L66" t="s">
        <v>59</v>
      </c>
      <c r="M66" t="s">
        <v>74</v>
      </c>
      <c r="N66" t="s">
        <v>67</v>
      </c>
      <c r="O66" t="s">
        <v>75</v>
      </c>
      <c r="P66" t="str">
        <f t="shared" si="1"/>
        <v>High Value</v>
      </c>
      <c r="Q66" t="str">
        <f>VLOOKUP(G66,Merchants!A:C,3,TRUE)</f>
        <v>Travel</v>
      </c>
    </row>
    <row r="67" spans="1:17" x14ac:dyDescent="0.3">
      <c r="A67" t="s">
        <v>291</v>
      </c>
      <c r="B67" s="2">
        <v>45997.360405092593</v>
      </c>
      <c r="C67" s="2" t="str">
        <f t="shared" ref="C67:C130" si="2">TEXT(B67,"mmm-yyyy")</f>
        <v>Dec-2025</v>
      </c>
      <c r="D67" t="s">
        <v>292</v>
      </c>
      <c r="E67" t="str">
        <f>VLOOKUP(D67,Customers!A:H,7,0)</f>
        <v>Self-employed</v>
      </c>
      <c r="F67" t="s">
        <v>293</v>
      </c>
      <c r="G67" t="s">
        <v>201</v>
      </c>
      <c r="H67" t="str">
        <f>IFERROR(VLOOKUP(Transactions!G67,Merchants!A:B,2,FALSE),"Not Found")</f>
        <v>Urban Stores</v>
      </c>
      <c r="I67" s="9">
        <v>3052.53</v>
      </c>
      <c r="J67" s="3">
        <v>15.26</v>
      </c>
      <c r="K67" t="s">
        <v>72</v>
      </c>
      <c r="L67" t="s">
        <v>59</v>
      </c>
      <c r="M67" t="s">
        <v>60</v>
      </c>
      <c r="N67" t="s">
        <v>61</v>
      </c>
      <c r="O67" t="s">
        <v>75</v>
      </c>
      <c r="P67" t="str">
        <f t="shared" ref="P67:P130" si="3">IF(I67&gt;=2500,"High Value","Standard")</f>
        <v>High Value</v>
      </c>
      <c r="Q67" t="str">
        <f>VLOOKUP(G67,Merchants!A:C,3,TRUE)</f>
        <v>Entertainment</v>
      </c>
    </row>
    <row r="68" spans="1:17" x14ac:dyDescent="0.3">
      <c r="A68" t="s">
        <v>294</v>
      </c>
      <c r="B68" s="2">
        <v>45758.345810185187</v>
      </c>
      <c r="C68" s="2" t="str">
        <f t="shared" si="2"/>
        <v>Apr-2025</v>
      </c>
      <c r="D68" t="s">
        <v>295</v>
      </c>
      <c r="E68" t="str">
        <f>VLOOKUP(D68,Customers!A:H,7,0)</f>
        <v>Student</v>
      </c>
      <c r="F68" t="s">
        <v>296</v>
      </c>
      <c r="G68" t="s">
        <v>66</v>
      </c>
      <c r="H68" t="str">
        <f>IFERROR(VLOOKUP(Transactions!G68,Merchants!A:B,2,FALSE),"Not Found")</f>
        <v>Prime Digital</v>
      </c>
      <c r="I68" s="9">
        <v>8149.69</v>
      </c>
      <c r="J68" s="3">
        <v>81.5</v>
      </c>
      <c r="K68" t="s">
        <v>133</v>
      </c>
      <c r="L68" t="s">
        <v>157</v>
      </c>
      <c r="M68" t="s">
        <v>86</v>
      </c>
      <c r="N68" t="s">
        <v>67</v>
      </c>
      <c r="O68" t="s">
        <v>75</v>
      </c>
      <c r="P68" t="str">
        <f t="shared" si="3"/>
        <v>High Value</v>
      </c>
      <c r="Q68" t="str">
        <f>VLOOKUP(G68,Merchants!A:C,3,TRUE)</f>
        <v>Fuel</v>
      </c>
    </row>
    <row r="69" spans="1:17" x14ac:dyDescent="0.3">
      <c r="A69" t="s">
        <v>297</v>
      </c>
      <c r="B69" s="2">
        <v>45874.617685185192</v>
      </c>
      <c r="C69" s="2" t="str">
        <f t="shared" si="2"/>
        <v>Aug-2025</v>
      </c>
      <c r="D69" t="s">
        <v>298</v>
      </c>
      <c r="E69" t="str">
        <f>VLOOKUP(D69,Customers!A:H,7,0)</f>
        <v>Salaried</v>
      </c>
      <c r="F69" t="s">
        <v>299</v>
      </c>
      <c r="G69" t="s">
        <v>95</v>
      </c>
      <c r="H69" t="str">
        <f>IFERROR(VLOOKUP(Transactions!G69,Merchants!A:B,2,FALSE),"Not Found")</f>
        <v>Quick Pay</v>
      </c>
      <c r="I69" s="9">
        <v>44482.59</v>
      </c>
      <c r="J69" s="3">
        <v>222.41</v>
      </c>
      <c r="K69" t="s">
        <v>58</v>
      </c>
      <c r="L69" t="s">
        <v>80</v>
      </c>
      <c r="M69" t="s">
        <v>60</v>
      </c>
      <c r="N69" t="s">
        <v>61</v>
      </c>
      <c r="O69" t="s">
        <v>62</v>
      </c>
      <c r="P69" t="str">
        <f t="shared" si="3"/>
        <v>High Value</v>
      </c>
      <c r="Q69" t="str">
        <f>VLOOKUP(G69,Merchants!A:C,3,TRUE)</f>
        <v>Healthcare</v>
      </c>
    </row>
    <row r="70" spans="1:17" x14ac:dyDescent="0.3">
      <c r="A70" t="s">
        <v>300</v>
      </c>
      <c r="B70" s="2">
        <v>46194.862696759257</v>
      </c>
      <c r="C70" s="2" t="str">
        <f t="shared" si="2"/>
        <v>Jun-2026</v>
      </c>
      <c r="D70" t="s">
        <v>298</v>
      </c>
      <c r="E70" t="str">
        <f>VLOOKUP(D70,Customers!A:H,7,0)</f>
        <v>Salaried</v>
      </c>
      <c r="F70" t="s">
        <v>301</v>
      </c>
      <c r="G70" t="s">
        <v>175</v>
      </c>
      <c r="H70" t="str">
        <f>IFERROR(VLOOKUP(Transactions!G70,Merchants!A:B,2,FALSE),"Not Found")</f>
        <v>Fresh Mart</v>
      </c>
      <c r="I70" s="9">
        <v>1833.99</v>
      </c>
      <c r="J70" s="3">
        <v>5.5</v>
      </c>
      <c r="K70" t="s">
        <v>96</v>
      </c>
      <c r="L70" t="s">
        <v>59</v>
      </c>
      <c r="M70" t="s">
        <v>86</v>
      </c>
      <c r="N70" t="s">
        <v>61</v>
      </c>
      <c r="O70" t="s">
        <v>62</v>
      </c>
      <c r="P70" t="str">
        <f t="shared" si="3"/>
        <v>Standard</v>
      </c>
      <c r="Q70" t="str">
        <f>VLOOKUP(G70,Merchants!A:C,3,TRUE)</f>
        <v>Electronics</v>
      </c>
    </row>
    <row r="71" spans="1:17" x14ac:dyDescent="0.3">
      <c r="A71" t="s">
        <v>302</v>
      </c>
      <c r="B71" s="2">
        <v>45938.558796296304</v>
      </c>
      <c r="C71" s="2" t="str">
        <f t="shared" si="2"/>
        <v>Oct-2025</v>
      </c>
      <c r="D71" t="s">
        <v>303</v>
      </c>
      <c r="E71" t="str">
        <f>VLOOKUP(D71,Customers!A:H,7,0)</f>
        <v>Self-employed</v>
      </c>
      <c r="F71" t="s">
        <v>304</v>
      </c>
      <c r="G71" t="s">
        <v>192</v>
      </c>
      <c r="H71" t="str">
        <f>IFERROR(VLOOKUP(Transactions!G71,Merchants!A:B,2,FALSE),"Not Found")</f>
        <v>Blue Foods</v>
      </c>
      <c r="I71" s="9">
        <v>49428.03</v>
      </c>
      <c r="J71" s="3">
        <v>98.86</v>
      </c>
      <c r="K71" t="s">
        <v>72</v>
      </c>
      <c r="L71" t="s">
        <v>59</v>
      </c>
      <c r="M71" t="s">
        <v>74</v>
      </c>
      <c r="N71" t="s">
        <v>61</v>
      </c>
      <c r="O71" t="s">
        <v>62</v>
      </c>
      <c r="P71" t="str">
        <f t="shared" si="3"/>
        <v>High Value</v>
      </c>
      <c r="Q71" t="str">
        <f>VLOOKUP(G71,Merchants!A:C,3,TRUE)</f>
        <v>Travel</v>
      </c>
    </row>
    <row r="72" spans="1:17" x14ac:dyDescent="0.3">
      <c r="A72" t="s">
        <v>305</v>
      </c>
      <c r="B72" s="2">
        <v>46143.8903125</v>
      </c>
      <c r="C72" s="2" t="str">
        <f t="shared" si="2"/>
        <v>May-2026</v>
      </c>
      <c r="D72" t="s">
        <v>119</v>
      </c>
      <c r="E72" t="str">
        <f>VLOOKUP(D72,Customers!A:H,7,0)</f>
        <v>Salaried</v>
      </c>
      <c r="F72" t="s">
        <v>174</v>
      </c>
      <c r="G72" t="s">
        <v>132</v>
      </c>
      <c r="H72" t="str">
        <f>IFERROR(VLOOKUP(Transactions!G72,Merchants!A:B,2,FALSE),"Not Found")</f>
        <v>Metro Retail</v>
      </c>
      <c r="I72" s="9">
        <v>33124.89</v>
      </c>
      <c r="J72" s="3">
        <v>165.62</v>
      </c>
      <c r="K72" t="s">
        <v>58</v>
      </c>
      <c r="L72" t="s">
        <v>59</v>
      </c>
      <c r="M72" t="s">
        <v>74</v>
      </c>
      <c r="N72" t="s">
        <v>67</v>
      </c>
      <c r="O72" t="s">
        <v>62</v>
      </c>
      <c r="P72" t="str">
        <f t="shared" si="3"/>
        <v>High Value</v>
      </c>
      <c r="Q72" t="str">
        <f>VLOOKUP(G72,Merchants!A:C,3,TRUE)</f>
        <v>Entertainment</v>
      </c>
    </row>
    <row r="73" spans="1:17" x14ac:dyDescent="0.3">
      <c r="A73" t="s">
        <v>306</v>
      </c>
      <c r="B73" s="2">
        <v>46243.325127314813</v>
      </c>
      <c r="C73" s="2" t="str">
        <f t="shared" si="2"/>
        <v>Aug-2026</v>
      </c>
      <c r="D73" t="s">
        <v>307</v>
      </c>
      <c r="E73" t="str">
        <f>VLOOKUP(D73,Customers!A:H,7,0)</f>
        <v>Salaried</v>
      </c>
      <c r="F73" t="s">
        <v>253</v>
      </c>
      <c r="G73" t="s">
        <v>66</v>
      </c>
      <c r="H73" t="str">
        <f>IFERROR(VLOOKUP(Transactions!G73,Merchants!A:B,2,FALSE),"Not Found")</f>
        <v>Prime Digital</v>
      </c>
      <c r="I73" s="9">
        <v>51440.959999999999</v>
      </c>
      <c r="J73" s="3">
        <v>154.32</v>
      </c>
      <c r="K73" t="s">
        <v>133</v>
      </c>
      <c r="L73" t="s">
        <v>80</v>
      </c>
      <c r="M73" t="s">
        <v>86</v>
      </c>
      <c r="N73" t="s">
        <v>67</v>
      </c>
      <c r="O73" t="s">
        <v>75</v>
      </c>
      <c r="P73" t="str">
        <f t="shared" si="3"/>
        <v>High Value</v>
      </c>
      <c r="Q73" t="str">
        <f>VLOOKUP(G73,Merchants!A:C,3,TRUE)</f>
        <v>Fuel</v>
      </c>
    </row>
    <row r="74" spans="1:17" x14ac:dyDescent="0.3">
      <c r="A74" t="s">
        <v>308</v>
      </c>
      <c r="B74" s="2">
        <v>45793.982083333343</v>
      </c>
      <c r="C74" s="2" t="str">
        <f t="shared" si="2"/>
        <v>May-2025</v>
      </c>
      <c r="D74" t="s">
        <v>309</v>
      </c>
      <c r="E74" t="str">
        <f>VLOOKUP(D74,Customers!A:H,7,0)</f>
        <v>Self-employed</v>
      </c>
      <c r="F74" t="s">
        <v>310</v>
      </c>
      <c r="G74" t="s">
        <v>263</v>
      </c>
      <c r="H74" t="str">
        <f>IFERROR(VLOOKUP(Transactions!G74,Merchants!A:B,2,FALSE),"Not Found")</f>
        <v>Urban Retail</v>
      </c>
      <c r="I74" s="9">
        <v>10474.719999999999</v>
      </c>
      <c r="J74" s="3">
        <v>31.42</v>
      </c>
      <c r="K74" t="s">
        <v>72</v>
      </c>
      <c r="L74" t="s">
        <v>73</v>
      </c>
      <c r="M74" t="s">
        <v>74</v>
      </c>
      <c r="N74" t="s">
        <v>61</v>
      </c>
      <c r="O74" t="s">
        <v>81</v>
      </c>
      <c r="P74" t="str">
        <f t="shared" si="3"/>
        <v>High Value</v>
      </c>
      <c r="Q74" t="str">
        <f>VLOOKUP(G74,Merchants!A:C,3,TRUE)</f>
        <v>Grocery</v>
      </c>
    </row>
    <row r="75" spans="1:17" x14ac:dyDescent="0.3">
      <c r="A75" t="s">
        <v>311</v>
      </c>
      <c r="B75" s="2">
        <v>46128.382280092592</v>
      </c>
      <c r="C75" s="2" t="str">
        <f t="shared" si="2"/>
        <v>Apr-2026</v>
      </c>
      <c r="D75" t="s">
        <v>217</v>
      </c>
      <c r="E75" t="str">
        <f>VLOOKUP(D75,Customers!A:H,7,0)</f>
        <v>Self-employed</v>
      </c>
      <c r="F75" t="s">
        <v>312</v>
      </c>
      <c r="G75" t="s">
        <v>229</v>
      </c>
      <c r="H75" t="str">
        <f>IFERROR(VLOOKUP(Transactions!G75,Merchants!A:B,2,FALSE),"Not Found")</f>
        <v>Urban Services</v>
      </c>
      <c r="I75" s="9">
        <v>13170.72</v>
      </c>
      <c r="J75" s="3">
        <v>131.71</v>
      </c>
      <c r="K75" t="s">
        <v>133</v>
      </c>
      <c r="L75" t="s">
        <v>59</v>
      </c>
      <c r="M75" t="s">
        <v>60</v>
      </c>
      <c r="N75" t="s">
        <v>61</v>
      </c>
      <c r="O75" t="s">
        <v>81</v>
      </c>
      <c r="P75" t="str">
        <f t="shared" si="3"/>
        <v>High Value</v>
      </c>
      <c r="Q75" t="str">
        <f>VLOOKUP(G75,Merchants!A:C,3,TRUE)</f>
        <v>Fashion</v>
      </c>
    </row>
    <row r="76" spans="1:17" x14ac:dyDescent="0.3">
      <c r="A76" t="s">
        <v>313</v>
      </c>
      <c r="B76" s="2">
        <v>45768.730810185189</v>
      </c>
      <c r="C76" s="2" t="str">
        <f t="shared" si="2"/>
        <v>Apr-2025</v>
      </c>
      <c r="D76" t="s">
        <v>314</v>
      </c>
      <c r="E76" t="str">
        <f>VLOOKUP(D76,Customers!A:H,7,0)</f>
        <v>Business Owner</v>
      </c>
      <c r="F76" t="s">
        <v>315</v>
      </c>
      <c r="G76" t="s">
        <v>156</v>
      </c>
      <c r="H76" t="str">
        <f>IFERROR(VLOOKUP(Transactions!G76,Merchants!A:B,2,FALSE),"Not Found")</f>
        <v>Blue Digital</v>
      </c>
      <c r="I76" s="9">
        <v>3923.84</v>
      </c>
      <c r="J76" s="3">
        <v>19.62</v>
      </c>
      <c r="K76" t="s">
        <v>72</v>
      </c>
      <c r="L76" t="s">
        <v>157</v>
      </c>
      <c r="M76" t="s">
        <v>111</v>
      </c>
      <c r="N76" t="s">
        <v>67</v>
      </c>
      <c r="O76" t="s">
        <v>62</v>
      </c>
      <c r="P76" t="str">
        <f t="shared" si="3"/>
        <v>High Value</v>
      </c>
      <c r="Q76" t="str">
        <f>VLOOKUP(G76,Merchants!A:C,3,TRUE)</f>
        <v>Electronics</v>
      </c>
    </row>
    <row r="77" spans="1:17" x14ac:dyDescent="0.3">
      <c r="A77" t="s">
        <v>316</v>
      </c>
      <c r="B77" s="2">
        <v>45716.910266203697</v>
      </c>
      <c r="C77" s="2" t="str">
        <f t="shared" si="2"/>
        <v>Feb-2025</v>
      </c>
      <c r="D77" t="s">
        <v>317</v>
      </c>
      <c r="E77" t="str">
        <f>VLOOKUP(D77,Customers!A:H,7,0)</f>
        <v>Salaried</v>
      </c>
      <c r="F77" t="s">
        <v>99</v>
      </c>
      <c r="G77" t="s">
        <v>318</v>
      </c>
      <c r="H77" t="str">
        <f>IFERROR(VLOOKUP(Transactions!G77,Merchants!A:B,2,FALSE),"Not Found")</f>
        <v>Urban Digital</v>
      </c>
      <c r="I77" s="9">
        <v>24305.5</v>
      </c>
      <c r="J77" s="3">
        <v>72.92</v>
      </c>
      <c r="K77" t="s">
        <v>72</v>
      </c>
      <c r="L77" t="s">
        <v>59</v>
      </c>
      <c r="M77" t="s">
        <v>60</v>
      </c>
      <c r="N77" t="s">
        <v>61</v>
      </c>
      <c r="O77" t="s">
        <v>75</v>
      </c>
      <c r="P77" t="str">
        <f t="shared" si="3"/>
        <v>High Value</v>
      </c>
      <c r="Q77" t="str">
        <f>VLOOKUP(G77,Merchants!A:C,3,TRUE)</f>
        <v>Utilities</v>
      </c>
    </row>
    <row r="78" spans="1:17" x14ac:dyDescent="0.3">
      <c r="A78" t="s">
        <v>319</v>
      </c>
      <c r="B78" s="2">
        <v>46055.053576388891</v>
      </c>
      <c r="C78" s="2" t="str">
        <f t="shared" si="2"/>
        <v>Feb-2026</v>
      </c>
      <c r="D78" t="s">
        <v>320</v>
      </c>
      <c r="E78" t="str">
        <f>VLOOKUP(D78,Customers!A:H,7,0)</f>
        <v>Student</v>
      </c>
      <c r="F78" t="s">
        <v>321</v>
      </c>
      <c r="G78" t="s">
        <v>322</v>
      </c>
      <c r="H78" t="str">
        <f>IFERROR(VLOOKUP(Transactions!G78,Merchants!A:B,2,FALSE),"Not Found")</f>
        <v>Metro Pay</v>
      </c>
      <c r="I78" s="9">
        <v>35023.120000000003</v>
      </c>
      <c r="J78" s="3">
        <v>105.07</v>
      </c>
      <c r="K78" t="s">
        <v>133</v>
      </c>
      <c r="L78" t="s">
        <v>157</v>
      </c>
      <c r="M78" t="s">
        <v>74</v>
      </c>
      <c r="N78" t="s">
        <v>61</v>
      </c>
      <c r="O78" t="s">
        <v>81</v>
      </c>
      <c r="P78" t="str">
        <f t="shared" si="3"/>
        <v>High Value</v>
      </c>
      <c r="Q78" t="str">
        <f>VLOOKUP(G78,Merchants!A:C,3,TRUE)</f>
        <v>Grocery</v>
      </c>
    </row>
    <row r="79" spans="1:17" x14ac:dyDescent="0.3">
      <c r="A79" t="s">
        <v>323</v>
      </c>
      <c r="B79" s="2">
        <v>45832.997615740736</v>
      </c>
      <c r="C79" s="2" t="str">
        <f t="shared" si="2"/>
        <v>Jun-2025</v>
      </c>
      <c r="D79" t="s">
        <v>324</v>
      </c>
      <c r="E79" t="str">
        <f>VLOOKUP(D79,Customers!A:H,7,0)</f>
        <v>Business Owner</v>
      </c>
      <c r="F79" t="s">
        <v>325</v>
      </c>
      <c r="G79" t="s">
        <v>189</v>
      </c>
      <c r="H79" t="str">
        <f>IFERROR(VLOOKUP(Transactions!G79,Merchants!A:B,2,FALSE),"Not Found")</f>
        <v>Quick Services</v>
      </c>
      <c r="I79" s="9">
        <v>52602.04</v>
      </c>
      <c r="J79" s="3">
        <v>105.2</v>
      </c>
      <c r="K79" t="s">
        <v>133</v>
      </c>
      <c r="L79" t="s">
        <v>59</v>
      </c>
      <c r="M79" t="s">
        <v>111</v>
      </c>
      <c r="N79" t="s">
        <v>61</v>
      </c>
      <c r="O79" t="s">
        <v>91</v>
      </c>
      <c r="P79" t="str">
        <f t="shared" si="3"/>
        <v>High Value</v>
      </c>
      <c r="Q79" t="str">
        <f>VLOOKUP(G79,Merchants!A:C,3,TRUE)</f>
        <v>Food &amp; Dining</v>
      </c>
    </row>
    <row r="80" spans="1:17" x14ac:dyDescent="0.3">
      <c r="A80" t="s">
        <v>326</v>
      </c>
      <c r="B80" s="2">
        <v>45885.538969907408</v>
      </c>
      <c r="C80" s="2" t="str">
        <f t="shared" si="2"/>
        <v>Aug-2025</v>
      </c>
      <c r="D80" t="s">
        <v>327</v>
      </c>
      <c r="E80" t="str">
        <f>VLOOKUP(D80,Customers!A:H,7,0)</f>
        <v>Salaried</v>
      </c>
      <c r="F80" t="s">
        <v>145</v>
      </c>
      <c r="G80" t="s">
        <v>189</v>
      </c>
      <c r="H80" t="str">
        <f>IFERROR(VLOOKUP(Transactions!G80,Merchants!A:B,2,FALSE),"Not Found")</f>
        <v>Quick Services</v>
      </c>
      <c r="I80" s="9">
        <v>13477.34</v>
      </c>
      <c r="J80" s="3">
        <v>134.77000000000001</v>
      </c>
      <c r="K80" t="s">
        <v>133</v>
      </c>
      <c r="L80" t="s">
        <v>73</v>
      </c>
      <c r="M80" t="s">
        <v>60</v>
      </c>
      <c r="N80" t="s">
        <v>61</v>
      </c>
      <c r="O80" t="s">
        <v>91</v>
      </c>
      <c r="P80" t="str">
        <f t="shared" si="3"/>
        <v>High Value</v>
      </c>
      <c r="Q80" t="str">
        <f>VLOOKUP(G80,Merchants!A:C,3,TRUE)</f>
        <v>Food &amp; Dining</v>
      </c>
    </row>
    <row r="81" spans="1:17" x14ac:dyDescent="0.3">
      <c r="A81" t="s">
        <v>328</v>
      </c>
      <c r="B81" s="2">
        <v>46139.081423611111</v>
      </c>
      <c r="C81" s="2" t="str">
        <f t="shared" si="2"/>
        <v>Apr-2026</v>
      </c>
      <c r="D81" t="s">
        <v>324</v>
      </c>
      <c r="E81" t="str">
        <f>VLOOKUP(D81,Customers!A:H,7,0)</f>
        <v>Business Owner</v>
      </c>
      <c r="F81" t="s">
        <v>329</v>
      </c>
      <c r="G81" t="s">
        <v>225</v>
      </c>
      <c r="H81" t="str">
        <f>IFERROR(VLOOKUP(Transactions!G81,Merchants!A:B,2,FALSE),"Not Found")</f>
        <v>Quick Retail</v>
      </c>
      <c r="I81" s="9">
        <v>51996.959999999999</v>
      </c>
      <c r="J81" s="3">
        <v>103.99</v>
      </c>
      <c r="K81" t="s">
        <v>133</v>
      </c>
      <c r="L81" t="s">
        <v>59</v>
      </c>
      <c r="M81" t="s">
        <v>86</v>
      </c>
      <c r="N81" t="s">
        <v>61</v>
      </c>
      <c r="O81" t="s">
        <v>81</v>
      </c>
      <c r="P81" t="str">
        <f t="shared" si="3"/>
        <v>High Value</v>
      </c>
      <c r="Q81" t="str">
        <f>VLOOKUP(G81,Merchants!A:C,3,TRUE)</f>
        <v>Grocery</v>
      </c>
    </row>
    <row r="82" spans="1:17" x14ac:dyDescent="0.3">
      <c r="A82" t="s">
        <v>330</v>
      </c>
      <c r="B82" s="2">
        <v>46081.082013888888</v>
      </c>
      <c r="C82" s="2" t="str">
        <f t="shared" si="2"/>
        <v>Feb-2026</v>
      </c>
      <c r="D82" t="s">
        <v>320</v>
      </c>
      <c r="E82" t="str">
        <f>VLOOKUP(D82,Customers!A:H,7,0)</f>
        <v>Student</v>
      </c>
      <c r="F82" t="s">
        <v>331</v>
      </c>
      <c r="G82" t="s">
        <v>71</v>
      </c>
      <c r="H82" t="str">
        <f>IFERROR(VLOOKUP(Transactions!G82,Merchants!A:B,2,FALSE),"Not Found")</f>
        <v>Metro Pay</v>
      </c>
      <c r="I82" s="9">
        <v>52263.86</v>
      </c>
      <c r="J82" s="3">
        <v>156.79</v>
      </c>
      <c r="K82" t="s">
        <v>96</v>
      </c>
      <c r="L82" t="s">
        <v>59</v>
      </c>
      <c r="M82" t="s">
        <v>111</v>
      </c>
      <c r="N82" t="s">
        <v>61</v>
      </c>
      <c r="O82" t="s">
        <v>62</v>
      </c>
      <c r="P82" t="str">
        <f t="shared" si="3"/>
        <v>High Value</v>
      </c>
      <c r="Q82" t="str">
        <f>VLOOKUP(G82,Merchants!A:C,3,TRUE)</f>
        <v>Fashion</v>
      </c>
    </row>
    <row r="83" spans="1:17" x14ac:dyDescent="0.3">
      <c r="A83" t="s">
        <v>332</v>
      </c>
      <c r="B83" s="2">
        <v>45740.739675925928</v>
      </c>
      <c r="C83" s="2" t="str">
        <f t="shared" si="2"/>
        <v>Mar-2025</v>
      </c>
      <c r="D83" t="s">
        <v>333</v>
      </c>
      <c r="E83" t="str">
        <f>VLOOKUP(D83,Customers!A:H,7,0)</f>
        <v>Student</v>
      </c>
      <c r="F83" t="s">
        <v>334</v>
      </c>
      <c r="G83" t="s">
        <v>229</v>
      </c>
      <c r="H83" t="str">
        <f>IFERROR(VLOOKUP(Transactions!G83,Merchants!A:B,2,FALSE),"Not Found")</f>
        <v>Urban Services</v>
      </c>
      <c r="I83" s="9">
        <v>20024.5</v>
      </c>
      <c r="J83" s="3">
        <v>100.12</v>
      </c>
      <c r="K83" t="s">
        <v>96</v>
      </c>
      <c r="L83" t="s">
        <v>157</v>
      </c>
      <c r="M83" t="s">
        <v>60</v>
      </c>
      <c r="N83" t="s">
        <v>67</v>
      </c>
      <c r="O83" t="s">
        <v>62</v>
      </c>
      <c r="P83" t="str">
        <f t="shared" si="3"/>
        <v>High Value</v>
      </c>
      <c r="Q83" t="str">
        <f>VLOOKUP(G83,Merchants!A:C,3,TRUE)</f>
        <v>Fashion</v>
      </c>
    </row>
    <row r="84" spans="1:17" x14ac:dyDescent="0.3">
      <c r="A84" t="s">
        <v>335</v>
      </c>
      <c r="B84" s="2">
        <v>46248.240347222221</v>
      </c>
      <c r="C84" s="2" t="str">
        <f t="shared" si="2"/>
        <v>Aug-2026</v>
      </c>
      <c r="D84" t="s">
        <v>196</v>
      </c>
      <c r="E84" t="str">
        <f>VLOOKUP(D84,Customers!A:H,7,0)</f>
        <v>Student</v>
      </c>
      <c r="F84" t="s">
        <v>336</v>
      </c>
      <c r="G84" t="s">
        <v>117</v>
      </c>
      <c r="H84" t="str">
        <f>IFERROR(VLOOKUP(Transactions!G84,Merchants!A:B,2,FALSE),"Not Found")</f>
        <v>Prime Pay</v>
      </c>
      <c r="I84" s="9">
        <v>29425.67</v>
      </c>
      <c r="J84" s="3">
        <v>58.85</v>
      </c>
      <c r="K84" t="s">
        <v>96</v>
      </c>
      <c r="L84" t="s">
        <v>80</v>
      </c>
      <c r="M84" t="s">
        <v>74</v>
      </c>
      <c r="N84" t="s">
        <v>61</v>
      </c>
      <c r="O84" t="s">
        <v>75</v>
      </c>
      <c r="P84" t="str">
        <f t="shared" si="3"/>
        <v>High Value</v>
      </c>
      <c r="Q84" t="str">
        <f>VLOOKUP(G84,Merchants!A:C,3,TRUE)</f>
        <v>Travel</v>
      </c>
    </row>
    <row r="85" spans="1:17" x14ac:dyDescent="0.3">
      <c r="A85" t="s">
        <v>337</v>
      </c>
      <c r="B85" s="2">
        <v>46050.007071759261</v>
      </c>
      <c r="C85" s="2" t="str">
        <f t="shared" si="2"/>
        <v>Jan-2026</v>
      </c>
      <c r="D85" t="s">
        <v>338</v>
      </c>
      <c r="E85" t="str">
        <f>VLOOKUP(D85,Customers!A:H,7,0)</f>
        <v>Student</v>
      </c>
      <c r="F85" t="s">
        <v>339</v>
      </c>
      <c r="G85" t="s">
        <v>182</v>
      </c>
      <c r="H85" t="str">
        <f>IFERROR(VLOOKUP(Transactions!G85,Merchants!A:B,2,FALSE),"Not Found")</f>
        <v>Fresh Hub</v>
      </c>
      <c r="I85" s="9">
        <v>2359.75</v>
      </c>
      <c r="J85" s="3">
        <v>11.8</v>
      </c>
      <c r="K85" t="s">
        <v>133</v>
      </c>
      <c r="L85" t="s">
        <v>59</v>
      </c>
      <c r="M85" t="s">
        <v>111</v>
      </c>
      <c r="N85" t="s">
        <v>67</v>
      </c>
      <c r="O85" t="s">
        <v>91</v>
      </c>
      <c r="P85" t="str">
        <f t="shared" si="3"/>
        <v>Standard</v>
      </c>
      <c r="Q85" t="str">
        <f>VLOOKUP(G85,Merchants!A:C,3,TRUE)</f>
        <v>Healthcare</v>
      </c>
    </row>
    <row r="86" spans="1:17" x14ac:dyDescent="0.3">
      <c r="A86" t="s">
        <v>340</v>
      </c>
      <c r="B86" s="2">
        <v>45912.343252314808</v>
      </c>
      <c r="C86" s="2" t="str">
        <f t="shared" si="2"/>
        <v>Sep-2025</v>
      </c>
      <c r="D86" t="s">
        <v>109</v>
      </c>
      <c r="E86" t="str">
        <f>VLOOKUP(D86,Customers!A:H,7,0)</f>
        <v>Salaried</v>
      </c>
      <c r="F86" t="s">
        <v>123</v>
      </c>
      <c r="G86" t="s">
        <v>150</v>
      </c>
      <c r="H86" t="str">
        <f>IFERROR(VLOOKUP(Transactions!G86,Merchants!A:B,2,FALSE),"Not Found")</f>
        <v>Nova Services</v>
      </c>
      <c r="I86" s="9">
        <v>41642.129999999997</v>
      </c>
      <c r="J86" s="3">
        <v>124.93</v>
      </c>
      <c r="K86" t="s">
        <v>133</v>
      </c>
      <c r="L86" t="s">
        <v>59</v>
      </c>
      <c r="M86" t="s">
        <v>60</v>
      </c>
      <c r="N86" t="s">
        <v>67</v>
      </c>
      <c r="O86" t="s">
        <v>91</v>
      </c>
      <c r="P86" t="str">
        <f t="shared" si="3"/>
        <v>High Value</v>
      </c>
      <c r="Q86" t="str">
        <f>VLOOKUP(G86,Merchants!A:C,3,TRUE)</f>
        <v>Electronics</v>
      </c>
    </row>
    <row r="87" spans="1:17" x14ac:dyDescent="0.3">
      <c r="A87" t="s">
        <v>341</v>
      </c>
      <c r="B87" s="2">
        <v>45704.452372685177</v>
      </c>
      <c r="C87" s="2" t="str">
        <f t="shared" si="2"/>
        <v>Feb-2025</v>
      </c>
      <c r="D87" t="s">
        <v>235</v>
      </c>
      <c r="E87" t="str">
        <f>VLOOKUP(D87,Customers!A:H,7,0)</f>
        <v>Student</v>
      </c>
      <c r="F87" t="s">
        <v>329</v>
      </c>
      <c r="G87" t="s">
        <v>128</v>
      </c>
      <c r="H87" t="str">
        <f>IFERROR(VLOOKUP(Transactions!G87,Merchants!A:B,2,FALSE),"Not Found")</f>
        <v>Blue Foods</v>
      </c>
      <c r="I87" s="9">
        <v>56912.959999999999</v>
      </c>
      <c r="J87" s="3">
        <v>284.56</v>
      </c>
      <c r="K87" t="s">
        <v>90</v>
      </c>
      <c r="L87" t="s">
        <v>59</v>
      </c>
      <c r="M87" t="s">
        <v>60</v>
      </c>
      <c r="N87" t="s">
        <v>61</v>
      </c>
      <c r="O87" t="s">
        <v>81</v>
      </c>
      <c r="P87" t="str">
        <f t="shared" si="3"/>
        <v>High Value</v>
      </c>
      <c r="Q87" t="str">
        <f>VLOOKUP(G87,Merchants!A:C,3,TRUE)</f>
        <v>Food &amp; Dining</v>
      </c>
    </row>
    <row r="88" spans="1:17" x14ac:dyDescent="0.3">
      <c r="A88" t="s">
        <v>342</v>
      </c>
      <c r="B88" s="2">
        <v>45850.250127314823</v>
      </c>
      <c r="C88" s="2" t="str">
        <f t="shared" si="2"/>
        <v>Jul-2025</v>
      </c>
      <c r="D88" t="s">
        <v>343</v>
      </c>
      <c r="E88" t="str">
        <f>VLOOKUP(D88,Customers!A:H,7,0)</f>
        <v>Student</v>
      </c>
      <c r="F88" t="s">
        <v>344</v>
      </c>
      <c r="G88" t="s">
        <v>322</v>
      </c>
      <c r="H88" t="str">
        <f>IFERROR(VLOOKUP(Transactions!G88,Merchants!A:B,2,FALSE),"Not Found")</f>
        <v>Metro Pay</v>
      </c>
      <c r="I88" s="9">
        <v>56890.25</v>
      </c>
      <c r="J88" s="3">
        <v>568.9</v>
      </c>
      <c r="K88" t="s">
        <v>90</v>
      </c>
      <c r="L88" t="s">
        <v>157</v>
      </c>
      <c r="M88" t="s">
        <v>111</v>
      </c>
      <c r="N88" t="s">
        <v>67</v>
      </c>
      <c r="O88" t="s">
        <v>62</v>
      </c>
      <c r="P88" t="str">
        <f t="shared" si="3"/>
        <v>High Value</v>
      </c>
      <c r="Q88" t="str">
        <f>VLOOKUP(G88,Merchants!A:C,3,TRUE)</f>
        <v>Grocery</v>
      </c>
    </row>
    <row r="89" spans="1:17" x14ac:dyDescent="0.3">
      <c r="A89" t="s">
        <v>345</v>
      </c>
      <c r="B89" s="2">
        <v>45784.556122685193</v>
      </c>
      <c r="C89" s="2" t="str">
        <f t="shared" si="2"/>
        <v>May-2025</v>
      </c>
      <c r="D89" t="s">
        <v>242</v>
      </c>
      <c r="E89" t="str">
        <f>VLOOKUP(D89,Customers!A:H,7,0)</f>
        <v>Salaried</v>
      </c>
      <c r="F89" t="s">
        <v>346</v>
      </c>
      <c r="G89" t="s">
        <v>347</v>
      </c>
      <c r="H89" t="str">
        <f>IFERROR(VLOOKUP(Transactions!G89,Merchants!A:B,2,FALSE),"Not Found")</f>
        <v>Nova Hub</v>
      </c>
      <c r="I89" s="9">
        <v>42695.49</v>
      </c>
      <c r="J89" s="3">
        <v>426.95</v>
      </c>
      <c r="K89" t="s">
        <v>133</v>
      </c>
      <c r="L89" t="s">
        <v>73</v>
      </c>
      <c r="M89" t="s">
        <v>86</v>
      </c>
      <c r="N89" t="s">
        <v>67</v>
      </c>
      <c r="O89" t="s">
        <v>91</v>
      </c>
      <c r="P89" t="str">
        <f t="shared" si="3"/>
        <v>High Value</v>
      </c>
      <c r="Q89" t="str">
        <f>VLOOKUP(G89,Merchants!A:C,3,TRUE)</f>
        <v>Fuel</v>
      </c>
    </row>
    <row r="90" spans="1:17" x14ac:dyDescent="0.3">
      <c r="A90" t="s">
        <v>348</v>
      </c>
      <c r="B90" s="2">
        <v>45678.073171296302</v>
      </c>
      <c r="C90" s="2" t="str">
        <f t="shared" si="2"/>
        <v>Jan-2025</v>
      </c>
      <c r="D90" t="s">
        <v>93</v>
      </c>
      <c r="E90" t="str">
        <f>VLOOKUP(D90,Customers!A:H,7,0)</f>
        <v>Student</v>
      </c>
      <c r="F90" t="s">
        <v>89</v>
      </c>
      <c r="G90" t="s">
        <v>189</v>
      </c>
      <c r="H90" t="str">
        <f>IFERROR(VLOOKUP(Transactions!G90,Merchants!A:B,2,FALSE),"Not Found")</f>
        <v>Quick Services</v>
      </c>
      <c r="I90" s="9">
        <v>41416.01</v>
      </c>
      <c r="J90" s="3">
        <v>414.16</v>
      </c>
      <c r="K90" t="s">
        <v>96</v>
      </c>
      <c r="L90" t="s">
        <v>59</v>
      </c>
      <c r="M90" t="s">
        <v>111</v>
      </c>
      <c r="N90" t="s">
        <v>67</v>
      </c>
      <c r="O90" t="s">
        <v>91</v>
      </c>
      <c r="P90" t="str">
        <f t="shared" si="3"/>
        <v>High Value</v>
      </c>
      <c r="Q90" t="str">
        <f>VLOOKUP(G90,Merchants!A:C,3,TRUE)</f>
        <v>Food &amp; Dining</v>
      </c>
    </row>
    <row r="91" spans="1:17" x14ac:dyDescent="0.3">
      <c r="A91" t="s">
        <v>349</v>
      </c>
      <c r="B91" s="2">
        <v>45966.638472222221</v>
      </c>
      <c r="C91" s="2" t="str">
        <f t="shared" si="2"/>
        <v>Nov-2025</v>
      </c>
      <c r="D91" t="s">
        <v>350</v>
      </c>
      <c r="E91" t="str">
        <f>VLOOKUP(D91,Customers!A:H,7,0)</f>
        <v>Business Owner</v>
      </c>
      <c r="F91" t="s">
        <v>310</v>
      </c>
      <c r="G91" t="s">
        <v>107</v>
      </c>
      <c r="H91" t="str">
        <f>IFERROR(VLOOKUP(Transactions!G91,Merchants!A:B,2,FALSE),"Not Found")</f>
        <v>Blue Services</v>
      </c>
      <c r="I91" s="9">
        <v>39733.71</v>
      </c>
      <c r="J91" s="3">
        <v>198.67</v>
      </c>
      <c r="K91" t="s">
        <v>90</v>
      </c>
      <c r="L91" t="s">
        <v>80</v>
      </c>
      <c r="M91" t="s">
        <v>74</v>
      </c>
      <c r="N91" t="s">
        <v>67</v>
      </c>
      <c r="O91" t="s">
        <v>91</v>
      </c>
      <c r="P91" t="str">
        <f t="shared" si="3"/>
        <v>High Value</v>
      </c>
      <c r="Q91" t="str">
        <f>VLOOKUP(G91,Merchants!A:C,3,TRUE)</f>
        <v>Travel</v>
      </c>
    </row>
    <row r="92" spans="1:17" x14ac:dyDescent="0.3">
      <c r="A92" t="s">
        <v>351</v>
      </c>
      <c r="B92" s="2">
        <v>45947.172951388893</v>
      </c>
      <c r="C92" s="2" t="str">
        <f t="shared" si="2"/>
        <v>Oct-2025</v>
      </c>
      <c r="D92" t="s">
        <v>352</v>
      </c>
      <c r="E92" t="str">
        <f>VLOOKUP(D92,Customers!A:H,7,0)</f>
        <v>Self-employed</v>
      </c>
      <c r="F92" t="s">
        <v>181</v>
      </c>
      <c r="G92" t="s">
        <v>233</v>
      </c>
      <c r="H92" t="str">
        <f>IFERROR(VLOOKUP(Transactions!G92,Merchants!A:B,2,FALSE),"Not Found")</f>
        <v>Urban Retail</v>
      </c>
      <c r="I92" s="9">
        <v>47107.13</v>
      </c>
      <c r="J92" s="3">
        <v>141.32</v>
      </c>
      <c r="K92" t="s">
        <v>90</v>
      </c>
      <c r="L92" t="s">
        <v>59</v>
      </c>
      <c r="M92" t="s">
        <v>60</v>
      </c>
      <c r="N92" t="s">
        <v>61</v>
      </c>
      <c r="O92" t="s">
        <v>81</v>
      </c>
      <c r="P92" t="str">
        <f t="shared" si="3"/>
        <v>High Value</v>
      </c>
      <c r="Q92" t="str">
        <f>VLOOKUP(G92,Merchants!A:C,3,TRUE)</f>
        <v>Utilities</v>
      </c>
    </row>
    <row r="93" spans="1:17" x14ac:dyDescent="0.3">
      <c r="A93" t="s">
        <v>353</v>
      </c>
      <c r="B93" s="2">
        <v>45822.05976851852</v>
      </c>
      <c r="C93" s="2" t="str">
        <f t="shared" si="2"/>
        <v>Jun-2025</v>
      </c>
      <c r="D93" t="s">
        <v>327</v>
      </c>
      <c r="E93" t="str">
        <f>VLOOKUP(D93,Customers!A:H,7,0)</f>
        <v>Salaried</v>
      </c>
      <c r="F93" t="s">
        <v>354</v>
      </c>
      <c r="G93" t="s">
        <v>229</v>
      </c>
      <c r="H93" t="str">
        <f>IFERROR(VLOOKUP(Transactions!G93,Merchants!A:B,2,FALSE),"Not Found")</f>
        <v>Urban Services</v>
      </c>
      <c r="I93" s="9">
        <v>32933.51</v>
      </c>
      <c r="J93" s="3">
        <v>329.34</v>
      </c>
      <c r="K93" t="s">
        <v>58</v>
      </c>
      <c r="L93" t="s">
        <v>157</v>
      </c>
      <c r="M93" t="s">
        <v>86</v>
      </c>
      <c r="N93" t="s">
        <v>67</v>
      </c>
      <c r="O93" t="s">
        <v>75</v>
      </c>
      <c r="P93" t="str">
        <f t="shared" si="3"/>
        <v>High Value</v>
      </c>
      <c r="Q93" t="str">
        <f>VLOOKUP(G93,Merchants!A:C,3,TRUE)</f>
        <v>Fashion</v>
      </c>
    </row>
    <row r="94" spans="1:17" x14ac:dyDescent="0.3">
      <c r="A94" t="s">
        <v>355</v>
      </c>
      <c r="B94" s="2">
        <v>45810.136655092603</v>
      </c>
      <c r="C94" s="2" t="str">
        <f t="shared" si="2"/>
        <v>Jun-2025</v>
      </c>
      <c r="D94" t="s">
        <v>356</v>
      </c>
      <c r="E94" t="str">
        <f>VLOOKUP(D94,Customers!A:H,7,0)</f>
        <v>Self-employed</v>
      </c>
      <c r="F94" t="s">
        <v>357</v>
      </c>
      <c r="G94" t="s">
        <v>322</v>
      </c>
      <c r="H94" t="str">
        <f>IFERROR(VLOOKUP(Transactions!G94,Merchants!A:B,2,FALSE),"Not Found")</f>
        <v>Metro Pay</v>
      </c>
      <c r="I94" s="9">
        <v>46793.62</v>
      </c>
      <c r="J94" s="3">
        <v>93.59</v>
      </c>
      <c r="K94" t="s">
        <v>96</v>
      </c>
      <c r="L94" t="s">
        <v>59</v>
      </c>
      <c r="M94" t="s">
        <v>60</v>
      </c>
      <c r="N94" t="s">
        <v>61</v>
      </c>
      <c r="O94" t="s">
        <v>75</v>
      </c>
      <c r="P94" t="str">
        <f t="shared" si="3"/>
        <v>High Value</v>
      </c>
      <c r="Q94" t="str">
        <f>VLOOKUP(G94,Merchants!A:C,3,TRUE)</f>
        <v>Grocery</v>
      </c>
    </row>
    <row r="95" spans="1:17" x14ac:dyDescent="0.3">
      <c r="A95" t="s">
        <v>358</v>
      </c>
      <c r="B95" s="2">
        <v>45709.151412037027</v>
      </c>
      <c r="C95" s="2" t="str">
        <f t="shared" si="2"/>
        <v>Feb-2025</v>
      </c>
      <c r="D95" t="s">
        <v>359</v>
      </c>
      <c r="E95" t="str">
        <f>VLOOKUP(D95,Customers!A:H,7,0)</f>
        <v>Salaried</v>
      </c>
      <c r="F95" t="s">
        <v>360</v>
      </c>
      <c r="G95" t="s">
        <v>128</v>
      </c>
      <c r="H95" t="str">
        <f>IFERROR(VLOOKUP(Transactions!G95,Merchants!A:B,2,FALSE),"Not Found")</f>
        <v>Blue Foods</v>
      </c>
      <c r="I95" s="9">
        <v>48809.39</v>
      </c>
      <c r="J95" s="3">
        <v>244.05</v>
      </c>
      <c r="K95" t="s">
        <v>72</v>
      </c>
      <c r="L95" t="s">
        <v>73</v>
      </c>
      <c r="M95" t="s">
        <v>74</v>
      </c>
      <c r="N95" t="s">
        <v>67</v>
      </c>
      <c r="O95" t="s">
        <v>91</v>
      </c>
      <c r="P95" t="str">
        <f t="shared" si="3"/>
        <v>High Value</v>
      </c>
      <c r="Q95" t="str">
        <f>VLOOKUP(G95,Merchants!A:C,3,TRUE)</f>
        <v>Food &amp; Dining</v>
      </c>
    </row>
    <row r="96" spans="1:17" x14ac:dyDescent="0.3">
      <c r="A96" t="s">
        <v>361</v>
      </c>
      <c r="B96" s="2">
        <v>45704.014664351853</v>
      </c>
      <c r="C96" s="2" t="str">
        <f t="shared" si="2"/>
        <v>Feb-2025</v>
      </c>
      <c r="D96" t="s">
        <v>327</v>
      </c>
      <c r="E96" t="str">
        <f>VLOOKUP(D96,Customers!A:H,7,0)</f>
        <v>Salaried</v>
      </c>
      <c r="F96" t="s">
        <v>362</v>
      </c>
      <c r="G96" t="s">
        <v>250</v>
      </c>
      <c r="H96" t="str">
        <f>IFERROR(VLOOKUP(Transactions!G96,Merchants!A:B,2,FALSE),"Not Found")</f>
        <v>Fresh Hub</v>
      </c>
      <c r="I96" s="9">
        <v>51134.720000000001</v>
      </c>
      <c r="J96" s="3">
        <v>153.4</v>
      </c>
      <c r="K96" t="s">
        <v>133</v>
      </c>
      <c r="L96" t="s">
        <v>80</v>
      </c>
      <c r="M96" t="s">
        <v>60</v>
      </c>
      <c r="N96" t="s">
        <v>67</v>
      </c>
      <c r="O96" t="s">
        <v>81</v>
      </c>
      <c r="P96" t="str">
        <f t="shared" si="3"/>
        <v>High Value</v>
      </c>
      <c r="Q96" t="str">
        <f>VLOOKUP(G96,Merchants!A:C,3,TRUE)</f>
        <v>Healthcare</v>
      </c>
    </row>
    <row r="97" spans="1:17" x14ac:dyDescent="0.3">
      <c r="A97" t="s">
        <v>363</v>
      </c>
      <c r="B97" s="2">
        <v>46008.277418981481</v>
      </c>
      <c r="C97" s="2" t="str">
        <f t="shared" si="2"/>
        <v>Dec-2025</v>
      </c>
      <c r="D97" t="s">
        <v>364</v>
      </c>
      <c r="E97" t="str">
        <f>VLOOKUP(D97,Customers!A:H,7,0)</f>
        <v>Self-employed</v>
      </c>
      <c r="F97" t="s">
        <v>365</v>
      </c>
      <c r="G97" t="s">
        <v>366</v>
      </c>
      <c r="H97" t="str">
        <f>IFERROR(VLOOKUP(Transactions!G97,Merchants!A:B,2,FALSE),"Not Found")</f>
        <v>Smart Pay</v>
      </c>
      <c r="I97" s="9">
        <v>6918.54</v>
      </c>
      <c r="J97" s="3">
        <v>69.19</v>
      </c>
      <c r="K97" t="s">
        <v>96</v>
      </c>
      <c r="L97" t="s">
        <v>59</v>
      </c>
      <c r="M97" t="s">
        <v>74</v>
      </c>
      <c r="N97" t="s">
        <v>67</v>
      </c>
      <c r="O97" t="s">
        <v>91</v>
      </c>
      <c r="P97" t="str">
        <f t="shared" si="3"/>
        <v>High Value</v>
      </c>
      <c r="Q97" t="str">
        <f>VLOOKUP(G97,Merchants!A:C,3,TRUE)</f>
        <v>Fashion</v>
      </c>
    </row>
    <row r="98" spans="1:17" x14ac:dyDescent="0.3">
      <c r="A98" t="s">
        <v>367</v>
      </c>
      <c r="B98" s="2">
        <v>45793.088958333326</v>
      </c>
      <c r="C98" s="2" t="str">
        <f t="shared" si="2"/>
        <v>May-2025</v>
      </c>
      <c r="D98" t="s">
        <v>368</v>
      </c>
      <c r="E98" t="str">
        <f>VLOOKUP(D98,Customers!A:H,7,0)</f>
        <v>Student</v>
      </c>
      <c r="F98" t="s">
        <v>369</v>
      </c>
      <c r="G98" t="s">
        <v>168</v>
      </c>
      <c r="H98" t="str">
        <f>IFERROR(VLOOKUP(Transactions!G98,Merchants!A:B,2,FALSE),"Not Found")</f>
        <v>Quick Hub</v>
      </c>
      <c r="I98" s="9">
        <v>58895.99</v>
      </c>
      <c r="J98" s="3">
        <v>117.79</v>
      </c>
      <c r="K98" t="s">
        <v>96</v>
      </c>
      <c r="L98" t="s">
        <v>73</v>
      </c>
      <c r="M98" t="s">
        <v>74</v>
      </c>
      <c r="N98" t="s">
        <v>67</v>
      </c>
      <c r="O98" t="s">
        <v>75</v>
      </c>
      <c r="P98" t="str">
        <f t="shared" si="3"/>
        <v>High Value</v>
      </c>
      <c r="Q98" t="str">
        <f>VLOOKUP(G98,Merchants!A:C,3,TRUE)</f>
        <v>Utilities</v>
      </c>
    </row>
    <row r="99" spans="1:17" x14ac:dyDescent="0.3">
      <c r="A99" t="s">
        <v>370</v>
      </c>
      <c r="B99" s="2">
        <v>46025.927442129629</v>
      </c>
      <c r="C99" s="2" t="str">
        <f t="shared" si="2"/>
        <v>Jan-2026</v>
      </c>
      <c r="D99" t="s">
        <v>371</v>
      </c>
      <c r="E99" t="str">
        <f>VLOOKUP(D99,Customers!A:H,7,0)</f>
        <v>Student</v>
      </c>
      <c r="F99" t="s">
        <v>372</v>
      </c>
      <c r="G99" t="s">
        <v>318</v>
      </c>
      <c r="H99" t="str">
        <f>IFERROR(VLOOKUP(Transactions!G99,Merchants!A:B,2,FALSE),"Not Found")</f>
        <v>Urban Digital</v>
      </c>
      <c r="I99" s="9">
        <v>1826.09</v>
      </c>
      <c r="J99" s="3">
        <v>5.48</v>
      </c>
      <c r="K99" t="s">
        <v>58</v>
      </c>
      <c r="L99" t="s">
        <v>80</v>
      </c>
      <c r="M99" t="s">
        <v>74</v>
      </c>
      <c r="N99" t="s">
        <v>61</v>
      </c>
      <c r="O99" t="s">
        <v>91</v>
      </c>
      <c r="P99" t="str">
        <f t="shared" si="3"/>
        <v>Standard</v>
      </c>
      <c r="Q99" t="str">
        <f>VLOOKUP(G99,Merchants!A:C,3,TRUE)</f>
        <v>Utilities</v>
      </c>
    </row>
    <row r="100" spans="1:17" x14ac:dyDescent="0.3">
      <c r="A100" t="s">
        <v>373</v>
      </c>
      <c r="B100" s="2">
        <v>45722.396874999999</v>
      </c>
      <c r="C100" s="2" t="str">
        <f t="shared" si="2"/>
        <v>Mar-2025</v>
      </c>
      <c r="D100" t="s">
        <v>246</v>
      </c>
      <c r="E100" t="str">
        <f>VLOOKUP(D100,Customers!A:H,7,0)</f>
        <v>Student</v>
      </c>
      <c r="F100" t="s">
        <v>374</v>
      </c>
      <c r="G100" t="s">
        <v>201</v>
      </c>
      <c r="H100" t="str">
        <f>IFERROR(VLOOKUP(Transactions!G100,Merchants!A:B,2,FALSE),"Not Found")</f>
        <v>Urban Stores</v>
      </c>
      <c r="I100" s="9">
        <v>39332.92</v>
      </c>
      <c r="J100" s="3">
        <v>118</v>
      </c>
      <c r="K100" t="s">
        <v>133</v>
      </c>
      <c r="L100" t="s">
        <v>59</v>
      </c>
      <c r="M100" t="s">
        <v>86</v>
      </c>
      <c r="N100" t="s">
        <v>61</v>
      </c>
      <c r="O100" t="s">
        <v>62</v>
      </c>
      <c r="P100" t="str">
        <f t="shared" si="3"/>
        <v>High Value</v>
      </c>
      <c r="Q100" t="str">
        <f>VLOOKUP(G100,Merchants!A:C,3,TRUE)</f>
        <v>Entertainment</v>
      </c>
    </row>
    <row r="101" spans="1:17" x14ac:dyDescent="0.3">
      <c r="A101" t="s">
        <v>375</v>
      </c>
      <c r="B101" s="2">
        <v>46151.524513888893</v>
      </c>
      <c r="C101" s="2" t="str">
        <f t="shared" si="2"/>
        <v>May-2026</v>
      </c>
      <c r="D101" t="s">
        <v>194</v>
      </c>
      <c r="E101" t="str">
        <f>VLOOKUP(D101,Customers!A:H,7,0)</f>
        <v>Self-employed</v>
      </c>
      <c r="F101" t="s">
        <v>339</v>
      </c>
      <c r="G101" t="s">
        <v>208</v>
      </c>
      <c r="H101" t="str">
        <f>IFERROR(VLOOKUP(Transactions!G101,Merchants!A:B,2,FALSE),"Not Found")</f>
        <v>Blue Retail</v>
      </c>
      <c r="I101" s="9">
        <v>39856.269999999997</v>
      </c>
      <c r="J101" s="3">
        <v>119.57</v>
      </c>
      <c r="K101" t="s">
        <v>58</v>
      </c>
      <c r="L101" t="s">
        <v>80</v>
      </c>
      <c r="M101" t="s">
        <v>86</v>
      </c>
      <c r="N101" t="s">
        <v>67</v>
      </c>
      <c r="O101" t="s">
        <v>75</v>
      </c>
      <c r="P101" t="str">
        <f t="shared" si="3"/>
        <v>High Value</v>
      </c>
      <c r="Q101" t="str">
        <f>VLOOKUP(G101,Merchants!A:C,3,TRUE)</f>
        <v>Healthcare</v>
      </c>
    </row>
    <row r="102" spans="1:17" x14ac:dyDescent="0.3">
      <c r="A102" t="s">
        <v>376</v>
      </c>
      <c r="B102" s="2">
        <v>46165.250914351847</v>
      </c>
      <c r="C102" s="2" t="str">
        <f t="shared" si="2"/>
        <v>May-2026</v>
      </c>
      <c r="D102" t="s">
        <v>327</v>
      </c>
      <c r="E102" t="str">
        <f>VLOOKUP(D102,Customers!A:H,7,0)</f>
        <v>Salaried</v>
      </c>
      <c r="F102" t="s">
        <v>377</v>
      </c>
      <c r="G102" t="s">
        <v>79</v>
      </c>
      <c r="H102" t="str">
        <f>IFERROR(VLOOKUP(Transactions!G102,Merchants!A:B,2,FALSE),"Not Found")</f>
        <v>Nova Retail</v>
      </c>
      <c r="I102" s="9">
        <v>4584.43</v>
      </c>
      <c r="J102" s="3">
        <v>13.75</v>
      </c>
      <c r="K102" t="s">
        <v>58</v>
      </c>
      <c r="L102" t="s">
        <v>59</v>
      </c>
      <c r="M102" t="s">
        <v>111</v>
      </c>
      <c r="N102" t="s">
        <v>61</v>
      </c>
      <c r="O102" t="s">
        <v>75</v>
      </c>
      <c r="P102" t="str">
        <f t="shared" si="3"/>
        <v>High Value</v>
      </c>
      <c r="Q102" t="str">
        <f>VLOOKUP(G102,Merchants!A:C,3,TRUE)</f>
        <v>Grocery</v>
      </c>
    </row>
    <row r="103" spans="1:17" x14ac:dyDescent="0.3">
      <c r="A103" t="s">
        <v>378</v>
      </c>
      <c r="B103" s="2">
        <v>45898.119583333333</v>
      </c>
      <c r="C103" s="2" t="str">
        <f t="shared" si="2"/>
        <v>Aug-2025</v>
      </c>
      <c r="D103" t="s">
        <v>379</v>
      </c>
      <c r="E103" t="str">
        <f>VLOOKUP(D103,Customers!A:H,7,0)</f>
        <v>Student</v>
      </c>
      <c r="F103" t="s">
        <v>380</v>
      </c>
      <c r="G103" t="s">
        <v>318</v>
      </c>
      <c r="H103" t="str">
        <f>IFERROR(VLOOKUP(Transactions!G103,Merchants!A:B,2,FALSE),"Not Found")</f>
        <v>Urban Digital</v>
      </c>
      <c r="I103" s="9">
        <v>27599.77</v>
      </c>
      <c r="J103" s="3">
        <v>276</v>
      </c>
      <c r="K103" t="s">
        <v>96</v>
      </c>
      <c r="L103" t="s">
        <v>73</v>
      </c>
      <c r="M103" t="s">
        <v>60</v>
      </c>
      <c r="N103" t="s">
        <v>67</v>
      </c>
      <c r="O103" t="s">
        <v>75</v>
      </c>
      <c r="P103" t="str">
        <f t="shared" si="3"/>
        <v>High Value</v>
      </c>
      <c r="Q103" t="str">
        <f>VLOOKUP(G103,Merchants!A:C,3,TRUE)</f>
        <v>Utilities</v>
      </c>
    </row>
    <row r="104" spans="1:17" x14ac:dyDescent="0.3">
      <c r="A104" t="s">
        <v>381</v>
      </c>
      <c r="B104" s="2">
        <v>45676.155706018522</v>
      </c>
      <c r="C104" s="2" t="str">
        <f t="shared" si="2"/>
        <v>Jan-2025</v>
      </c>
      <c r="D104" t="s">
        <v>98</v>
      </c>
      <c r="E104" t="str">
        <f>VLOOKUP(D104,Customers!A:H,7,0)</f>
        <v>Self-employed</v>
      </c>
      <c r="F104" t="s">
        <v>236</v>
      </c>
      <c r="G104" t="s">
        <v>382</v>
      </c>
      <c r="H104" t="str">
        <f>IFERROR(VLOOKUP(Transactions!G104,Merchants!A:B,2,FALSE),"Not Found")</f>
        <v>Fresh Foods</v>
      </c>
      <c r="I104" s="9">
        <v>24266.04</v>
      </c>
      <c r="J104" s="3">
        <v>48.53</v>
      </c>
      <c r="K104" t="s">
        <v>133</v>
      </c>
      <c r="L104" t="s">
        <v>59</v>
      </c>
      <c r="M104" t="s">
        <v>60</v>
      </c>
      <c r="N104" t="s">
        <v>67</v>
      </c>
      <c r="O104" t="s">
        <v>75</v>
      </c>
      <c r="P104" t="str">
        <f t="shared" si="3"/>
        <v>High Value</v>
      </c>
      <c r="Q104" t="str">
        <f>VLOOKUP(G104,Merchants!A:C,3,TRUE)</f>
        <v>Healthcare</v>
      </c>
    </row>
    <row r="105" spans="1:17" x14ac:dyDescent="0.3">
      <c r="A105" t="s">
        <v>383</v>
      </c>
      <c r="B105" s="2">
        <v>46007.551203703697</v>
      </c>
      <c r="C105" s="2" t="str">
        <f t="shared" si="2"/>
        <v>Dec-2025</v>
      </c>
      <c r="D105" t="s">
        <v>327</v>
      </c>
      <c r="E105" t="str">
        <f>VLOOKUP(D105,Customers!A:H,7,0)</f>
        <v>Salaried</v>
      </c>
      <c r="F105" t="s">
        <v>384</v>
      </c>
      <c r="G105" t="s">
        <v>208</v>
      </c>
      <c r="H105" t="str">
        <f>IFERROR(VLOOKUP(Transactions!G105,Merchants!A:B,2,FALSE),"Not Found")</f>
        <v>Blue Retail</v>
      </c>
      <c r="I105" s="9">
        <v>49536.13</v>
      </c>
      <c r="J105" s="3">
        <v>495.36</v>
      </c>
      <c r="K105" t="s">
        <v>133</v>
      </c>
      <c r="L105" t="s">
        <v>73</v>
      </c>
      <c r="M105" t="s">
        <v>74</v>
      </c>
      <c r="N105" t="s">
        <v>61</v>
      </c>
      <c r="O105" t="s">
        <v>75</v>
      </c>
      <c r="P105" t="str">
        <f t="shared" si="3"/>
        <v>High Value</v>
      </c>
      <c r="Q105" t="str">
        <f>VLOOKUP(G105,Merchants!A:C,3,TRUE)</f>
        <v>Healthcare</v>
      </c>
    </row>
    <row r="106" spans="1:17" x14ac:dyDescent="0.3">
      <c r="A106" t="s">
        <v>385</v>
      </c>
      <c r="B106" s="2">
        <v>45774.147812499999</v>
      </c>
      <c r="C106" s="2" t="str">
        <f t="shared" si="2"/>
        <v>Apr-2025</v>
      </c>
      <c r="D106" t="s">
        <v>220</v>
      </c>
      <c r="E106" t="str">
        <f>VLOOKUP(D106,Customers!A:H,7,0)</f>
        <v>Student</v>
      </c>
      <c r="F106" t="s">
        <v>181</v>
      </c>
      <c r="G106" t="s">
        <v>237</v>
      </c>
      <c r="H106" t="str">
        <f>IFERROR(VLOOKUP(Transactions!G106,Merchants!A:B,2,FALSE),"Not Found")</f>
        <v>Metro Pay</v>
      </c>
      <c r="I106" s="9">
        <v>45583.27</v>
      </c>
      <c r="J106" s="3">
        <v>227.92</v>
      </c>
      <c r="K106" t="s">
        <v>72</v>
      </c>
      <c r="L106" t="s">
        <v>59</v>
      </c>
      <c r="M106" t="s">
        <v>60</v>
      </c>
      <c r="N106" t="s">
        <v>67</v>
      </c>
      <c r="O106" t="s">
        <v>91</v>
      </c>
      <c r="P106" t="str">
        <f t="shared" si="3"/>
        <v>High Value</v>
      </c>
      <c r="Q106" t="str">
        <f>VLOOKUP(G106,Merchants!A:C,3,TRUE)</f>
        <v>Healthcare</v>
      </c>
    </row>
    <row r="107" spans="1:17" x14ac:dyDescent="0.3">
      <c r="A107" t="s">
        <v>386</v>
      </c>
      <c r="B107" s="2">
        <v>45826.747013888889</v>
      </c>
      <c r="C107" s="2" t="str">
        <f t="shared" si="2"/>
        <v>Jun-2025</v>
      </c>
      <c r="D107" t="s">
        <v>287</v>
      </c>
      <c r="E107" t="str">
        <f>VLOOKUP(D107,Customers!A:H,7,0)</f>
        <v>Self-employed</v>
      </c>
      <c r="F107" t="s">
        <v>346</v>
      </c>
      <c r="G107" t="s">
        <v>208</v>
      </c>
      <c r="H107" t="str">
        <f>IFERROR(VLOOKUP(Transactions!G107,Merchants!A:B,2,FALSE),"Not Found")</f>
        <v>Blue Retail</v>
      </c>
      <c r="I107" s="9">
        <v>8512.91</v>
      </c>
      <c r="J107" s="3">
        <v>85.13</v>
      </c>
      <c r="K107" t="s">
        <v>90</v>
      </c>
      <c r="L107" t="s">
        <v>80</v>
      </c>
      <c r="M107" t="s">
        <v>111</v>
      </c>
      <c r="N107" t="s">
        <v>67</v>
      </c>
      <c r="O107" t="s">
        <v>75</v>
      </c>
      <c r="P107" t="str">
        <f t="shared" si="3"/>
        <v>High Value</v>
      </c>
      <c r="Q107" t="str">
        <f>VLOOKUP(G107,Merchants!A:C,3,TRUE)</f>
        <v>Healthcare</v>
      </c>
    </row>
    <row r="108" spans="1:17" x14ac:dyDescent="0.3">
      <c r="A108" t="s">
        <v>387</v>
      </c>
      <c r="B108" s="2">
        <v>45878.693344907413</v>
      </c>
      <c r="C108" s="2" t="str">
        <f t="shared" si="2"/>
        <v>Aug-2025</v>
      </c>
      <c r="D108" t="s">
        <v>287</v>
      </c>
      <c r="E108" t="str">
        <f>VLOOKUP(D108,Customers!A:H,7,0)</f>
        <v>Self-employed</v>
      </c>
      <c r="F108" t="s">
        <v>388</v>
      </c>
      <c r="G108" t="s">
        <v>66</v>
      </c>
      <c r="H108" t="str">
        <f>IFERROR(VLOOKUP(Transactions!G108,Merchants!A:B,2,FALSE),"Not Found")</f>
        <v>Prime Digital</v>
      </c>
      <c r="I108" s="9">
        <v>49490.79</v>
      </c>
      <c r="J108" s="3">
        <v>247.45</v>
      </c>
      <c r="K108" t="s">
        <v>58</v>
      </c>
      <c r="L108" t="s">
        <v>59</v>
      </c>
      <c r="M108" t="s">
        <v>86</v>
      </c>
      <c r="N108" t="s">
        <v>61</v>
      </c>
      <c r="O108" t="s">
        <v>75</v>
      </c>
      <c r="P108" t="str">
        <f t="shared" si="3"/>
        <v>High Value</v>
      </c>
      <c r="Q108" t="str">
        <f>VLOOKUP(G108,Merchants!A:C,3,TRUE)</f>
        <v>Fuel</v>
      </c>
    </row>
    <row r="109" spans="1:17" x14ac:dyDescent="0.3">
      <c r="A109" t="s">
        <v>389</v>
      </c>
      <c r="B109" s="2">
        <v>46261.764884259261</v>
      </c>
      <c r="C109" s="2" t="str">
        <f t="shared" si="2"/>
        <v>Aug-2026</v>
      </c>
      <c r="D109" t="s">
        <v>390</v>
      </c>
      <c r="E109" t="str">
        <f>VLOOKUP(D109,Customers!A:H,7,0)</f>
        <v>Student</v>
      </c>
      <c r="F109" t="s">
        <v>221</v>
      </c>
      <c r="G109" t="s">
        <v>117</v>
      </c>
      <c r="H109" t="str">
        <f>IFERROR(VLOOKUP(Transactions!G109,Merchants!A:B,2,FALSE),"Not Found")</f>
        <v>Prime Pay</v>
      </c>
      <c r="I109" s="9">
        <v>8164.7</v>
      </c>
      <c r="J109" s="3">
        <v>16.329999999999998</v>
      </c>
      <c r="K109" t="s">
        <v>133</v>
      </c>
      <c r="L109" t="s">
        <v>59</v>
      </c>
      <c r="M109" t="s">
        <v>74</v>
      </c>
      <c r="N109" t="s">
        <v>67</v>
      </c>
      <c r="O109" t="s">
        <v>62</v>
      </c>
      <c r="P109" t="str">
        <f t="shared" si="3"/>
        <v>High Value</v>
      </c>
      <c r="Q109" t="str">
        <f>VLOOKUP(G109,Merchants!A:C,3,TRUE)</f>
        <v>Travel</v>
      </c>
    </row>
    <row r="110" spans="1:17" x14ac:dyDescent="0.3">
      <c r="A110" t="s">
        <v>391</v>
      </c>
      <c r="B110" s="2">
        <v>45789.157094907408</v>
      </c>
      <c r="C110" s="2" t="str">
        <f t="shared" si="2"/>
        <v>May-2025</v>
      </c>
      <c r="D110" t="s">
        <v>392</v>
      </c>
      <c r="E110" t="str">
        <f>VLOOKUP(D110,Customers!A:H,7,0)</f>
        <v>Self-employed</v>
      </c>
      <c r="F110" t="s">
        <v>393</v>
      </c>
      <c r="G110" t="s">
        <v>366</v>
      </c>
      <c r="H110" t="str">
        <f>IFERROR(VLOOKUP(Transactions!G110,Merchants!A:B,2,FALSE),"Not Found")</f>
        <v>Smart Pay</v>
      </c>
      <c r="I110" s="9">
        <v>23305.59</v>
      </c>
      <c r="J110" s="3">
        <v>116.53</v>
      </c>
      <c r="K110" t="s">
        <v>96</v>
      </c>
      <c r="L110" t="s">
        <v>59</v>
      </c>
      <c r="M110" t="s">
        <v>111</v>
      </c>
      <c r="N110" t="s">
        <v>61</v>
      </c>
      <c r="O110" t="s">
        <v>75</v>
      </c>
      <c r="P110" t="str">
        <f t="shared" si="3"/>
        <v>High Value</v>
      </c>
      <c r="Q110" t="str">
        <f>VLOOKUP(G110,Merchants!A:C,3,TRUE)</f>
        <v>Fashion</v>
      </c>
    </row>
    <row r="111" spans="1:17" x14ac:dyDescent="0.3">
      <c r="A111" t="s">
        <v>394</v>
      </c>
      <c r="B111" s="2">
        <v>46009.446261574078</v>
      </c>
      <c r="C111" s="2" t="str">
        <f t="shared" si="2"/>
        <v>Dec-2025</v>
      </c>
      <c r="D111" t="s">
        <v>395</v>
      </c>
      <c r="E111" t="str">
        <f>VLOOKUP(D111,Customers!A:H,7,0)</f>
        <v>Student</v>
      </c>
      <c r="F111" t="s">
        <v>396</v>
      </c>
      <c r="G111" t="s">
        <v>150</v>
      </c>
      <c r="H111" t="str">
        <f>IFERROR(VLOOKUP(Transactions!G111,Merchants!A:B,2,FALSE),"Not Found")</f>
        <v>Nova Services</v>
      </c>
      <c r="I111" s="9">
        <v>27225.46</v>
      </c>
      <c r="J111" s="3">
        <v>272.25</v>
      </c>
      <c r="K111" t="s">
        <v>72</v>
      </c>
      <c r="L111" t="s">
        <v>59</v>
      </c>
      <c r="M111" t="s">
        <v>60</v>
      </c>
      <c r="N111" t="s">
        <v>67</v>
      </c>
      <c r="O111" t="s">
        <v>62</v>
      </c>
      <c r="P111" t="str">
        <f t="shared" si="3"/>
        <v>High Value</v>
      </c>
      <c r="Q111" t="str">
        <f>VLOOKUP(G111,Merchants!A:C,3,TRUE)</f>
        <v>Electronics</v>
      </c>
    </row>
    <row r="112" spans="1:17" x14ac:dyDescent="0.3">
      <c r="A112" t="s">
        <v>397</v>
      </c>
      <c r="B112" s="2">
        <v>45872.946875000001</v>
      </c>
      <c r="C112" s="2" t="str">
        <f t="shared" si="2"/>
        <v>Aug-2025</v>
      </c>
      <c r="D112" t="s">
        <v>398</v>
      </c>
      <c r="E112" t="str">
        <f>VLOOKUP(D112,Customers!A:H,7,0)</f>
        <v>Salaried</v>
      </c>
      <c r="F112" t="s">
        <v>399</v>
      </c>
      <c r="G112" t="s">
        <v>215</v>
      </c>
      <c r="H112" t="str">
        <f>IFERROR(VLOOKUP(Transactions!G112,Merchants!A:B,2,FALSE),"Not Found")</f>
        <v>Daily Hub</v>
      </c>
      <c r="I112" s="9">
        <v>42891.63</v>
      </c>
      <c r="J112" s="3">
        <v>128.66999999999999</v>
      </c>
      <c r="K112" t="s">
        <v>133</v>
      </c>
      <c r="L112" t="s">
        <v>80</v>
      </c>
      <c r="M112" t="s">
        <v>60</v>
      </c>
      <c r="N112" t="s">
        <v>67</v>
      </c>
      <c r="O112" t="s">
        <v>81</v>
      </c>
      <c r="P112" t="str">
        <f t="shared" si="3"/>
        <v>High Value</v>
      </c>
      <c r="Q112" t="str">
        <f>VLOOKUP(G112,Merchants!A:C,3,TRUE)</f>
        <v>Fashion</v>
      </c>
    </row>
    <row r="113" spans="1:17" x14ac:dyDescent="0.3">
      <c r="A113" t="s">
        <v>400</v>
      </c>
      <c r="B113" s="2">
        <v>46233.728738425933</v>
      </c>
      <c r="C113" s="2" t="str">
        <f t="shared" si="2"/>
        <v>Jul-2026</v>
      </c>
      <c r="D113" t="s">
        <v>401</v>
      </c>
      <c r="E113" t="str">
        <f>VLOOKUP(D113,Customers!A:H,7,0)</f>
        <v>Business Owner</v>
      </c>
      <c r="F113" t="s">
        <v>78</v>
      </c>
      <c r="G113" t="s">
        <v>347</v>
      </c>
      <c r="H113" t="str">
        <f>IFERROR(VLOOKUP(Transactions!G113,Merchants!A:B,2,FALSE),"Not Found")</f>
        <v>Nova Hub</v>
      </c>
      <c r="I113" s="9">
        <v>35010.1</v>
      </c>
      <c r="J113" s="3">
        <v>350.1</v>
      </c>
      <c r="K113" t="s">
        <v>72</v>
      </c>
      <c r="L113" t="s">
        <v>157</v>
      </c>
      <c r="M113" t="s">
        <v>74</v>
      </c>
      <c r="N113" t="s">
        <v>67</v>
      </c>
      <c r="O113" t="s">
        <v>91</v>
      </c>
      <c r="P113" t="str">
        <f t="shared" si="3"/>
        <v>High Value</v>
      </c>
      <c r="Q113" t="str">
        <f>VLOOKUP(G113,Merchants!A:C,3,TRUE)</f>
        <v>Fuel</v>
      </c>
    </row>
    <row r="114" spans="1:17" x14ac:dyDescent="0.3">
      <c r="A114" t="s">
        <v>402</v>
      </c>
      <c r="B114" s="2">
        <v>45683.577789351853</v>
      </c>
      <c r="C114" s="2" t="str">
        <f t="shared" si="2"/>
        <v>Jan-2025</v>
      </c>
      <c r="D114" t="s">
        <v>307</v>
      </c>
      <c r="E114" t="str">
        <f>VLOOKUP(D114,Customers!A:H,7,0)</f>
        <v>Salaried</v>
      </c>
      <c r="F114" t="s">
        <v>273</v>
      </c>
      <c r="G114" t="s">
        <v>95</v>
      </c>
      <c r="H114" t="str">
        <f>IFERROR(VLOOKUP(Transactions!G114,Merchants!A:B,2,FALSE),"Not Found")</f>
        <v>Quick Pay</v>
      </c>
      <c r="I114" s="9">
        <v>8805.07</v>
      </c>
      <c r="J114" s="3">
        <v>26.42</v>
      </c>
      <c r="K114" t="s">
        <v>72</v>
      </c>
      <c r="L114" t="s">
        <v>80</v>
      </c>
      <c r="M114" t="s">
        <v>60</v>
      </c>
      <c r="N114" t="s">
        <v>67</v>
      </c>
      <c r="O114" t="s">
        <v>91</v>
      </c>
      <c r="P114" t="str">
        <f t="shared" si="3"/>
        <v>High Value</v>
      </c>
      <c r="Q114" t="str">
        <f>VLOOKUP(G114,Merchants!A:C,3,TRUE)</f>
        <v>Healthcare</v>
      </c>
    </row>
    <row r="115" spans="1:17" x14ac:dyDescent="0.3">
      <c r="A115" t="s">
        <v>403</v>
      </c>
      <c r="B115" s="2">
        <v>45960.309467592589</v>
      </c>
      <c r="C115" s="2" t="str">
        <f t="shared" si="2"/>
        <v>Oct-2025</v>
      </c>
      <c r="D115" t="s">
        <v>109</v>
      </c>
      <c r="E115" t="str">
        <f>VLOOKUP(D115,Customers!A:H,7,0)</f>
        <v>Salaried</v>
      </c>
      <c r="F115" t="s">
        <v>336</v>
      </c>
      <c r="G115" t="s">
        <v>128</v>
      </c>
      <c r="H115" t="str">
        <f>IFERROR(VLOOKUP(Transactions!G115,Merchants!A:B,2,FALSE),"Not Found")</f>
        <v>Blue Foods</v>
      </c>
      <c r="I115" s="9">
        <v>45240.28</v>
      </c>
      <c r="J115" s="3">
        <v>452.4</v>
      </c>
      <c r="K115" t="s">
        <v>133</v>
      </c>
      <c r="L115" t="s">
        <v>59</v>
      </c>
      <c r="M115" t="s">
        <v>111</v>
      </c>
      <c r="N115" t="s">
        <v>61</v>
      </c>
      <c r="O115" t="s">
        <v>62</v>
      </c>
      <c r="P115" t="str">
        <f t="shared" si="3"/>
        <v>High Value</v>
      </c>
      <c r="Q115" t="str">
        <f>VLOOKUP(G115,Merchants!A:C,3,TRUE)</f>
        <v>Food &amp; Dining</v>
      </c>
    </row>
    <row r="116" spans="1:17" x14ac:dyDescent="0.3">
      <c r="A116" t="s">
        <v>404</v>
      </c>
      <c r="B116" s="2">
        <v>46181.436354166668</v>
      </c>
      <c r="C116" s="2" t="str">
        <f t="shared" si="2"/>
        <v>Jun-2026</v>
      </c>
      <c r="D116" t="s">
        <v>213</v>
      </c>
      <c r="E116" t="str">
        <f>VLOOKUP(D116,Customers!A:H,7,0)</f>
        <v>Student</v>
      </c>
      <c r="F116" t="s">
        <v>405</v>
      </c>
      <c r="G116" t="s">
        <v>128</v>
      </c>
      <c r="H116" t="str">
        <f>IFERROR(VLOOKUP(Transactions!G116,Merchants!A:B,2,FALSE),"Not Found")</f>
        <v>Blue Foods</v>
      </c>
      <c r="I116" s="9">
        <v>41606.870000000003</v>
      </c>
      <c r="J116" s="3">
        <v>416.07</v>
      </c>
      <c r="K116" t="s">
        <v>72</v>
      </c>
      <c r="L116" t="s">
        <v>59</v>
      </c>
      <c r="M116" t="s">
        <v>86</v>
      </c>
      <c r="N116" t="s">
        <v>67</v>
      </c>
      <c r="O116" t="s">
        <v>81</v>
      </c>
      <c r="P116" t="str">
        <f t="shared" si="3"/>
        <v>High Value</v>
      </c>
      <c r="Q116" t="str">
        <f>VLOOKUP(G116,Merchants!A:C,3,TRUE)</f>
        <v>Food &amp; Dining</v>
      </c>
    </row>
    <row r="117" spans="1:17" x14ac:dyDescent="0.3">
      <c r="A117" t="s">
        <v>406</v>
      </c>
      <c r="B117" s="2">
        <v>45865.941412037027</v>
      </c>
      <c r="C117" s="2" t="str">
        <f t="shared" si="2"/>
        <v>Jul-2025</v>
      </c>
      <c r="D117" t="s">
        <v>407</v>
      </c>
      <c r="E117" t="str">
        <f>VLOOKUP(D117,Customers!A:H,7,0)</f>
        <v>Salaried</v>
      </c>
      <c r="F117" t="s">
        <v>369</v>
      </c>
      <c r="G117" t="s">
        <v>237</v>
      </c>
      <c r="H117" t="str">
        <f>IFERROR(VLOOKUP(Transactions!G117,Merchants!A:B,2,FALSE),"Not Found")</f>
        <v>Metro Pay</v>
      </c>
      <c r="I117" s="9">
        <v>52144.11</v>
      </c>
      <c r="J117" s="3">
        <v>521.44000000000005</v>
      </c>
      <c r="K117" t="s">
        <v>72</v>
      </c>
      <c r="L117" t="s">
        <v>73</v>
      </c>
      <c r="M117" t="s">
        <v>111</v>
      </c>
      <c r="N117" t="s">
        <v>67</v>
      </c>
      <c r="O117" t="s">
        <v>81</v>
      </c>
      <c r="P117" t="str">
        <f t="shared" si="3"/>
        <v>High Value</v>
      </c>
      <c r="Q117" t="str">
        <f>VLOOKUP(G117,Merchants!A:C,3,TRUE)</f>
        <v>Healthcare</v>
      </c>
    </row>
    <row r="118" spans="1:17" x14ac:dyDescent="0.3">
      <c r="A118" t="s">
        <v>408</v>
      </c>
      <c r="B118" s="2">
        <v>46117.269155092603</v>
      </c>
      <c r="C118" s="2" t="str">
        <f t="shared" si="2"/>
        <v>Apr-2026</v>
      </c>
      <c r="D118" t="s">
        <v>77</v>
      </c>
      <c r="E118" t="str">
        <f>VLOOKUP(D118,Customers!A:H,7,0)</f>
        <v>Student</v>
      </c>
      <c r="F118" t="s">
        <v>409</v>
      </c>
      <c r="G118" t="s">
        <v>366</v>
      </c>
      <c r="H118" t="str">
        <f>IFERROR(VLOOKUP(Transactions!G118,Merchants!A:B,2,FALSE),"Not Found")</f>
        <v>Smart Pay</v>
      </c>
      <c r="I118" s="9">
        <v>59008.85</v>
      </c>
      <c r="J118" s="3">
        <v>177.03</v>
      </c>
      <c r="K118" t="s">
        <v>58</v>
      </c>
      <c r="L118" t="s">
        <v>59</v>
      </c>
      <c r="M118" t="s">
        <v>74</v>
      </c>
      <c r="N118" t="s">
        <v>61</v>
      </c>
      <c r="O118" t="s">
        <v>81</v>
      </c>
      <c r="P118" t="str">
        <f t="shared" si="3"/>
        <v>High Value</v>
      </c>
      <c r="Q118" t="str">
        <f>VLOOKUP(G118,Merchants!A:C,3,TRUE)</f>
        <v>Fashion</v>
      </c>
    </row>
    <row r="119" spans="1:17" x14ac:dyDescent="0.3">
      <c r="A119" t="s">
        <v>410</v>
      </c>
      <c r="B119" s="2">
        <v>45791.244131944448</v>
      </c>
      <c r="C119" s="2" t="str">
        <f t="shared" si="2"/>
        <v>May-2025</v>
      </c>
      <c r="D119" t="s">
        <v>411</v>
      </c>
      <c r="E119" t="str">
        <f>VLOOKUP(D119,Customers!A:H,7,0)</f>
        <v>Student</v>
      </c>
      <c r="F119" t="s">
        <v>412</v>
      </c>
      <c r="G119" t="s">
        <v>413</v>
      </c>
      <c r="H119" t="str">
        <f>IFERROR(VLOOKUP(Transactions!G119,Merchants!A:B,2,FALSE),"Not Found")</f>
        <v>Blue Hub</v>
      </c>
      <c r="I119" s="9">
        <v>35080.76</v>
      </c>
      <c r="J119" s="3">
        <v>175.4</v>
      </c>
      <c r="K119" t="s">
        <v>58</v>
      </c>
      <c r="L119" t="s">
        <v>59</v>
      </c>
      <c r="M119" t="s">
        <v>111</v>
      </c>
      <c r="N119" t="s">
        <v>61</v>
      </c>
      <c r="O119" t="s">
        <v>91</v>
      </c>
      <c r="P119" t="str">
        <f t="shared" si="3"/>
        <v>High Value</v>
      </c>
      <c r="Q119" t="str">
        <f>VLOOKUP(G119,Merchants!A:C,3,TRUE)</f>
        <v>Utilities</v>
      </c>
    </row>
    <row r="120" spans="1:17" x14ac:dyDescent="0.3">
      <c r="A120" t="s">
        <v>414</v>
      </c>
      <c r="B120" s="2">
        <v>46298.933900462973</v>
      </c>
      <c r="C120" s="2" t="str">
        <f t="shared" si="2"/>
        <v>Oct-2026</v>
      </c>
      <c r="D120" t="s">
        <v>255</v>
      </c>
      <c r="E120" t="str">
        <f>VLOOKUP(D120,Customers!A:H,7,0)</f>
        <v>Self-employed</v>
      </c>
      <c r="F120" t="s">
        <v>415</v>
      </c>
      <c r="G120" t="s">
        <v>182</v>
      </c>
      <c r="H120" t="str">
        <f>IFERROR(VLOOKUP(Transactions!G120,Merchants!A:B,2,FALSE),"Not Found")</f>
        <v>Fresh Hub</v>
      </c>
      <c r="I120" s="9">
        <v>50604.08</v>
      </c>
      <c r="J120" s="3">
        <v>253.02</v>
      </c>
      <c r="K120" t="s">
        <v>133</v>
      </c>
      <c r="L120" t="s">
        <v>59</v>
      </c>
      <c r="M120" t="s">
        <v>111</v>
      </c>
      <c r="N120" t="s">
        <v>67</v>
      </c>
      <c r="O120" t="s">
        <v>91</v>
      </c>
      <c r="P120" t="str">
        <f t="shared" si="3"/>
        <v>High Value</v>
      </c>
      <c r="Q120" t="str">
        <f>VLOOKUP(G120,Merchants!A:C,3,TRUE)</f>
        <v>Healthcare</v>
      </c>
    </row>
    <row r="121" spans="1:17" x14ac:dyDescent="0.3">
      <c r="A121" t="s">
        <v>416</v>
      </c>
      <c r="B121" s="2">
        <v>46175.241770833331</v>
      </c>
      <c r="C121" s="2" t="str">
        <f t="shared" si="2"/>
        <v>Jun-2026</v>
      </c>
      <c r="D121" t="s">
        <v>116</v>
      </c>
      <c r="E121" t="str">
        <f>VLOOKUP(D121,Customers!A:H,7,0)</f>
        <v>Business Owner</v>
      </c>
      <c r="F121" t="s">
        <v>417</v>
      </c>
      <c r="G121" t="s">
        <v>57</v>
      </c>
      <c r="H121" t="str">
        <f>IFERROR(VLOOKUP(Transactions!G121,Merchants!A:B,2,FALSE),"Not Found")</f>
        <v>Daily Stores</v>
      </c>
      <c r="I121" s="9">
        <v>25014.28</v>
      </c>
      <c r="J121" s="3">
        <v>50.03</v>
      </c>
      <c r="K121" t="s">
        <v>72</v>
      </c>
      <c r="L121" t="s">
        <v>59</v>
      </c>
      <c r="M121" t="s">
        <v>60</v>
      </c>
      <c r="N121" t="s">
        <v>61</v>
      </c>
      <c r="O121" t="s">
        <v>81</v>
      </c>
      <c r="P121" t="str">
        <f t="shared" si="3"/>
        <v>High Value</v>
      </c>
      <c r="Q121" t="str">
        <f>VLOOKUP(G121,Merchants!A:C,3,TRUE)</f>
        <v>Travel</v>
      </c>
    </row>
    <row r="122" spans="1:17" x14ac:dyDescent="0.3">
      <c r="A122" t="s">
        <v>418</v>
      </c>
      <c r="B122" s="2">
        <v>45881.937951388893</v>
      </c>
      <c r="C122" s="2" t="str">
        <f t="shared" si="2"/>
        <v>Aug-2025</v>
      </c>
      <c r="D122" t="s">
        <v>419</v>
      </c>
      <c r="E122" t="str">
        <f>VLOOKUP(D122,Customers!A:H,7,0)</f>
        <v>Student</v>
      </c>
      <c r="F122" t="s">
        <v>420</v>
      </c>
      <c r="G122" t="s">
        <v>421</v>
      </c>
      <c r="H122" t="str">
        <f>IFERROR(VLOOKUP(Transactions!G122,Merchants!A:B,2,FALSE),"Not Found")</f>
        <v>Smart Pay</v>
      </c>
      <c r="I122" s="9">
        <v>31876.880000000001</v>
      </c>
      <c r="J122" s="3">
        <v>63.75</v>
      </c>
      <c r="K122" t="s">
        <v>96</v>
      </c>
      <c r="L122" t="s">
        <v>157</v>
      </c>
      <c r="M122" t="s">
        <v>111</v>
      </c>
      <c r="N122" t="s">
        <v>67</v>
      </c>
      <c r="O122" t="s">
        <v>91</v>
      </c>
      <c r="P122" t="str">
        <f t="shared" si="3"/>
        <v>High Value</v>
      </c>
      <c r="Q122" t="str">
        <f>VLOOKUP(G122,Merchants!A:C,3,TRUE)</f>
        <v>Entertainment</v>
      </c>
    </row>
    <row r="123" spans="1:17" x14ac:dyDescent="0.3">
      <c r="A123" t="s">
        <v>422</v>
      </c>
      <c r="B123" s="2">
        <v>45986.578553240739</v>
      </c>
      <c r="C123" s="2" t="str">
        <f t="shared" si="2"/>
        <v>Nov-2025</v>
      </c>
      <c r="D123" t="s">
        <v>356</v>
      </c>
      <c r="E123" t="str">
        <f>VLOOKUP(D123,Customers!A:H,7,0)</f>
        <v>Self-employed</v>
      </c>
      <c r="F123" t="s">
        <v>423</v>
      </c>
      <c r="G123" t="s">
        <v>132</v>
      </c>
      <c r="H123" t="str">
        <f>IFERROR(VLOOKUP(Transactions!G123,Merchants!A:B,2,FALSE),"Not Found")</f>
        <v>Metro Retail</v>
      </c>
      <c r="I123" s="9">
        <v>54964.35</v>
      </c>
      <c r="J123" s="3">
        <v>549.64</v>
      </c>
      <c r="K123" t="s">
        <v>58</v>
      </c>
      <c r="L123" t="s">
        <v>157</v>
      </c>
      <c r="M123" t="s">
        <v>60</v>
      </c>
      <c r="N123" t="s">
        <v>61</v>
      </c>
      <c r="O123" t="s">
        <v>75</v>
      </c>
      <c r="P123" t="str">
        <f t="shared" si="3"/>
        <v>High Value</v>
      </c>
      <c r="Q123" t="str">
        <f>VLOOKUP(G123,Merchants!A:C,3,TRUE)</f>
        <v>Entertainment</v>
      </c>
    </row>
    <row r="124" spans="1:17" x14ac:dyDescent="0.3">
      <c r="A124" t="s">
        <v>424</v>
      </c>
      <c r="B124" s="2">
        <v>45702.449699074074</v>
      </c>
      <c r="C124" s="2" t="str">
        <f t="shared" si="2"/>
        <v>Feb-2025</v>
      </c>
      <c r="D124" t="s">
        <v>425</v>
      </c>
      <c r="E124" t="str">
        <f>VLOOKUP(D124,Customers!A:H,7,0)</f>
        <v>Salaried</v>
      </c>
      <c r="F124" t="s">
        <v>426</v>
      </c>
      <c r="G124" t="s">
        <v>347</v>
      </c>
      <c r="H124" t="str">
        <f>IFERROR(VLOOKUP(Transactions!G124,Merchants!A:B,2,FALSE),"Not Found")</f>
        <v>Nova Hub</v>
      </c>
      <c r="I124" s="9">
        <v>53907.07</v>
      </c>
      <c r="J124" s="3">
        <v>107.81</v>
      </c>
      <c r="K124" t="s">
        <v>133</v>
      </c>
      <c r="L124" t="s">
        <v>59</v>
      </c>
      <c r="M124" t="s">
        <v>86</v>
      </c>
      <c r="N124" t="s">
        <v>67</v>
      </c>
      <c r="O124" t="s">
        <v>62</v>
      </c>
      <c r="P124" t="str">
        <f t="shared" si="3"/>
        <v>High Value</v>
      </c>
      <c r="Q124" t="str">
        <f>VLOOKUP(G124,Merchants!A:C,3,TRUE)</f>
        <v>Fuel</v>
      </c>
    </row>
    <row r="125" spans="1:17" x14ac:dyDescent="0.3">
      <c r="A125" t="s">
        <v>427</v>
      </c>
      <c r="B125" s="2">
        <v>45876.643530092602</v>
      </c>
      <c r="C125" s="2" t="str">
        <f t="shared" si="2"/>
        <v>Aug-2025</v>
      </c>
      <c r="D125" t="s">
        <v>428</v>
      </c>
      <c r="E125" t="str">
        <f>VLOOKUP(D125,Customers!A:H,7,0)</f>
        <v>Business Owner</v>
      </c>
      <c r="F125" t="s">
        <v>429</v>
      </c>
      <c r="G125" t="s">
        <v>430</v>
      </c>
      <c r="H125" t="str">
        <f>IFERROR(VLOOKUP(Transactions!G125,Merchants!A:B,2,FALSE),"Not Found")</f>
        <v>Prime Foods</v>
      </c>
      <c r="I125" s="9">
        <v>50156.34</v>
      </c>
      <c r="J125" s="3">
        <v>501.56</v>
      </c>
      <c r="K125" t="s">
        <v>90</v>
      </c>
      <c r="L125" t="s">
        <v>59</v>
      </c>
      <c r="M125" t="s">
        <v>86</v>
      </c>
      <c r="N125" t="s">
        <v>61</v>
      </c>
      <c r="O125" t="s">
        <v>81</v>
      </c>
      <c r="P125" t="str">
        <f t="shared" si="3"/>
        <v>High Value</v>
      </c>
      <c r="Q125" t="str">
        <f>VLOOKUP(G125,Merchants!A:C,3,TRUE)</f>
        <v>Entertainment</v>
      </c>
    </row>
    <row r="126" spans="1:17" x14ac:dyDescent="0.3">
      <c r="A126" t="s">
        <v>431</v>
      </c>
      <c r="B126" s="2">
        <v>45696.1327662037</v>
      </c>
      <c r="C126" s="2" t="str">
        <f t="shared" si="2"/>
        <v>Feb-2025</v>
      </c>
      <c r="D126" t="s">
        <v>194</v>
      </c>
      <c r="E126" t="str">
        <f>VLOOKUP(D126,Customers!A:H,7,0)</f>
        <v>Self-employed</v>
      </c>
      <c r="F126" t="s">
        <v>432</v>
      </c>
      <c r="G126" t="s">
        <v>71</v>
      </c>
      <c r="H126" t="str">
        <f>IFERROR(VLOOKUP(Transactions!G126,Merchants!A:B,2,FALSE),"Not Found")</f>
        <v>Metro Pay</v>
      </c>
      <c r="I126" s="9">
        <v>4487.5600000000004</v>
      </c>
      <c r="J126" s="3">
        <v>22.44</v>
      </c>
      <c r="K126" t="s">
        <v>90</v>
      </c>
      <c r="L126" t="s">
        <v>59</v>
      </c>
      <c r="M126" t="s">
        <v>60</v>
      </c>
      <c r="N126" t="s">
        <v>61</v>
      </c>
      <c r="O126" t="s">
        <v>75</v>
      </c>
      <c r="P126" t="str">
        <f t="shared" si="3"/>
        <v>High Value</v>
      </c>
      <c r="Q126" t="str">
        <f>VLOOKUP(G126,Merchants!A:C,3,TRUE)</f>
        <v>Fashion</v>
      </c>
    </row>
    <row r="127" spans="1:17" x14ac:dyDescent="0.3">
      <c r="A127" t="s">
        <v>433</v>
      </c>
      <c r="B127" s="2">
        <v>46119.956053240741</v>
      </c>
      <c r="C127" s="2" t="str">
        <f t="shared" si="2"/>
        <v>Apr-2026</v>
      </c>
      <c r="D127" t="s">
        <v>401</v>
      </c>
      <c r="E127" t="str">
        <f>VLOOKUP(D127,Customers!A:H,7,0)</f>
        <v>Business Owner</v>
      </c>
      <c r="F127" t="s">
        <v>409</v>
      </c>
      <c r="G127" t="s">
        <v>347</v>
      </c>
      <c r="H127" t="str">
        <f>IFERROR(VLOOKUP(Transactions!G127,Merchants!A:B,2,FALSE),"Not Found")</f>
        <v>Nova Hub</v>
      </c>
      <c r="I127" s="9">
        <v>24326.44</v>
      </c>
      <c r="J127" s="3">
        <v>243.26</v>
      </c>
      <c r="K127" t="s">
        <v>58</v>
      </c>
      <c r="L127" t="s">
        <v>59</v>
      </c>
      <c r="M127" t="s">
        <v>86</v>
      </c>
      <c r="N127" t="s">
        <v>67</v>
      </c>
      <c r="O127" t="s">
        <v>91</v>
      </c>
      <c r="P127" t="str">
        <f t="shared" si="3"/>
        <v>High Value</v>
      </c>
      <c r="Q127" t="str">
        <f>VLOOKUP(G127,Merchants!A:C,3,TRUE)</f>
        <v>Fuel</v>
      </c>
    </row>
    <row r="128" spans="1:17" x14ac:dyDescent="0.3">
      <c r="A128" t="s">
        <v>434</v>
      </c>
      <c r="B128" s="2">
        <v>46024.762812499997</v>
      </c>
      <c r="C128" s="2" t="str">
        <f t="shared" si="2"/>
        <v>Jan-2026</v>
      </c>
      <c r="D128" t="s">
        <v>435</v>
      </c>
      <c r="E128" t="str">
        <f>VLOOKUP(D128,Customers!A:H,7,0)</f>
        <v>Business Owner</v>
      </c>
      <c r="F128" t="s">
        <v>163</v>
      </c>
      <c r="G128" t="s">
        <v>132</v>
      </c>
      <c r="H128" t="str">
        <f>IFERROR(VLOOKUP(Transactions!G128,Merchants!A:B,2,FALSE),"Not Found")</f>
        <v>Metro Retail</v>
      </c>
      <c r="I128" s="9">
        <v>6457.52</v>
      </c>
      <c r="J128" s="3">
        <v>32.29</v>
      </c>
      <c r="K128" t="s">
        <v>96</v>
      </c>
      <c r="L128" t="s">
        <v>73</v>
      </c>
      <c r="M128" t="s">
        <v>74</v>
      </c>
      <c r="N128" t="s">
        <v>61</v>
      </c>
      <c r="O128" t="s">
        <v>91</v>
      </c>
      <c r="P128" t="str">
        <f t="shared" si="3"/>
        <v>High Value</v>
      </c>
      <c r="Q128" t="str">
        <f>VLOOKUP(G128,Merchants!A:C,3,TRUE)</f>
        <v>Entertainment</v>
      </c>
    </row>
    <row r="129" spans="1:17" x14ac:dyDescent="0.3">
      <c r="A129" t="s">
        <v>436</v>
      </c>
      <c r="B129" s="2">
        <v>46143.237141203703</v>
      </c>
      <c r="C129" s="2" t="str">
        <f t="shared" si="2"/>
        <v>May-2026</v>
      </c>
      <c r="D129" t="s">
        <v>437</v>
      </c>
      <c r="E129" t="str">
        <f>VLOOKUP(D129,Customers!A:H,7,0)</f>
        <v>Salaried</v>
      </c>
      <c r="F129" t="s">
        <v>438</v>
      </c>
      <c r="G129" t="s">
        <v>237</v>
      </c>
      <c r="H129" t="str">
        <f>IFERROR(VLOOKUP(Transactions!G129,Merchants!A:B,2,FALSE),"Not Found")</f>
        <v>Metro Pay</v>
      </c>
      <c r="I129" s="9">
        <v>32054.720000000001</v>
      </c>
      <c r="J129" s="3">
        <v>320.55</v>
      </c>
      <c r="K129" t="s">
        <v>90</v>
      </c>
      <c r="L129" t="s">
        <v>59</v>
      </c>
      <c r="M129" t="s">
        <v>60</v>
      </c>
      <c r="N129" t="s">
        <v>61</v>
      </c>
      <c r="O129" t="s">
        <v>91</v>
      </c>
      <c r="P129" t="str">
        <f t="shared" si="3"/>
        <v>High Value</v>
      </c>
      <c r="Q129" t="str">
        <f>VLOOKUP(G129,Merchants!A:C,3,TRUE)</f>
        <v>Healthcare</v>
      </c>
    </row>
    <row r="130" spans="1:17" x14ac:dyDescent="0.3">
      <c r="A130" t="s">
        <v>439</v>
      </c>
      <c r="B130" s="2">
        <v>46224.842060185183</v>
      </c>
      <c r="C130" s="2" t="str">
        <f t="shared" si="2"/>
        <v>Jul-2026</v>
      </c>
      <c r="D130" t="s">
        <v>275</v>
      </c>
      <c r="E130" t="str">
        <f>VLOOKUP(D130,Customers!A:H,7,0)</f>
        <v>Student</v>
      </c>
      <c r="F130" t="s">
        <v>89</v>
      </c>
      <c r="G130" t="s">
        <v>103</v>
      </c>
      <c r="H130" t="str">
        <f>IFERROR(VLOOKUP(Transactions!G130,Merchants!A:B,2,FALSE),"Not Found")</f>
        <v>Nova Pay</v>
      </c>
      <c r="I130" s="9">
        <v>8568.2900000000009</v>
      </c>
      <c r="J130" s="3">
        <v>85.68</v>
      </c>
      <c r="K130" t="s">
        <v>72</v>
      </c>
      <c r="L130" t="s">
        <v>59</v>
      </c>
      <c r="M130" t="s">
        <v>111</v>
      </c>
      <c r="N130" t="s">
        <v>61</v>
      </c>
      <c r="O130" t="s">
        <v>62</v>
      </c>
      <c r="P130" t="str">
        <f t="shared" si="3"/>
        <v>High Value</v>
      </c>
      <c r="Q130" t="str">
        <f>VLOOKUP(G130,Merchants!A:C,3,TRUE)</f>
        <v>Fashion</v>
      </c>
    </row>
    <row r="131" spans="1:17" x14ac:dyDescent="0.3">
      <c r="A131" t="s">
        <v>440</v>
      </c>
      <c r="B131" s="2">
        <v>46080.979895833327</v>
      </c>
      <c r="C131" s="2" t="str">
        <f t="shared" ref="C131:C194" si="4">TEXT(B131,"mmm-yyyy")</f>
        <v>Feb-2026</v>
      </c>
      <c r="D131" t="s">
        <v>441</v>
      </c>
      <c r="E131" t="str">
        <f>VLOOKUP(D131,Customers!A:H,7,0)</f>
        <v>Business Owner</v>
      </c>
      <c r="F131" t="s">
        <v>336</v>
      </c>
      <c r="G131" t="s">
        <v>189</v>
      </c>
      <c r="H131" t="str">
        <f>IFERROR(VLOOKUP(Transactions!G131,Merchants!A:B,2,FALSE),"Not Found")</f>
        <v>Quick Services</v>
      </c>
      <c r="I131" s="9">
        <v>51102.39</v>
      </c>
      <c r="J131" s="3">
        <v>153.31</v>
      </c>
      <c r="K131" t="s">
        <v>90</v>
      </c>
      <c r="L131" t="s">
        <v>59</v>
      </c>
      <c r="M131" t="s">
        <v>86</v>
      </c>
      <c r="N131" t="s">
        <v>67</v>
      </c>
      <c r="O131" t="s">
        <v>91</v>
      </c>
      <c r="P131" t="str">
        <f t="shared" ref="P131:P194" si="5">IF(I131&gt;=2500,"High Value","Standard")</f>
        <v>High Value</v>
      </c>
      <c r="Q131" t="str">
        <f>VLOOKUP(G131,Merchants!A:C,3,TRUE)</f>
        <v>Food &amp; Dining</v>
      </c>
    </row>
    <row r="132" spans="1:17" x14ac:dyDescent="0.3">
      <c r="A132" t="s">
        <v>442</v>
      </c>
      <c r="B132" s="2">
        <v>46220.699745370373</v>
      </c>
      <c r="C132" s="2" t="str">
        <f t="shared" si="4"/>
        <v>Jul-2026</v>
      </c>
      <c r="D132" t="s">
        <v>309</v>
      </c>
      <c r="E132" t="str">
        <f>VLOOKUP(D132,Customers!A:H,7,0)</f>
        <v>Self-employed</v>
      </c>
      <c r="F132" t="s">
        <v>443</v>
      </c>
      <c r="G132" t="s">
        <v>225</v>
      </c>
      <c r="H132" t="str">
        <f>IFERROR(VLOOKUP(Transactions!G132,Merchants!A:B,2,FALSE),"Not Found")</f>
        <v>Quick Retail</v>
      </c>
      <c r="I132" s="9">
        <v>38716</v>
      </c>
      <c r="J132" s="3">
        <v>77.430000000000007</v>
      </c>
      <c r="K132" t="s">
        <v>133</v>
      </c>
      <c r="L132" t="s">
        <v>59</v>
      </c>
      <c r="M132" t="s">
        <v>74</v>
      </c>
      <c r="N132" t="s">
        <v>61</v>
      </c>
      <c r="O132" t="s">
        <v>81</v>
      </c>
      <c r="P132" t="str">
        <f t="shared" si="5"/>
        <v>High Value</v>
      </c>
      <c r="Q132" t="str">
        <f>VLOOKUP(G132,Merchants!A:C,3,TRUE)</f>
        <v>Grocery</v>
      </c>
    </row>
    <row r="133" spans="1:17" x14ac:dyDescent="0.3">
      <c r="A133" t="s">
        <v>444</v>
      </c>
      <c r="B133" s="2">
        <v>45789.994375000002</v>
      </c>
      <c r="C133" s="2" t="str">
        <f t="shared" si="4"/>
        <v>May-2025</v>
      </c>
      <c r="D133" t="s">
        <v>445</v>
      </c>
      <c r="E133" t="str">
        <f>VLOOKUP(D133,Customers!A:H,7,0)</f>
        <v>Self-employed</v>
      </c>
      <c r="F133" t="s">
        <v>446</v>
      </c>
      <c r="G133" t="s">
        <v>318</v>
      </c>
      <c r="H133" t="str">
        <f>IFERROR(VLOOKUP(Transactions!G133,Merchants!A:B,2,FALSE),"Not Found")</f>
        <v>Urban Digital</v>
      </c>
      <c r="I133" s="9">
        <v>14148.52</v>
      </c>
      <c r="J133" s="3">
        <v>28.3</v>
      </c>
      <c r="K133" t="s">
        <v>96</v>
      </c>
      <c r="L133" t="s">
        <v>59</v>
      </c>
      <c r="M133" t="s">
        <v>60</v>
      </c>
      <c r="N133" t="s">
        <v>61</v>
      </c>
      <c r="O133" t="s">
        <v>62</v>
      </c>
      <c r="P133" t="str">
        <f t="shared" si="5"/>
        <v>High Value</v>
      </c>
      <c r="Q133" t="str">
        <f>VLOOKUP(G133,Merchants!A:C,3,TRUE)</f>
        <v>Utilities</v>
      </c>
    </row>
    <row r="134" spans="1:17" x14ac:dyDescent="0.3">
      <c r="A134" t="s">
        <v>447</v>
      </c>
      <c r="B134" s="2">
        <v>46237.859942129631</v>
      </c>
      <c r="C134" s="2" t="str">
        <f t="shared" si="4"/>
        <v>Aug-2026</v>
      </c>
      <c r="D134" t="s">
        <v>448</v>
      </c>
      <c r="E134" t="str">
        <f>VLOOKUP(D134,Customers!A:H,7,0)</f>
        <v>Business Owner</v>
      </c>
      <c r="F134" t="s">
        <v>449</v>
      </c>
      <c r="G134" t="s">
        <v>182</v>
      </c>
      <c r="H134" t="str">
        <f>IFERROR(VLOOKUP(Transactions!G134,Merchants!A:B,2,FALSE),"Not Found")</f>
        <v>Fresh Hub</v>
      </c>
      <c r="I134" s="9">
        <v>21933.16</v>
      </c>
      <c r="J134" s="3">
        <v>219.33</v>
      </c>
      <c r="K134" t="s">
        <v>90</v>
      </c>
      <c r="L134" t="s">
        <v>59</v>
      </c>
      <c r="M134" t="s">
        <v>111</v>
      </c>
      <c r="N134" t="s">
        <v>61</v>
      </c>
      <c r="O134" t="s">
        <v>81</v>
      </c>
      <c r="P134" t="str">
        <f t="shared" si="5"/>
        <v>High Value</v>
      </c>
      <c r="Q134" t="str">
        <f>VLOOKUP(G134,Merchants!A:C,3,TRUE)</f>
        <v>Healthcare</v>
      </c>
    </row>
    <row r="135" spans="1:17" x14ac:dyDescent="0.3">
      <c r="A135" t="s">
        <v>450</v>
      </c>
      <c r="B135" s="2">
        <v>46026.203738425917</v>
      </c>
      <c r="C135" s="2" t="str">
        <f t="shared" si="4"/>
        <v>Jan-2026</v>
      </c>
      <c r="D135" t="s">
        <v>166</v>
      </c>
      <c r="E135" t="str">
        <f>VLOOKUP(D135,Customers!A:H,7,0)</f>
        <v>Business Owner</v>
      </c>
      <c r="F135" t="s">
        <v>451</v>
      </c>
      <c r="G135" t="s">
        <v>421</v>
      </c>
      <c r="H135" t="str">
        <f>IFERROR(VLOOKUP(Transactions!G135,Merchants!A:B,2,FALSE),"Not Found")</f>
        <v>Smart Pay</v>
      </c>
      <c r="I135" s="9">
        <v>40806.85</v>
      </c>
      <c r="J135" s="3">
        <v>408.07</v>
      </c>
      <c r="K135" t="s">
        <v>72</v>
      </c>
      <c r="L135" t="s">
        <v>59</v>
      </c>
      <c r="M135" t="s">
        <v>74</v>
      </c>
      <c r="N135" t="s">
        <v>67</v>
      </c>
      <c r="O135" t="s">
        <v>62</v>
      </c>
      <c r="P135" t="str">
        <f t="shared" si="5"/>
        <v>High Value</v>
      </c>
      <c r="Q135" t="str">
        <f>VLOOKUP(G135,Merchants!A:C,3,TRUE)</f>
        <v>Entertainment</v>
      </c>
    </row>
    <row r="136" spans="1:17" x14ac:dyDescent="0.3">
      <c r="A136" t="s">
        <v>452</v>
      </c>
      <c r="B136" s="2">
        <v>46279.124351851853</v>
      </c>
      <c r="C136" s="2" t="str">
        <f t="shared" si="4"/>
        <v>Sep-2026</v>
      </c>
      <c r="D136" t="s">
        <v>275</v>
      </c>
      <c r="E136" t="str">
        <f>VLOOKUP(D136,Customers!A:H,7,0)</f>
        <v>Student</v>
      </c>
      <c r="F136" t="s">
        <v>197</v>
      </c>
      <c r="G136" t="s">
        <v>189</v>
      </c>
      <c r="H136" t="str">
        <f>IFERROR(VLOOKUP(Transactions!G136,Merchants!A:B,2,FALSE),"Not Found")</f>
        <v>Quick Services</v>
      </c>
      <c r="I136" s="9">
        <v>50523.4</v>
      </c>
      <c r="J136" s="3">
        <v>151.57</v>
      </c>
      <c r="K136" t="s">
        <v>58</v>
      </c>
      <c r="L136" t="s">
        <v>73</v>
      </c>
      <c r="M136" t="s">
        <v>86</v>
      </c>
      <c r="N136" t="s">
        <v>67</v>
      </c>
      <c r="O136" t="s">
        <v>91</v>
      </c>
      <c r="P136" t="str">
        <f t="shared" si="5"/>
        <v>High Value</v>
      </c>
      <c r="Q136" t="str">
        <f>VLOOKUP(G136,Merchants!A:C,3,TRUE)</f>
        <v>Food &amp; Dining</v>
      </c>
    </row>
    <row r="137" spans="1:17" x14ac:dyDescent="0.3">
      <c r="A137" t="s">
        <v>453</v>
      </c>
      <c r="B137" s="2">
        <v>46253.878206018519</v>
      </c>
      <c r="C137" s="2" t="str">
        <f t="shared" si="4"/>
        <v>Aug-2026</v>
      </c>
      <c r="D137" t="s">
        <v>390</v>
      </c>
      <c r="E137" t="str">
        <f>VLOOKUP(D137,Customers!A:H,7,0)</f>
        <v>Student</v>
      </c>
      <c r="F137" t="s">
        <v>315</v>
      </c>
      <c r="G137" t="s">
        <v>347</v>
      </c>
      <c r="H137" t="str">
        <f>IFERROR(VLOOKUP(Transactions!G137,Merchants!A:B,2,FALSE),"Not Found")</f>
        <v>Nova Hub</v>
      </c>
      <c r="I137" s="9">
        <v>24367.55</v>
      </c>
      <c r="J137" s="3">
        <v>48.74</v>
      </c>
      <c r="K137" t="s">
        <v>133</v>
      </c>
      <c r="L137" t="s">
        <v>59</v>
      </c>
      <c r="M137" t="s">
        <v>74</v>
      </c>
      <c r="N137" t="s">
        <v>67</v>
      </c>
      <c r="O137" t="s">
        <v>81</v>
      </c>
      <c r="P137" t="str">
        <f t="shared" si="5"/>
        <v>High Value</v>
      </c>
      <c r="Q137" t="str">
        <f>VLOOKUP(G137,Merchants!A:C,3,TRUE)</f>
        <v>Fuel</v>
      </c>
    </row>
    <row r="138" spans="1:17" x14ac:dyDescent="0.3">
      <c r="A138" t="s">
        <v>454</v>
      </c>
      <c r="B138" s="2">
        <v>46059.338761574072</v>
      </c>
      <c r="C138" s="2" t="str">
        <f t="shared" si="4"/>
        <v>Feb-2026</v>
      </c>
      <c r="D138" t="s">
        <v>64</v>
      </c>
      <c r="E138" t="str">
        <f>VLOOKUP(D138,Customers!A:H,7,0)</f>
        <v>Student</v>
      </c>
      <c r="F138" t="s">
        <v>188</v>
      </c>
      <c r="G138" t="s">
        <v>150</v>
      </c>
      <c r="H138" t="str">
        <f>IFERROR(VLOOKUP(Transactions!G138,Merchants!A:B,2,FALSE),"Not Found")</f>
        <v>Nova Services</v>
      </c>
      <c r="I138" s="9">
        <v>53497.11</v>
      </c>
      <c r="J138" s="3">
        <v>267.49</v>
      </c>
      <c r="K138" t="s">
        <v>133</v>
      </c>
      <c r="L138" t="s">
        <v>59</v>
      </c>
      <c r="M138" t="s">
        <v>86</v>
      </c>
      <c r="N138" t="s">
        <v>61</v>
      </c>
      <c r="O138" t="s">
        <v>81</v>
      </c>
      <c r="P138" t="str">
        <f t="shared" si="5"/>
        <v>High Value</v>
      </c>
      <c r="Q138" t="str">
        <f>VLOOKUP(G138,Merchants!A:C,3,TRUE)</f>
        <v>Electronics</v>
      </c>
    </row>
    <row r="139" spans="1:17" x14ac:dyDescent="0.3">
      <c r="A139" t="s">
        <v>455</v>
      </c>
      <c r="B139" s="2">
        <v>46172.016064814823</v>
      </c>
      <c r="C139" s="2" t="str">
        <f t="shared" si="4"/>
        <v>May-2026</v>
      </c>
      <c r="D139" t="s">
        <v>77</v>
      </c>
      <c r="E139" t="str">
        <f>VLOOKUP(D139,Customers!A:H,7,0)</f>
        <v>Student</v>
      </c>
      <c r="F139" t="s">
        <v>456</v>
      </c>
      <c r="G139" t="s">
        <v>250</v>
      </c>
      <c r="H139" t="str">
        <f>IFERROR(VLOOKUP(Transactions!G139,Merchants!A:B,2,FALSE),"Not Found")</f>
        <v>Fresh Hub</v>
      </c>
      <c r="I139" s="9">
        <v>39794.44</v>
      </c>
      <c r="J139" s="3">
        <v>119.38</v>
      </c>
      <c r="K139" t="s">
        <v>90</v>
      </c>
      <c r="L139" t="s">
        <v>73</v>
      </c>
      <c r="M139" t="s">
        <v>111</v>
      </c>
      <c r="N139" t="s">
        <v>67</v>
      </c>
      <c r="O139" t="s">
        <v>75</v>
      </c>
      <c r="P139" t="str">
        <f t="shared" si="5"/>
        <v>High Value</v>
      </c>
      <c r="Q139" t="str">
        <f>VLOOKUP(G139,Merchants!A:C,3,TRUE)</f>
        <v>Healthcare</v>
      </c>
    </row>
    <row r="140" spans="1:17" x14ac:dyDescent="0.3">
      <c r="A140" t="s">
        <v>457</v>
      </c>
      <c r="B140" s="2">
        <v>46025.061307870368</v>
      </c>
      <c r="C140" s="2" t="str">
        <f t="shared" si="4"/>
        <v>Jan-2026</v>
      </c>
      <c r="D140" t="s">
        <v>352</v>
      </c>
      <c r="E140" t="str">
        <f>VLOOKUP(D140,Customers!A:H,7,0)</f>
        <v>Self-employed</v>
      </c>
      <c r="F140" t="s">
        <v>167</v>
      </c>
      <c r="G140" t="s">
        <v>322</v>
      </c>
      <c r="H140" t="str">
        <f>IFERROR(VLOOKUP(Transactions!G140,Merchants!A:B,2,FALSE),"Not Found")</f>
        <v>Metro Pay</v>
      </c>
      <c r="I140" s="9">
        <v>13207.27</v>
      </c>
      <c r="J140" s="3">
        <v>26.41</v>
      </c>
      <c r="K140" t="s">
        <v>58</v>
      </c>
      <c r="L140" t="s">
        <v>59</v>
      </c>
      <c r="M140" t="s">
        <v>111</v>
      </c>
      <c r="N140" t="s">
        <v>61</v>
      </c>
      <c r="O140" t="s">
        <v>75</v>
      </c>
      <c r="P140" t="str">
        <f t="shared" si="5"/>
        <v>High Value</v>
      </c>
      <c r="Q140" t="str">
        <f>VLOOKUP(G140,Merchants!A:C,3,TRUE)</f>
        <v>Grocery</v>
      </c>
    </row>
    <row r="141" spans="1:17" x14ac:dyDescent="0.3">
      <c r="A141" t="s">
        <v>458</v>
      </c>
      <c r="B141" s="2">
        <v>46138.689710648148</v>
      </c>
      <c r="C141" s="2" t="str">
        <f t="shared" si="4"/>
        <v>Apr-2026</v>
      </c>
      <c r="D141" t="s">
        <v>109</v>
      </c>
      <c r="E141" t="str">
        <f>VLOOKUP(D141,Customers!A:H,7,0)</f>
        <v>Salaried</v>
      </c>
      <c r="F141" t="s">
        <v>459</v>
      </c>
      <c r="G141" t="s">
        <v>233</v>
      </c>
      <c r="H141" t="str">
        <f>IFERROR(VLOOKUP(Transactions!G141,Merchants!A:B,2,FALSE),"Not Found")</f>
        <v>Urban Retail</v>
      </c>
      <c r="I141" s="9">
        <v>52904.959999999999</v>
      </c>
      <c r="J141" s="3">
        <v>264.52</v>
      </c>
      <c r="K141" t="s">
        <v>72</v>
      </c>
      <c r="L141" t="s">
        <v>59</v>
      </c>
      <c r="M141" t="s">
        <v>60</v>
      </c>
      <c r="N141" t="s">
        <v>67</v>
      </c>
      <c r="O141" t="s">
        <v>75</v>
      </c>
      <c r="P141" t="str">
        <f t="shared" si="5"/>
        <v>High Value</v>
      </c>
      <c r="Q141" t="str">
        <f>VLOOKUP(G141,Merchants!A:C,3,TRUE)</f>
        <v>Utilities</v>
      </c>
    </row>
    <row r="142" spans="1:17" x14ac:dyDescent="0.3">
      <c r="A142" t="s">
        <v>460</v>
      </c>
      <c r="B142" s="2">
        <v>46045.554166666669</v>
      </c>
      <c r="C142" s="2" t="str">
        <f t="shared" si="4"/>
        <v>Jan-2026</v>
      </c>
      <c r="D142" t="s">
        <v>461</v>
      </c>
      <c r="E142" t="str">
        <f>VLOOKUP(D142,Customers!A:H,7,0)</f>
        <v>Student</v>
      </c>
      <c r="F142" t="s">
        <v>462</v>
      </c>
      <c r="G142" t="s">
        <v>366</v>
      </c>
      <c r="H142" t="str">
        <f>IFERROR(VLOOKUP(Transactions!G142,Merchants!A:B,2,FALSE),"Not Found")</f>
        <v>Smart Pay</v>
      </c>
      <c r="I142" s="9">
        <v>35301.96</v>
      </c>
      <c r="J142" s="3">
        <v>70.599999999999994</v>
      </c>
      <c r="K142" t="s">
        <v>90</v>
      </c>
      <c r="L142" t="s">
        <v>73</v>
      </c>
      <c r="M142" t="s">
        <v>74</v>
      </c>
      <c r="N142" t="s">
        <v>61</v>
      </c>
      <c r="O142" t="s">
        <v>81</v>
      </c>
      <c r="P142" t="str">
        <f t="shared" si="5"/>
        <v>High Value</v>
      </c>
      <c r="Q142" t="str">
        <f>VLOOKUP(G142,Merchants!A:C,3,TRUE)</f>
        <v>Fashion</v>
      </c>
    </row>
    <row r="143" spans="1:17" x14ac:dyDescent="0.3">
      <c r="A143" t="s">
        <v>463</v>
      </c>
      <c r="B143" s="2">
        <v>46156.731377314813</v>
      </c>
      <c r="C143" s="2" t="str">
        <f t="shared" si="4"/>
        <v>May-2026</v>
      </c>
      <c r="D143" t="s">
        <v>113</v>
      </c>
      <c r="E143" t="str">
        <f>VLOOKUP(D143,Customers!A:H,7,0)</f>
        <v>Business Owner</v>
      </c>
      <c r="F143" t="s">
        <v>426</v>
      </c>
      <c r="G143" t="s">
        <v>322</v>
      </c>
      <c r="H143" t="str">
        <f>IFERROR(VLOOKUP(Transactions!G143,Merchants!A:B,2,FALSE),"Not Found")</f>
        <v>Metro Pay</v>
      </c>
      <c r="I143" s="9">
        <v>53241.599999999999</v>
      </c>
      <c r="J143" s="3">
        <v>159.72</v>
      </c>
      <c r="K143" t="s">
        <v>58</v>
      </c>
      <c r="L143" t="s">
        <v>59</v>
      </c>
      <c r="M143" t="s">
        <v>60</v>
      </c>
      <c r="N143" t="s">
        <v>67</v>
      </c>
      <c r="O143" t="s">
        <v>62</v>
      </c>
      <c r="P143" t="str">
        <f t="shared" si="5"/>
        <v>High Value</v>
      </c>
      <c r="Q143" t="str">
        <f>VLOOKUP(G143,Merchants!A:C,3,TRUE)</f>
        <v>Grocery</v>
      </c>
    </row>
    <row r="144" spans="1:17" x14ac:dyDescent="0.3">
      <c r="A144" t="s">
        <v>464</v>
      </c>
      <c r="B144" s="2">
        <v>45849.238715277781</v>
      </c>
      <c r="C144" s="2" t="str">
        <f t="shared" si="4"/>
        <v>Jul-2025</v>
      </c>
      <c r="D144" t="s">
        <v>261</v>
      </c>
      <c r="E144" t="str">
        <f>VLOOKUP(D144,Customers!A:H,7,0)</f>
        <v>Student</v>
      </c>
      <c r="F144" t="s">
        <v>344</v>
      </c>
      <c r="G144" t="s">
        <v>66</v>
      </c>
      <c r="H144" t="str">
        <f>IFERROR(VLOOKUP(Transactions!G144,Merchants!A:B,2,FALSE),"Not Found")</f>
        <v>Prime Digital</v>
      </c>
      <c r="I144" s="9">
        <v>21797.15</v>
      </c>
      <c r="J144" s="3">
        <v>43.59</v>
      </c>
      <c r="K144" t="s">
        <v>72</v>
      </c>
      <c r="L144" t="s">
        <v>80</v>
      </c>
      <c r="M144" t="s">
        <v>86</v>
      </c>
      <c r="N144" t="s">
        <v>61</v>
      </c>
      <c r="O144" t="s">
        <v>75</v>
      </c>
      <c r="P144" t="str">
        <f t="shared" si="5"/>
        <v>High Value</v>
      </c>
      <c r="Q144" t="str">
        <f>VLOOKUP(G144,Merchants!A:C,3,TRUE)</f>
        <v>Fuel</v>
      </c>
    </row>
    <row r="145" spans="1:17" x14ac:dyDescent="0.3">
      <c r="A145" t="s">
        <v>465</v>
      </c>
      <c r="B145" s="2">
        <v>46148.319641203707</v>
      </c>
      <c r="C145" s="2" t="str">
        <f t="shared" si="4"/>
        <v>May-2026</v>
      </c>
      <c r="D145" t="s">
        <v>466</v>
      </c>
      <c r="E145" t="str">
        <f>VLOOKUP(D145,Customers!A:H,7,0)</f>
        <v>Salaried</v>
      </c>
      <c r="F145" t="s">
        <v>467</v>
      </c>
      <c r="G145" t="s">
        <v>175</v>
      </c>
      <c r="H145" t="str">
        <f>IFERROR(VLOOKUP(Transactions!G145,Merchants!A:B,2,FALSE),"Not Found")</f>
        <v>Fresh Mart</v>
      </c>
      <c r="I145" s="9">
        <v>35488.370000000003</v>
      </c>
      <c r="J145" s="3">
        <v>354.88</v>
      </c>
      <c r="K145" t="s">
        <v>90</v>
      </c>
      <c r="L145" t="s">
        <v>80</v>
      </c>
      <c r="M145" t="s">
        <v>111</v>
      </c>
      <c r="N145" t="s">
        <v>67</v>
      </c>
      <c r="O145" t="s">
        <v>91</v>
      </c>
      <c r="P145" t="str">
        <f t="shared" si="5"/>
        <v>High Value</v>
      </c>
      <c r="Q145" t="str">
        <f>VLOOKUP(G145,Merchants!A:C,3,TRUE)</f>
        <v>Electronics</v>
      </c>
    </row>
    <row r="146" spans="1:17" x14ac:dyDescent="0.3">
      <c r="A146" t="s">
        <v>468</v>
      </c>
      <c r="B146" s="2">
        <v>46244.22278935185</v>
      </c>
      <c r="C146" s="2" t="str">
        <f t="shared" si="4"/>
        <v>Aug-2026</v>
      </c>
      <c r="D146" t="s">
        <v>461</v>
      </c>
      <c r="E146" t="str">
        <f>VLOOKUP(D146,Customers!A:H,7,0)</f>
        <v>Student</v>
      </c>
      <c r="F146" t="s">
        <v>469</v>
      </c>
      <c r="G146" t="s">
        <v>198</v>
      </c>
      <c r="H146" t="str">
        <f>IFERROR(VLOOKUP(Transactions!G146,Merchants!A:B,2,FALSE),"Not Found")</f>
        <v>Metro Services</v>
      </c>
      <c r="I146" s="9">
        <v>3449.13</v>
      </c>
      <c r="J146" s="3">
        <v>10.35</v>
      </c>
      <c r="K146" t="s">
        <v>133</v>
      </c>
      <c r="L146" t="s">
        <v>59</v>
      </c>
      <c r="M146" t="s">
        <v>86</v>
      </c>
      <c r="N146" t="s">
        <v>61</v>
      </c>
      <c r="O146" t="s">
        <v>91</v>
      </c>
      <c r="P146" t="str">
        <f t="shared" si="5"/>
        <v>High Value</v>
      </c>
      <c r="Q146" t="str">
        <f>VLOOKUP(G146,Merchants!A:C,3,TRUE)</f>
        <v>Travel</v>
      </c>
    </row>
    <row r="147" spans="1:17" x14ac:dyDescent="0.3">
      <c r="A147" t="s">
        <v>470</v>
      </c>
      <c r="B147" s="2">
        <v>45879.681446759263</v>
      </c>
      <c r="C147" s="2" t="str">
        <f t="shared" si="4"/>
        <v>Aug-2025</v>
      </c>
      <c r="D147" t="s">
        <v>448</v>
      </c>
      <c r="E147" t="str">
        <f>VLOOKUP(D147,Customers!A:H,7,0)</f>
        <v>Business Owner</v>
      </c>
      <c r="F147" t="s">
        <v>417</v>
      </c>
      <c r="G147" t="s">
        <v>66</v>
      </c>
      <c r="H147" t="str">
        <f>IFERROR(VLOOKUP(Transactions!G147,Merchants!A:B,2,FALSE),"Not Found")</f>
        <v>Prime Digital</v>
      </c>
      <c r="I147" s="9">
        <v>36430.9</v>
      </c>
      <c r="J147" s="3">
        <v>364.31</v>
      </c>
      <c r="K147" t="s">
        <v>133</v>
      </c>
      <c r="L147" t="s">
        <v>59</v>
      </c>
      <c r="M147" t="s">
        <v>111</v>
      </c>
      <c r="N147" t="s">
        <v>67</v>
      </c>
      <c r="O147" t="s">
        <v>81</v>
      </c>
      <c r="P147" t="str">
        <f t="shared" si="5"/>
        <v>High Value</v>
      </c>
      <c r="Q147" t="str">
        <f>VLOOKUP(G147,Merchants!A:C,3,TRUE)</f>
        <v>Fuel</v>
      </c>
    </row>
    <row r="148" spans="1:17" x14ac:dyDescent="0.3">
      <c r="A148" t="s">
        <v>471</v>
      </c>
      <c r="B148" s="2">
        <v>45829.519837962973</v>
      </c>
      <c r="C148" s="2" t="str">
        <f t="shared" si="4"/>
        <v>Jun-2025</v>
      </c>
      <c r="D148" t="s">
        <v>152</v>
      </c>
      <c r="E148" t="str">
        <f>VLOOKUP(D148,Customers!A:H,7,0)</f>
        <v>Salaried</v>
      </c>
      <c r="F148" t="s">
        <v>472</v>
      </c>
      <c r="G148" t="s">
        <v>366</v>
      </c>
      <c r="H148" t="str">
        <f>IFERROR(VLOOKUP(Transactions!G148,Merchants!A:B,2,FALSE),"Not Found")</f>
        <v>Smart Pay</v>
      </c>
      <c r="I148" s="9">
        <v>55348.88</v>
      </c>
      <c r="J148" s="3">
        <v>110.7</v>
      </c>
      <c r="K148" t="s">
        <v>90</v>
      </c>
      <c r="L148" t="s">
        <v>59</v>
      </c>
      <c r="M148" t="s">
        <v>86</v>
      </c>
      <c r="N148" t="s">
        <v>67</v>
      </c>
      <c r="O148" t="s">
        <v>62</v>
      </c>
      <c r="P148" t="str">
        <f t="shared" si="5"/>
        <v>High Value</v>
      </c>
      <c r="Q148" t="str">
        <f>VLOOKUP(G148,Merchants!A:C,3,TRUE)</f>
        <v>Fashion</v>
      </c>
    </row>
    <row r="149" spans="1:17" x14ac:dyDescent="0.3">
      <c r="A149" t="s">
        <v>473</v>
      </c>
      <c r="B149" s="2">
        <v>46193.765127314808</v>
      </c>
      <c r="C149" s="2" t="str">
        <f t="shared" si="4"/>
        <v>Jun-2026</v>
      </c>
      <c r="D149" t="s">
        <v>474</v>
      </c>
      <c r="E149" t="str">
        <f>VLOOKUP(D149,Customers!A:H,7,0)</f>
        <v>Self-employed</v>
      </c>
      <c r="F149" t="s">
        <v>475</v>
      </c>
      <c r="G149" t="s">
        <v>208</v>
      </c>
      <c r="H149" t="str">
        <f>IFERROR(VLOOKUP(Transactions!G149,Merchants!A:B,2,FALSE),"Not Found")</f>
        <v>Blue Retail</v>
      </c>
      <c r="I149" s="9">
        <v>41093.629999999997</v>
      </c>
      <c r="J149" s="3">
        <v>82.19</v>
      </c>
      <c r="K149" t="s">
        <v>133</v>
      </c>
      <c r="L149" t="s">
        <v>73</v>
      </c>
      <c r="M149" t="s">
        <v>86</v>
      </c>
      <c r="N149" t="s">
        <v>67</v>
      </c>
      <c r="O149" t="s">
        <v>91</v>
      </c>
      <c r="P149" t="str">
        <f t="shared" si="5"/>
        <v>High Value</v>
      </c>
      <c r="Q149" t="str">
        <f>VLOOKUP(G149,Merchants!A:C,3,TRUE)</f>
        <v>Healthcare</v>
      </c>
    </row>
    <row r="150" spans="1:17" x14ac:dyDescent="0.3">
      <c r="A150" t="s">
        <v>476</v>
      </c>
      <c r="B150" s="2">
        <v>46151.197708333333</v>
      </c>
      <c r="C150" s="2" t="str">
        <f t="shared" si="4"/>
        <v>May-2026</v>
      </c>
      <c r="D150" t="s">
        <v>477</v>
      </c>
      <c r="E150" t="str">
        <f>VLOOKUP(D150,Customers!A:H,7,0)</f>
        <v>Student</v>
      </c>
      <c r="F150" t="s">
        <v>253</v>
      </c>
      <c r="G150" t="s">
        <v>117</v>
      </c>
      <c r="H150" t="str">
        <f>IFERROR(VLOOKUP(Transactions!G150,Merchants!A:B,2,FALSE),"Not Found")</f>
        <v>Prime Pay</v>
      </c>
      <c r="I150" s="9">
        <v>54128.89</v>
      </c>
      <c r="J150" s="3">
        <v>108.26</v>
      </c>
      <c r="K150" t="s">
        <v>133</v>
      </c>
      <c r="L150" t="s">
        <v>59</v>
      </c>
      <c r="M150" t="s">
        <v>74</v>
      </c>
      <c r="N150" t="s">
        <v>61</v>
      </c>
      <c r="O150" t="s">
        <v>91</v>
      </c>
      <c r="P150" t="str">
        <f t="shared" si="5"/>
        <v>High Value</v>
      </c>
      <c r="Q150" t="str">
        <f>VLOOKUP(G150,Merchants!A:C,3,TRUE)</f>
        <v>Travel</v>
      </c>
    </row>
    <row r="151" spans="1:17" x14ac:dyDescent="0.3">
      <c r="A151" t="s">
        <v>478</v>
      </c>
      <c r="B151" s="2">
        <v>46200.650740740741</v>
      </c>
      <c r="C151" s="2" t="str">
        <f t="shared" si="4"/>
        <v>Jun-2026</v>
      </c>
      <c r="D151" t="s">
        <v>116</v>
      </c>
      <c r="E151" t="str">
        <f>VLOOKUP(D151,Customers!A:H,7,0)</f>
        <v>Business Owner</v>
      </c>
      <c r="F151" t="s">
        <v>479</v>
      </c>
      <c r="G151" t="s">
        <v>107</v>
      </c>
      <c r="H151" t="str">
        <f>IFERROR(VLOOKUP(Transactions!G151,Merchants!A:B,2,FALSE),"Not Found")</f>
        <v>Blue Services</v>
      </c>
      <c r="I151" s="9">
        <v>13846.23</v>
      </c>
      <c r="J151" s="3">
        <v>138.46</v>
      </c>
      <c r="K151" t="s">
        <v>133</v>
      </c>
      <c r="L151" t="s">
        <v>73</v>
      </c>
      <c r="M151" t="s">
        <v>86</v>
      </c>
      <c r="N151" t="s">
        <v>61</v>
      </c>
      <c r="O151" t="s">
        <v>62</v>
      </c>
      <c r="P151" t="str">
        <f t="shared" si="5"/>
        <v>High Value</v>
      </c>
      <c r="Q151" t="str">
        <f>VLOOKUP(G151,Merchants!A:C,3,TRUE)</f>
        <v>Travel</v>
      </c>
    </row>
    <row r="152" spans="1:17" x14ac:dyDescent="0.3">
      <c r="A152" t="s">
        <v>480</v>
      </c>
      <c r="B152" s="2">
        <v>45918.72383101852</v>
      </c>
      <c r="C152" s="2" t="str">
        <f t="shared" si="4"/>
        <v>Sep-2025</v>
      </c>
      <c r="D152" t="s">
        <v>481</v>
      </c>
      <c r="E152" t="str">
        <f>VLOOKUP(D152,Customers!A:H,7,0)</f>
        <v>Student</v>
      </c>
      <c r="F152" t="s">
        <v>482</v>
      </c>
      <c r="G152" t="s">
        <v>347</v>
      </c>
      <c r="H152" t="str">
        <f>IFERROR(VLOOKUP(Transactions!G152,Merchants!A:B,2,FALSE),"Not Found")</f>
        <v>Nova Hub</v>
      </c>
      <c r="I152" s="9">
        <v>45974.95</v>
      </c>
      <c r="J152" s="3">
        <v>91.95</v>
      </c>
      <c r="K152" t="s">
        <v>96</v>
      </c>
      <c r="L152" t="s">
        <v>157</v>
      </c>
      <c r="M152" t="s">
        <v>60</v>
      </c>
      <c r="N152" t="s">
        <v>67</v>
      </c>
      <c r="O152" t="s">
        <v>91</v>
      </c>
      <c r="P152" t="str">
        <f t="shared" si="5"/>
        <v>High Value</v>
      </c>
      <c r="Q152" t="str">
        <f>VLOOKUP(G152,Merchants!A:C,3,TRUE)</f>
        <v>Fuel</v>
      </c>
    </row>
    <row r="153" spans="1:17" x14ac:dyDescent="0.3">
      <c r="A153" t="s">
        <v>483</v>
      </c>
      <c r="B153" s="2">
        <v>45665.876817129632</v>
      </c>
      <c r="C153" s="2" t="str">
        <f t="shared" si="4"/>
        <v>Jan-2025</v>
      </c>
      <c r="D153" t="s">
        <v>484</v>
      </c>
      <c r="E153" t="str">
        <f>VLOOKUP(D153,Customers!A:H,7,0)</f>
        <v>Self-employed</v>
      </c>
      <c r="F153" t="s">
        <v>485</v>
      </c>
      <c r="G153" t="s">
        <v>107</v>
      </c>
      <c r="H153" t="str">
        <f>IFERROR(VLOOKUP(Transactions!G153,Merchants!A:B,2,FALSE),"Not Found")</f>
        <v>Blue Services</v>
      </c>
      <c r="I153" s="9">
        <v>31400.18</v>
      </c>
      <c r="J153" s="3">
        <v>314</v>
      </c>
      <c r="K153" t="s">
        <v>72</v>
      </c>
      <c r="L153" t="s">
        <v>59</v>
      </c>
      <c r="M153" t="s">
        <v>74</v>
      </c>
      <c r="N153" t="s">
        <v>61</v>
      </c>
      <c r="O153" t="s">
        <v>91</v>
      </c>
      <c r="P153" t="str">
        <f t="shared" si="5"/>
        <v>High Value</v>
      </c>
      <c r="Q153" t="str">
        <f>VLOOKUP(G153,Merchants!A:C,3,TRUE)</f>
        <v>Travel</v>
      </c>
    </row>
    <row r="154" spans="1:17" x14ac:dyDescent="0.3">
      <c r="A154" t="s">
        <v>486</v>
      </c>
      <c r="B154" s="2">
        <v>45816.646365740737</v>
      </c>
      <c r="C154" s="2" t="str">
        <f t="shared" si="4"/>
        <v>Jun-2025</v>
      </c>
      <c r="D154" t="s">
        <v>223</v>
      </c>
      <c r="E154" t="str">
        <f>VLOOKUP(D154,Customers!A:H,7,0)</f>
        <v>Business Owner</v>
      </c>
      <c r="F154" t="s">
        <v>487</v>
      </c>
      <c r="G154" t="s">
        <v>208</v>
      </c>
      <c r="H154" t="str">
        <f>IFERROR(VLOOKUP(Transactions!G154,Merchants!A:B,2,FALSE),"Not Found")</f>
        <v>Blue Retail</v>
      </c>
      <c r="I154" s="9">
        <v>39129.4</v>
      </c>
      <c r="J154" s="3">
        <v>391.29</v>
      </c>
      <c r="K154" t="s">
        <v>72</v>
      </c>
      <c r="L154" t="s">
        <v>59</v>
      </c>
      <c r="M154" t="s">
        <v>74</v>
      </c>
      <c r="N154" t="s">
        <v>67</v>
      </c>
      <c r="O154" t="s">
        <v>75</v>
      </c>
      <c r="P154" t="str">
        <f t="shared" si="5"/>
        <v>High Value</v>
      </c>
      <c r="Q154" t="str">
        <f>VLOOKUP(G154,Merchants!A:C,3,TRUE)</f>
        <v>Healthcare</v>
      </c>
    </row>
    <row r="155" spans="1:17" x14ac:dyDescent="0.3">
      <c r="A155" t="s">
        <v>488</v>
      </c>
      <c r="B155" s="2">
        <v>46223.845833333333</v>
      </c>
      <c r="C155" s="2" t="str">
        <f t="shared" si="4"/>
        <v>Jul-2026</v>
      </c>
      <c r="D155" t="s">
        <v>309</v>
      </c>
      <c r="E155" t="str">
        <f>VLOOKUP(D155,Customers!A:H,7,0)</f>
        <v>Self-employed</v>
      </c>
      <c r="F155" t="s">
        <v>489</v>
      </c>
      <c r="G155" t="s">
        <v>71</v>
      </c>
      <c r="H155" t="str">
        <f>IFERROR(VLOOKUP(Transactions!G155,Merchants!A:B,2,FALSE),"Not Found")</f>
        <v>Metro Pay</v>
      </c>
      <c r="I155" s="9">
        <v>28999.82</v>
      </c>
      <c r="J155" s="3">
        <v>290</v>
      </c>
      <c r="K155" t="s">
        <v>72</v>
      </c>
      <c r="L155" t="s">
        <v>59</v>
      </c>
      <c r="M155" t="s">
        <v>74</v>
      </c>
      <c r="N155" t="s">
        <v>67</v>
      </c>
      <c r="O155" t="s">
        <v>91</v>
      </c>
      <c r="P155" t="str">
        <f t="shared" si="5"/>
        <v>High Value</v>
      </c>
      <c r="Q155" t="str">
        <f>VLOOKUP(G155,Merchants!A:C,3,TRUE)</f>
        <v>Fashion</v>
      </c>
    </row>
    <row r="156" spans="1:17" x14ac:dyDescent="0.3">
      <c r="A156" t="s">
        <v>490</v>
      </c>
      <c r="B156" s="2">
        <v>45893.677499999998</v>
      </c>
      <c r="C156" s="2" t="str">
        <f t="shared" si="4"/>
        <v>Aug-2025</v>
      </c>
      <c r="D156" t="s">
        <v>491</v>
      </c>
      <c r="E156" t="str">
        <f>VLOOKUP(D156,Customers!A:H,7,0)</f>
        <v>Student</v>
      </c>
      <c r="F156" t="s">
        <v>492</v>
      </c>
      <c r="G156" t="s">
        <v>198</v>
      </c>
      <c r="H156" t="str">
        <f>IFERROR(VLOOKUP(Transactions!G156,Merchants!A:B,2,FALSE),"Not Found")</f>
        <v>Metro Services</v>
      </c>
      <c r="I156" s="9">
        <v>47008.24</v>
      </c>
      <c r="J156" s="3">
        <v>94.02</v>
      </c>
      <c r="K156" t="s">
        <v>72</v>
      </c>
      <c r="L156" t="s">
        <v>157</v>
      </c>
      <c r="M156" t="s">
        <v>86</v>
      </c>
      <c r="N156" t="s">
        <v>67</v>
      </c>
      <c r="O156" t="s">
        <v>75</v>
      </c>
      <c r="P156" t="str">
        <f t="shared" si="5"/>
        <v>High Value</v>
      </c>
      <c r="Q156" t="str">
        <f>VLOOKUP(G156,Merchants!A:C,3,TRUE)</f>
        <v>Travel</v>
      </c>
    </row>
    <row r="157" spans="1:17" x14ac:dyDescent="0.3">
      <c r="A157" t="s">
        <v>493</v>
      </c>
      <c r="B157" s="2">
        <v>45663.138182870367</v>
      </c>
      <c r="C157" s="2" t="str">
        <f t="shared" si="4"/>
        <v>Jan-2025</v>
      </c>
      <c r="D157" t="s">
        <v>379</v>
      </c>
      <c r="E157" t="str">
        <f>VLOOKUP(D157,Customers!A:H,7,0)</f>
        <v>Student</v>
      </c>
      <c r="F157" t="s">
        <v>494</v>
      </c>
      <c r="G157" t="s">
        <v>189</v>
      </c>
      <c r="H157" t="str">
        <f>IFERROR(VLOOKUP(Transactions!G157,Merchants!A:B,2,FALSE),"Not Found")</f>
        <v>Quick Services</v>
      </c>
      <c r="I157" s="9">
        <v>49413</v>
      </c>
      <c r="J157" s="3">
        <v>494.13</v>
      </c>
      <c r="K157" t="s">
        <v>90</v>
      </c>
      <c r="L157" t="s">
        <v>59</v>
      </c>
      <c r="M157" t="s">
        <v>60</v>
      </c>
      <c r="N157" t="s">
        <v>67</v>
      </c>
      <c r="O157" t="s">
        <v>91</v>
      </c>
      <c r="P157" t="str">
        <f t="shared" si="5"/>
        <v>High Value</v>
      </c>
      <c r="Q157" t="str">
        <f>VLOOKUP(G157,Merchants!A:C,3,TRUE)</f>
        <v>Food &amp; Dining</v>
      </c>
    </row>
    <row r="158" spans="1:17" x14ac:dyDescent="0.3">
      <c r="A158" t="s">
        <v>495</v>
      </c>
      <c r="B158" s="2">
        <v>46051.607789351852</v>
      </c>
      <c r="C158" s="2" t="str">
        <f t="shared" si="4"/>
        <v>Jan-2026</v>
      </c>
      <c r="D158" t="s">
        <v>289</v>
      </c>
      <c r="E158" t="str">
        <f>VLOOKUP(D158,Customers!A:H,7,0)</f>
        <v>Business Owner</v>
      </c>
      <c r="F158" t="s">
        <v>247</v>
      </c>
      <c r="G158" t="s">
        <v>318</v>
      </c>
      <c r="H158" t="str">
        <f>IFERROR(VLOOKUP(Transactions!G158,Merchants!A:B,2,FALSE),"Not Found")</f>
        <v>Urban Digital</v>
      </c>
      <c r="I158" s="9">
        <v>36876.54</v>
      </c>
      <c r="J158" s="3">
        <v>73.75</v>
      </c>
      <c r="K158" t="s">
        <v>96</v>
      </c>
      <c r="L158" t="s">
        <v>59</v>
      </c>
      <c r="M158" t="s">
        <v>86</v>
      </c>
      <c r="N158" t="s">
        <v>67</v>
      </c>
      <c r="O158" t="s">
        <v>81</v>
      </c>
      <c r="P158" t="str">
        <f t="shared" si="5"/>
        <v>High Value</v>
      </c>
      <c r="Q158" t="str">
        <f>VLOOKUP(G158,Merchants!A:C,3,TRUE)</f>
        <v>Utilities</v>
      </c>
    </row>
    <row r="159" spans="1:17" x14ac:dyDescent="0.3">
      <c r="A159" t="s">
        <v>496</v>
      </c>
      <c r="B159" s="2">
        <v>45857.050983796304</v>
      </c>
      <c r="C159" s="2" t="str">
        <f t="shared" si="4"/>
        <v>Jul-2025</v>
      </c>
      <c r="D159" t="s">
        <v>206</v>
      </c>
      <c r="E159" t="str">
        <f>VLOOKUP(D159,Customers!A:H,7,0)</f>
        <v>Business Owner</v>
      </c>
      <c r="F159" t="s">
        <v>497</v>
      </c>
      <c r="G159" t="s">
        <v>128</v>
      </c>
      <c r="H159" t="str">
        <f>IFERROR(VLOOKUP(Transactions!G159,Merchants!A:B,2,FALSE),"Not Found")</f>
        <v>Blue Foods</v>
      </c>
      <c r="I159" s="9">
        <v>47059.17</v>
      </c>
      <c r="J159" s="3">
        <v>141.18</v>
      </c>
      <c r="K159" t="s">
        <v>58</v>
      </c>
      <c r="L159" t="s">
        <v>59</v>
      </c>
      <c r="M159" t="s">
        <v>60</v>
      </c>
      <c r="N159" t="s">
        <v>67</v>
      </c>
      <c r="O159" t="s">
        <v>91</v>
      </c>
      <c r="P159" t="str">
        <f t="shared" si="5"/>
        <v>High Value</v>
      </c>
      <c r="Q159" t="str">
        <f>VLOOKUP(G159,Merchants!A:C,3,TRUE)</f>
        <v>Food &amp; Dining</v>
      </c>
    </row>
    <row r="160" spans="1:17" x14ac:dyDescent="0.3">
      <c r="A160" t="s">
        <v>498</v>
      </c>
      <c r="B160" s="2">
        <v>45819.131736111107</v>
      </c>
      <c r="C160" s="2" t="str">
        <f t="shared" si="4"/>
        <v>Jun-2025</v>
      </c>
      <c r="D160" t="s">
        <v>246</v>
      </c>
      <c r="E160" t="str">
        <f>VLOOKUP(D160,Customers!A:H,7,0)</f>
        <v>Student</v>
      </c>
      <c r="F160" t="s">
        <v>499</v>
      </c>
      <c r="G160" t="s">
        <v>198</v>
      </c>
      <c r="H160" t="str">
        <f>IFERROR(VLOOKUP(Transactions!G160,Merchants!A:B,2,FALSE),"Not Found")</f>
        <v>Metro Services</v>
      </c>
      <c r="I160" s="9">
        <v>59809.35</v>
      </c>
      <c r="J160" s="3">
        <v>299.05</v>
      </c>
      <c r="K160" t="s">
        <v>133</v>
      </c>
      <c r="L160" t="s">
        <v>80</v>
      </c>
      <c r="M160" t="s">
        <v>111</v>
      </c>
      <c r="N160" t="s">
        <v>67</v>
      </c>
      <c r="O160" t="s">
        <v>91</v>
      </c>
      <c r="P160" t="str">
        <f t="shared" si="5"/>
        <v>High Value</v>
      </c>
      <c r="Q160" t="str">
        <f>VLOOKUP(G160,Merchants!A:C,3,TRUE)</f>
        <v>Travel</v>
      </c>
    </row>
    <row r="161" spans="1:17" x14ac:dyDescent="0.3">
      <c r="A161" t="s">
        <v>500</v>
      </c>
      <c r="B161" s="2">
        <v>45750.833749999998</v>
      </c>
      <c r="C161" s="2" t="str">
        <f t="shared" si="4"/>
        <v>Apr-2025</v>
      </c>
      <c r="D161" t="s">
        <v>501</v>
      </c>
      <c r="E161" t="str">
        <f>VLOOKUP(D161,Customers!A:H,7,0)</f>
        <v>Salaried</v>
      </c>
      <c r="F161" t="s">
        <v>65</v>
      </c>
      <c r="G161" t="s">
        <v>79</v>
      </c>
      <c r="H161" t="str">
        <f>IFERROR(VLOOKUP(Transactions!G161,Merchants!A:B,2,FALSE),"Not Found")</f>
        <v>Nova Retail</v>
      </c>
      <c r="I161" s="9">
        <v>17141.18</v>
      </c>
      <c r="J161" s="3">
        <v>85.71</v>
      </c>
      <c r="K161" t="s">
        <v>90</v>
      </c>
      <c r="L161" t="s">
        <v>73</v>
      </c>
      <c r="M161" t="s">
        <v>111</v>
      </c>
      <c r="N161" t="s">
        <v>61</v>
      </c>
      <c r="O161" t="s">
        <v>75</v>
      </c>
      <c r="P161" t="str">
        <f t="shared" si="5"/>
        <v>High Value</v>
      </c>
      <c r="Q161" t="str">
        <f>VLOOKUP(G161,Merchants!A:C,3,TRUE)</f>
        <v>Grocery</v>
      </c>
    </row>
    <row r="162" spans="1:17" x14ac:dyDescent="0.3">
      <c r="A162" t="s">
        <v>502</v>
      </c>
      <c r="B162" s="2">
        <v>46246.007048611107</v>
      </c>
      <c r="C162" s="2" t="str">
        <f t="shared" si="4"/>
        <v>Aug-2026</v>
      </c>
      <c r="D162" t="s">
        <v>503</v>
      </c>
      <c r="E162" t="str">
        <f>VLOOKUP(D162,Customers!A:H,7,0)</f>
        <v>Self-employed</v>
      </c>
      <c r="F162" t="s">
        <v>432</v>
      </c>
      <c r="G162" t="s">
        <v>150</v>
      </c>
      <c r="H162" t="str">
        <f>IFERROR(VLOOKUP(Transactions!G162,Merchants!A:B,2,FALSE),"Not Found")</f>
        <v>Nova Services</v>
      </c>
      <c r="I162" s="9">
        <v>15740.34</v>
      </c>
      <c r="J162" s="3">
        <v>31.48</v>
      </c>
      <c r="K162" t="s">
        <v>72</v>
      </c>
      <c r="L162" t="s">
        <v>59</v>
      </c>
      <c r="M162" t="s">
        <v>60</v>
      </c>
      <c r="N162" t="s">
        <v>67</v>
      </c>
      <c r="O162" t="s">
        <v>81</v>
      </c>
      <c r="P162" t="str">
        <f t="shared" si="5"/>
        <v>High Value</v>
      </c>
      <c r="Q162" t="str">
        <f>VLOOKUP(G162,Merchants!A:C,3,TRUE)</f>
        <v>Electronics</v>
      </c>
    </row>
    <row r="163" spans="1:17" x14ac:dyDescent="0.3">
      <c r="A163" t="s">
        <v>504</v>
      </c>
      <c r="B163" s="2">
        <v>46208.872129629628</v>
      </c>
      <c r="C163" s="2" t="str">
        <f t="shared" si="4"/>
        <v>Jul-2026</v>
      </c>
      <c r="D163" t="s">
        <v>223</v>
      </c>
      <c r="E163" t="str">
        <f>VLOOKUP(D163,Customers!A:H,7,0)</f>
        <v>Business Owner</v>
      </c>
      <c r="F163" t="s">
        <v>505</v>
      </c>
      <c r="G163" t="s">
        <v>192</v>
      </c>
      <c r="H163" t="str">
        <f>IFERROR(VLOOKUP(Transactions!G163,Merchants!A:B,2,FALSE),"Not Found")</f>
        <v>Blue Foods</v>
      </c>
      <c r="I163" s="9">
        <v>15083.48</v>
      </c>
      <c r="J163" s="3">
        <v>150.83000000000001</v>
      </c>
      <c r="K163" t="s">
        <v>72</v>
      </c>
      <c r="L163" t="s">
        <v>59</v>
      </c>
      <c r="M163" t="s">
        <v>74</v>
      </c>
      <c r="N163" t="s">
        <v>61</v>
      </c>
      <c r="O163" t="s">
        <v>91</v>
      </c>
      <c r="P163" t="str">
        <f t="shared" si="5"/>
        <v>High Value</v>
      </c>
      <c r="Q163" t="str">
        <f>VLOOKUP(G163,Merchants!A:C,3,TRUE)</f>
        <v>Travel</v>
      </c>
    </row>
    <row r="164" spans="1:17" x14ac:dyDescent="0.3">
      <c r="A164" t="s">
        <v>506</v>
      </c>
      <c r="B164" s="2">
        <v>46151.176377314812</v>
      </c>
      <c r="C164" s="2" t="str">
        <f t="shared" si="4"/>
        <v>May-2026</v>
      </c>
      <c r="D164" t="s">
        <v>477</v>
      </c>
      <c r="E164" t="str">
        <f>VLOOKUP(D164,Customers!A:H,7,0)</f>
        <v>Student</v>
      </c>
      <c r="F164" t="s">
        <v>396</v>
      </c>
      <c r="G164" t="s">
        <v>322</v>
      </c>
      <c r="H164" t="str">
        <f>IFERROR(VLOOKUP(Transactions!G164,Merchants!A:B,2,FALSE),"Not Found")</f>
        <v>Metro Pay</v>
      </c>
      <c r="I164" s="9">
        <v>15543.4</v>
      </c>
      <c r="J164" s="3">
        <v>46.63</v>
      </c>
      <c r="K164" t="s">
        <v>72</v>
      </c>
      <c r="L164" t="s">
        <v>59</v>
      </c>
      <c r="M164" t="s">
        <v>74</v>
      </c>
      <c r="N164" t="s">
        <v>61</v>
      </c>
      <c r="O164" t="s">
        <v>91</v>
      </c>
      <c r="P164" t="str">
        <f t="shared" si="5"/>
        <v>High Value</v>
      </c>
      <c r="Q164" t="str">
        <f>VLOOKUP(G164,Merchants!A:C,3,TRUE)</f>
        <v>Grocery</v>
      </c>
    </row>
    <row r="165" spans="1:17" x14ac:dyDescent="0.3">
      <c r="A165" t="s">
        <v>507</v>
      </c>
      <c r="B165" s="2">
        <v>45927.376608796287</v>
      </c>
      <c r="C165" s="2" t="str">
        <f t="shared" si="4"/>
        <v>Sep-2025</v>
      </c>
      <c r="D165" t="s">
        <v>177</v>
      </c>
      <c r="E165" t="str">
        <f>VLOOKUP(D165,Customers!A:H,7,0)</f>
        <v>Self-employed</v>
      </c>
      <c r="F165" t="s">
        <v>155</v>
      </c>
      <c r="G165" t="s">
        <v>215</v>
      </c>
      <c r="H165" t="str">
        <f>IFERROR(VLOOKUP(Transactions!G165,Merchants!A:B,2,FALSE),"Not Found")</f>
        <v>Daily Hub</v>
      </c>
      <c r="I165" s="9">
        <v>17308.650000000001</v>
      </c>
      <c r="J165" s="3">
        <v>86.54</v>
      </c>
      <c r="K165" t="s">
        <v>96</v>
      </c>
      <c r="L165" t="s">
        <v>59</v>
      </c>
      <c r="M165" t="s">
        <v>60</v>
      </c>
      <c r="N165" t="s">
        <v>61</v>
      </c>
      <c r="O165" t="s">
        <v>62</v>
      </c>
      <c r="P165" t="str">
        <f t="shared" si="5"/>
        <v>High Value</v>
      </c>
      <c r="Q165" t="str">
        <f>VLOOKUP(G165,Merchants!A:C,3,TRUE)</f>
        <v>Fashion</v>
      </c>
    </row>
    <row r="166" spans="1:17" x14ac:dyDescent="0.3">
      <c r="A166" t="s">
        <v>508</v>
      </c>
      <c r="B166" s="2">
        <v>46245.408194444448</v>
      </c>
      <c r="C166" s="2" t="str">
        <f t="shared" si="4"/>
        <v>Aug-2026</v>
      </c>
      <c r="D166" t="s">
        <v>148</v>
      </c>
      <c r="E166" t="str">
        <f>VLOOKUP(D166,Customers!A:H,7,0)</f>
        <v>Salaried</v>
      </c>
      <c r="F166" t="s">
        <v>509</v>
      </c>
      <c r="G166" t="s">
        <v>225</v>
      </c>
      <c r="H166" t="str">
        <f>IFERROR(VLOOKUP(Transactions!G166,Merchants!A:B,2,FALSE),"Not Found")</f>
        <v>Quick Retail</v>
      </c>
      <c r="I166" s="9">
        <v>11048.79</v>
      </c>
      <c r="J166" s="3">
        <v>33.15</v>
      </c>
      <c r="K166" t="s">
        <v>90</v>
      </c>
      <c r="L166" t="s">
        <v>80</v>
      </c>
      <c r="M166" t="s">
        <v>111</v>
      </c>
      <c r="N166" t="s">
        <v>61</v>
      </c>
      <c r="O166" t="s">
        <v>62</v>
      </c>
      <c r="P166" t="str">
        <f t="shared" si="5"/>
        <v>High Value</v>
      </c>
      <c r="Q166" t="str">
        <f>VLOOKUP(G166,Merchants!A:C,3,TRUE)</f>
        <v>Grocery</v>
      </c>
    </row>
    <row r="167" spans="1:17" x14ac:dyDescent="0.3">
      <c r="A167" t="s">
        <v>510</v>
      </c>
      <c r="B167" s="2">
        <v>45892.307604166657</v>
      </c>
      <c r="C167" s="2" t="str">
        <f t="shared" si="4"/>
        <v>Aug-2025</v>
      </c>
      <c r="D167" t="s">
        <v>184</v>
      </c>
      <c r="E167" t="str">
        <f>VLOOKUP(D167,Customers!A:H,7,0)</f>
        <v>Salaried</v>
      </c>
      <c r="F167" t="s">
        <v>511</v>
      </c>
      <c r="G167" t="s">
        <v>244</v>
      </c>
      <c r="H167" t="str">
        <f>IFERROR(VLOOKUP(Transactions!G167,Merchants!A:B,2,FALSE),"Not Found")</f>
        <v>Blue Hub</v>
      </c>
      <c r="I167" s="9">
        <v>50112.93</v>
      </c>
      <c r="J167" s="3">
        <v>250.56</v>
      </c>
      <c r="K167" t="s">
        <v>58</v>
      </c>
      <c r="L167" t="s">
        <v>73</v>
      </c>
      <c r="M167" t="s">
        <v>86</v>
      </c>
      <c r="N167" t="s">
        <v>61</v>
      </c>
      <c r="O167" t="s">
        <v>91</v>
      </c>
      <c r="P167" t="str">
        <f t="shared" si="5"/>
        <v>High Value</v>
      </c>
      <c r="Q167" t="str">
        <f>VLOOKUP(G167,Merchants!A:C,3,TRUE)</f>
        <v>Healthcare</v>
      </c>
    </row>
    <row r="168" spans="1:17" x14ac:dyDescent="0.3">
      <c r="A168" t="s">
        <v>512</v>
      </c>
      <c r="B168" s="2">
        <v>46212.064108796287</v>
      </c>
      <c r="C168" s="2" t="str">
        <f t="shared" si="4"/>
        <v>Jul-2026</v>
      </c>
      <c r="D168" t="s">
        <v>122</v>
      </c>
      <c r="E168" t="str">
        <f>VLOOKUP(D168,Customers!A:H,7,0)</f>
        <v>Self-employed</v>
      </c>
      <c r="F168" t="s">
        <v>513</v>
      </c>
      <c r="G168" t="s">
        <v>71</v>
      </c>
      <c r="H168" t="str">
        <f>IFERROR(VLOOKUP(Transactions!G168,Merchants!A:B,2,FALSE),"Not Found")</f>
        <v>Metro Pay</v>
      </c>
      <c r="I168" s="9">
        <v>50895.83</v>
      </c>
      <c r="J168" s="3">
        <v>254.48</v>
      </c>
      <c r="K168" t="s">
        <v>72</v>
      </c>
      <c r="L168" t="s">
        <v>59</v>
      </c>
      <c r="M168" t="s">
        <v>74</v>
      </c>
      <c r="N168" t="s">
        <v>67</v>
      </c>
      <c r="O168" t="s">
        <v>81</v>
      </c>
      <c r="P168" t="str">
        <f t="shared" si="5"/>
        <v>High Value</v>
      </c>
      <c r="Q168" t="str">
        <f>VLOOKUP(G168,Merchants!A:C,3,TRUE)</f>
        <v>Fashion</v>
      </c>
    </row>
    <row r="169" spans="1:17" x14ac:dyDescent="0.3">
      <c r="A169" t="s">
        <v>514</v>
      </c>
      <c r="B169" s="2">
        <v>46065.336921296293</v>
      </c>
      <c r="C169" s="2" t="str">
        <f t="shared" si="4"/>
        <v>Feb-2026</v>
      </c>
      <c r="D169" t="s">
        <v>515</v>
      </c>
      <c r="E169" t="str">
        <f>VLOOKUP(D169,Customers!A:H,7,0)</f>
        <v>Business Owner</v>
      </c>
      <c r="F169" t="s">
        <v>516</v>
      </c>
      <c r="G169" t="s">
        <v>347</v>
      </c>
      <c r="H169" t="str">
        <f>IFERROR(VLOOKUP(Transactions!G169,Merchants!A:B,2,FALSE),"Not Found")</f>
        <v>Nova Hub</v>
      </c>
      <c r="I169" s="9">
        <v>45035.15</v>
      </c>
      <c r="J169" s="3">
        <v>450.35</v>
      </c>
      <c r="K169" t="s">
        <v>58</v>
      </c>
      <c r="L169" t="s">
        <v>59</v>
      </c>
      <c r="M169" t="s">
        <v>60</v>
      </c>
      <c r="N169" t="s">
        <v>61</v>
      </c>
      <c r="O169" t="s">
        <v>62</v>
      </c>
      <c r="P169" t="str">
        <f t="shared" si="5"/>
        <v>High Value</v>
      </c>
      <c r="Q169" t="str">
        <f>VLOOKUP(G169,Merchants!A:C,3,TRUE)</f>
        <v>Fuel</v>
      </c>
    </row>
    <row r="170" spans="1:17" x14ac:dyDescent="0.3">
      <c r="A170" t="s">
        <v>517</v>
      </c>
      <c r="B170" s="2">
        <v>46126.182592592602</v>
      </c>
      <c r="C170" s="2" t="str">
        <f t="shared" si="4"/>
        <v>Apr-2026</v>
      </c>
      <c r="D170" t="s">
        <v>338</v>
      </c>
      <c r="E170" t="str">
        <f>VLOOKUP(D170,Customers!A:H,7,0)</f>
        <v>Student</v>
      </c>
      <c r="F170" t="s">
        <v>518</v>
      </c>
      <c r="G170" t="s">
        <v>57</v>
      </c>
      <c r="H170" t="str">
        <f>IFERROR(VLOOKUP(Transactions!G170,Merchants!A:B,2,FALSE),"Not Found")</f>
        <v>Daily Stores</v>
      </c>
      <c r="I170" s="9">
        <v>41924.85</v>
      </c>
      <c r="J170" s="3">
        <v>83.85</v>
      </c>
      <c r="K170" t="s">
        <v>96</v>
      </c>
      <c r="L170" t="s">
        <v>59</v>
      </c>
      <c r="M170" t="s">
        <v>86</v>
      </c>
      <c r="N170" t="s">
        <v>61</v>
      </c>
      <c r="O170" t="s">
        <v>81</v>
      </c>
      <c r="P170" t="str">
        <f t="shared" si="5"/>
        <v>High Value</v>
      </c>
      <c r="Q170" t="str">
        <f>VLOOKUP(G170,Merchants!A:C,3,TRUE)</f>
        <v>Travel</v>
      </c>
    </row>
    <row r="171" spans="1:17" x14ac:dyDescent="0.3">
      <c r="A171" t="s">
        <v>519</v>
      </c>
      <c r="B171" s="2">
        <v>46285.393969907411</v>
      </c>
      <c r="C171" s="2" t="str">
        <f t="shared" si="4"/>
        <v>Sep-2026</v>
      </c>
      <c r="D171" t="s">
        <v>324</v>
      </c>
      <c r="E171" t="str">
        <f>VLOOKUP(D171,Customers!A:H,7,0)</f>
        <v>Business Owner</v>
      </c>
      <c r="F171" t="s">
        <v>469</v>
      </c>
      <c r="G171" t="s">
        <v>208</v>
      </c>
      <c r="H171" t="str">
        <f>IFERROR(VLOOKUP(Transactions!G171,Merchants!A:B,2,FALSE),"Not Found")</f>
        <v>Blue Retail</v>
      </c>
      <c r="I171" s="9">
        <v>11310.43</v>
      </c>
      <c r="J171" s="3">
        <v>56.55</v>
      </c>
      <c r="K171" t="s">
        <v>72</v>
      </c>
      <c r="L171" t="s">
        <v>59</v>
      </c>
      <c r="M171" t="s">
        <v>60</v>
      </c>
      <c r="N171" t="s">
        <v>67</v>
      </c>
      <c r="O171" t="s">
        <v>75</v>
      </c>
      <c r="P171" t="str">
        <f t="shared" si="5"/>
        <v>High Value</v>
      </c>
      <c r="Q171" t="str">
        <f>VLOOKUP(G171,Merchants!A:C,3,TRUE)</f>
        <v>Healthcare</v>
      </c>
    </row>
    <row r="172" spans="1:17" x14ac:dyDescent="0.3">
      <c r="A172" t="s">
        <v>520</v>
      </c>
      <c r="B172" s="2">
        <v>46092.319374999999</v>
      </c>
      <c r="C172" s="2" t="str">
        <f t="shared" si="4"/>
        <v>Mar-2026</v>
      </c>
      <c r="D172" t="s">
        <v>521</v>
      </c>
      <c r="E172" t="str">
        <f>VLOOKUP(D172,Customers!A:H,7,0)</f>
        <v>Self-employed</v>
      </c>
      <c r="F172" t="s">
        <v>522</v>
      </c>
      <c r="G172" t="s">
        <v>250</v>
      </c>
      <c r="H172" t="str">
        <f>IFERROR(VLOOKUP(Transactions!G172,Merchants!A:B,2,FALSE),"Not Found")</f>
        <v>Fresh Hub</v>
      </c>
      <c r="I172" s="9">
        <v>25203.67</v>
      </c>
      <c r="J172" s="3">
        <v>126.02</v>
      </c>
      <c r="K172" t="s">
        <v>90</v>
      </c>
      <c r="L172" t="s">
        <v>80</v>
      </c>
      <c r="M172" t="s">
        <v>111</v>
      </c>
      <c r="N172" t="s">
        <v>67</v>
      </c>
      <c r="O172" t="s">
        <v>91</v>
      </c>
      <c r="P172" t="str">
        <f t="shared" si="5"/>
        <v>High Value</v>
      </c>
      <c r="Q172" t="str">
        <f>VLOOKUP(G172,Merchants!A:C,3,TRUE)</f>
        <v>Healthcare</v>
      </c>
    </row>
    <row r="173" spans="1:17" x14ac:dyDescent="0.3">
      <c r="A173" t="s">
        <v>523</v>
      </c>
      <c r="B173" s="2">
        <v>45934.357719907413</v>
      </c>
      <c r="C173" s="2" t="str">
        <f t="shared" si="4"/>
        <v>Oct-2025</v>
      </c>
      <c r="D173" t="s">
        <v>524</v>
      </c>
      <c r="E173" t="str">
        <f>VLOOKUP(D173,Customers!A:H,7,0)</f>
        <v>Salaried</v>
      </c>
      <c r="F173" t="s">
        <v>525</v>
      </c>
      <c r="G173" t="s">
        <v>413</v>
      </c>
      <c r="H173" t="str">
        <f>IFERROR(VLOOKUP(Transactions!G173,Merchants!A:B,2,FALSE),"Not Found")</f>
        <v>Blue Hub</v>
      </c>
      <c r="I173" s="9">
        <v>33364.870000000003</v>
      </c>
      <c r="J173" s="3">
        <v>100.09</v>
      </c>
      <c r="K173" t="s">
        <v>96</v>
      </c>
      <c r="L173" t="s">
        <v>73</v>
      </c>
      <c r="M173" t="s">
        <v>86</v>
      </c>
      <c r="N173" t="s">
        <v>67</v>
      </c>
      <c r="O173" t="s">
        <v>75</v>
      </c>
      <c r="P173" t="str">
        <f t="shared" si="5"/>
        <v>High Value</v>
      </c>
      <c r="Q173" t="str">
        <f>VLOOKUP(G173,Merchants!A:C,3,TRUE)</f>
        <v>Utilities</v>
      </c>
    </row>
    <row r="174" spans="1:17" x14ac:dyDescent="0.3">
      <c r="A174" t="s">
        <v>526</v>
      </c>
      <c r="B174" s="2">
        <v>46169.203993055547</v>
      </c>
      <c r="C174" s="2" t="str">
        <f t="shared" si="4"/>
        <v>May-2026</v>
      </c>
      <c r="D174" t="s">
        <v>527</v>
      </c>
      <c r="E174" t="str">
        <f>VLOOKUP(D174,Customers!A:H,7,0)</f>
        <v>Student</v>
      </c>
      <c r="F174" t="s">
        <v>528</v>
      </c>
      <c r="G174" t="s">
        <v>189</v>
      </c>
      <c r="H174" t="str">
        <f>IFERROR(VLOOKUP(Transactions!G174,Merchants!A:B,2,FALSE),"Not Found")</f>
        <v>Quick Services</v>
      </c>
      <c r="I174" s="9">
        <v>59734.15</v>
      </c>
      <c r="J174" s="3">
        <v>298.67</v>
      </c>
      <c r="K174" t="s">
        <v>133</v>
      </c>
      <c r="L174" t="s">
        <v>73</v>
      </c>
      <c r="M174" t="s">
        <v>86</v>
      </c>
      <c r="N174" t="s">
        <v>61</v>
      </c>
      <c r="O174" t="s">
        <v>91</v>
      </c>
      <c r="P174" t="str">
        <f t="shared" si="5"/>
        <v>High Value</v>
      </c>
      <c r="Q174" t="str">
        <f>VLOOKUP(G174,Merchants!A:C,3,TRUE)</f>
        <v>Food &amp; Dining</v>
      </c>
    </row>
    <row r="175" spans="1:17" x14ac:dyDescent="0.3">
      <c r="A175" t="s">
        <v>529</v>
      </c>
      <c r="B175" s="2">
        <v>45825.09107638889</v>
      </c>
      <c r="C175" s="2" t="str">
        <f t="shared" si="4"/>
        <v>Jun-2025</v>
      </c>
      <c r="D175" t="s">
        <v>530</v>
      </c>
      <c r="E175" t="str">
        <f>VLOOKUP(D175,Customers!A:H,7,0)</f>
        <v>Business Owner</v>
      </c>
      <c r="F175" t="s">
        <v>531</v>
      </c>
      <c r="G175" t="s">
        <v>201</v>
      </c>
      <c r="H175" t="str">
        <f>IFERROR(VLOOKUP(Transactions!G175,Merchants!A:B,2,FALSE),"Not Found")</f>
        <v>Urban Stores</v>
      </c>
      <c r="I175" s="9">
        <v>13006.49</v>
      </c>
      <c r="J175" s="3">
        <v>26.01</v>
      </c>
      <c r="K175" t="s">
        <v>72</v>
      </c>
      <c r="L175" t="s">
        <v>59</v>
      </c>
      <c r="M175" t="s">
        <v>60</v>
      </c>
      <c r="N175" t="s">
        <v>61</v>
      </c>
      <c r="O175" t="s">
        <v>81</v>
      </c>
      <c r="P175" t="str">
        <f t="shared" si="5"/>
        <v>High Value</v>
      </c>
      <c r="Q175" t="str">
        <f>VLOOKUP(G175,Merchants!A:C,3,TRUE)</f>
        <v>Entertainment</v>
      </c>
    </row>
    <row r="176" spans="1:17" x14ac:dyDescent="0.3">
      <c r="A176" t="s">
        <v>532</v>
      </c>
      <c r="B176" s="2">
        <v>46010.030081018522</v>
      </c>
      <c r="C176" s="2" t="str">
        <f t="shared" si="4"/>
        <v>Dec-2025</v>
      </c>
      <c r="D176" t="s">
        <v>252</v>
      </c>
      <c r="E176" t="str">
        <f>VLOOKUP(D176,Customers!A:H,7,0)</f>
        <v>Business Owner</v>
      </c>
      <c r="F176" t="s">
        <v>533</v>
      </c>
      <c r="G176" t="s">
        <v>156</v>
      </c>
      <c r="H176" t="str">
        <f>IFERROR(VLOOKUP(Transactions!G176,Merchants!A:B,2,FALSE),"Not Found")</f>
        <v>Blue Digital</v>
      </c>
      <c r="I176" s="9">
        <v>24764.48</v>
      </c>
      <c r="J176" s="3">
        <v>74.290000000000006</v>
      </c>
      <c r="K176" t="s">
        <v>133</v>
      </c>
      <c r="L176" t="s">
        <v>59</v>
      </c>
      <c r="M176" t="s">
        <v>111</v>
      </c>
      <c r="N176" t="s">
        <v>61</v>
      </c>
      <c r="O176" t="s">
        <v>81</v>
      </c>
      <c r="P176" t="str">
        <f t="shared" si="5"/>
        <v>High Value</v>
      </c>
      <c r="Q176" t="str">
        <f>VLOOKUP(G176,Merchants!A:C,3,TRUE)</f>
        <v>Electronics</v>
      </c>
    </row>
    <row r="177" spans="1:17" x14ac:dyDescent="0.3">
      <c r="A177" t="s">
        <v>534</v>
      </c>
      <c r="B177" s="2">
        <v>45990.774351851847</v>
      </c>
      <c r="C177" s="2" t="str">
        <f t="shared" si="4"/>
        <v>Nov-2025</v>
      </c>
      <c r="D177" t="s">
        <v>270</v>
      </c>
      <c r="E177" t="str">
        <f>VLOOKUP(D177,Customers!A:H,7,0)</f>
        <v>Business Owner</v>
      </c>
      <c r="F177" t="s">
        <v>336</v>
      </c>
      <c r="G177" t="s">
        <v>132</v>
      </c>
      <c r="H177" t="str">
        <f>IFERROR(VLOOKUP(Transactions!G177,Merchants!A:B,2,FALSE),"Not Found")</f>
        <v>Metro Retail</v>
      </c>
      <c r="I177" s="9">
        <v>29300.880000000001</v>
      </c>
      <c r="J177" s="3">
        <v>58.6</v>
      </c>
      <c r="K177" t="s">
        <v>96</v>
      </c>
      <c r="L177" t="s">
        <v>80</v>
      </c>
      <c r="M177" t="s">
        <v>111</v>
      </c>
      <c r="N177" t="s">
        <v>67</v>
      </c>
      <c r="O177" t="s">
        <v>81</v>
      </c>
      <c r="P177" t="str">
        <f t="shared" si="5"/>
        <v>High Value</v>
      </c>
      <c r="Q177" t="str">
        <f>VLOOKUP(G177,Merchants!A:C,3,TRUE)</f>
        <v>Entertainment</v>
      </c>
    </row>
    <row r="178" spans="1:17" x14ac:dyDescent="0.3">
      <c r="A178" t="s">
        <v>535</v>
      </c>
      <c r="B178" s="2">
        <v>46089.957662037043</v>
      </c>
      <c r="C178" s="2" t="str">
        <f t="shared" si="4"/>
        <v>Mar-2026</v>
      </c>
      <c r="D178" t="s">
        <v>536</v>
      </c>
      <c r="E178" t="str">
        <f>VLOOKUP(D178,Customers!A:H,7,0)</f>
        <v>Student</v>
      </c>
      <c r="F178" t="s">
        <v>537</v>
      </c>
      <c r="G178" t="s">
        <v>201</v>
      </c>
      <c r="H178" t="str">
        <f>IFERROR(VLOOKUP(Transactions!G178,Merchants!A:B,2,FALSE),"Not Found")</f>
        <v>Urban Stores</v>
      </c>
      <c r="I178" s="9">
        <v>36777.379999999997</v>
      </c>
      <c r="J178" s="3">
        <v>73.55</v>
      </c>
      <c r="K178" t="s">
        <v>90</v>
      </c>
      <c r="L178" t="s">
        <v>59</v>
      </c>
      <c r="M178" t="s">
        <v>60</v>
      </c>
      <c r="N178" t="s">
        <v>61</v>
      </c>
      <c r="O178" t="s">
        <v>81</v>
      </c>
      <c r="P178" t="str">
        <f t="shared" si="5"/>
        <v>High Value</v>
      </c>
      <c r="Q178" t="str">
        <f>VLOOKUP(G178,Merchants!A:C,3,TRUE)</f>
        <v>Entertainment</v>
      </c>
    </row>
    <row r="179" spans="1:17" x14ac:dyDescent="0.3">
      <c r="A179" t="s">
        <v>538</v>
      </c>
      <c r="B179" s="2">
        <v>45931.918391203697</v>
      </c>
      <c r="C179" s="2" t="str">
        <f t="shared" si="4"/>
        <v>Oct-2025</v>
      </c>
      <c r="D179" t="s">
        <v>359</v>
      </c>
      <c r="E179" t="str">
        <f>VLOOKUP(D179,Customers!A:H,7,0)</f>
        <v>Salaried</v>
      </c>
      <c r="F179" t="s">
        <v>78</v>
      </c>
      <c r="G179" t="s">
        <v>168</v>
      </c>
      <c r="H179" t="str">
        <f>IFERROR(VLOOKUP(Transactions!G179,Merchants!A:B,2,FALSE),"Not Found")</f>
        <v>Quick Hub</v>
      </c>
      <c r="I179" s="9">
        <v>38714.19</v>
      </c>
      <c r="J179" s="3">
        <v>387.14</v>
      </c>
      <c r="K179" t="s">
        <v>133</v>
      </c>
      <c r="L179" t="s">
        <v>59</v>
      </c>
      <c r="M179" t="s">
        <v>74</v>
      </c>
      <c r="N179" t="s">
        <v>61</v>
      </c>
      <c r="O179" t="s">
        <v>62</v>
      </c>
      <c r="P179" t="str">
        <f t="shared" si="5"/>
        <v>High Value</v>
      </c>
      <c r="Q179" t="str">
        <f>VLOOKUP(G179,Merchants!A:C,3,TRUE)</f>
        <v>Utilities</v>
      </c>
    </row>
    <row r="180" spans="1:17" x14ac:dyDescent="0.3">
      <c r="A180" t="s">
        <v>539</v>
      </c>
      <c r="B180" s="2">
        <v>45846.035034722219</v>
      </c>
      <c r="C180" s="2" t="str">
        <f t="shared" si="4"/>
        <v>Jul-2025</v>
      </c>
      <c r="D180" t="s">
        <v>180</v>
      </c>
      <c r="E180" t="str">
        <f>VLOOKUP(D180,Customers!A:H,7,0)</f>
        <v>Student</v>
      </c>
      <c r="F180" t="s">
        <v>78</v>
      </c>
      <c r="G180" t="s">
        <v>103</v>
      </c>
      <c r="H180" t="str">
        <f>IFERROR(VLOOKUP(Transactions!G180,Merchants!A:B,2,FALSE),"Not Found")</f>
        <v>Nova Pay</v>
      </c>
      <c r="I180" s="9">
        <v>7589.89</v>
      </c>
      <c r="J180" s="3">
        <v>37.950000000000003</v>
      </c>
      <c r="K180" t="s">
        <v>90</v>
      </c>
      <c r="L180" t="s">
        <v>59</v>
      </c>
      <c r="M180" t="s">
        <v>111</v>
      </c>
      <c r="N180" t="s">
        <v>61</v>
      </c>
      <c r="O180" t="s">
        <v>91</v>
      </c>
      <c r="P180" t="str">
        <f t="shared" si="5"/>
        <v>High Value</v>
      </c>
      <c r="Q180" t="str">
        <f>VLOOKUP(G180,Merchants!A:C,3,TRUE)</f>
        <v>Fashion</v>
      </c>
    </row>
    <row r="181" spans="1:17" x14ac:dyDescent="0.3">
      <c r="A181" t="s">
        <v>540</v>
      </c>
      <c r="B181" s="2">
        <v>45755.096770833326</v>
      </c>
      <c r="C181" s="2" t="str">
        <f t="shared" si="4"/>
        <v>Apr-2025</v>
      </c>
      <c r="D181" t="s">
        <v>317</v>
      </c>
      <c r="E181" t="str">
        <f>VLOOKUP(D181,Customers!A:H,7,0)</f>
        <v>Salaried</v>
      </c>
      <c r="F181" t="s">
        <v>541</v>
      </c>
      <c r="G181" t="s">
        <v>198</v>
      </c>
      <c r="H181" t="str">
        <f>IFERROR(VLOOKUP(Transactions!G181,Merchants!A:B,2,FALSE),"Not Found")</f>
        <v>Metro Services</v>
      </c>
      <c r="I181" s="9">
        <v>56213.94</v>
      </c>
      <c r="J181" s="3">
        <v>112.43</v>
      </c>
      <c r="K181" t="s">
        <v>133</v>
      </c>
      <c r="L181" t="s">
        <v>59</v>
      </c>
      <c r="M181" t="s">
        <v>86</v>
      </c>
      <c r="N181" t="s">
        <v>67</v>
      </c>
      <c r="O181" t="s">
        <v>81</v>
      </c>
      <c r="P181" t="str">
        <f t="shared" si="5"/>
        <v>High Value</v>
      </c>
      <c r="Q181" t="str">
        <f>VLOOKUP(G181,Merchants!A:C,3,TRUE)</f>
        <v>Travel</v>
      </c>
    </row>
    <row r="182" spans="1:17" x14ac:dyDescent="0.3">
      <c r="A182" t="s">
        <v>542</v>
      </c>
      <c r="B182" s="2">
        <v>46290.235555555562</v>
      </c>
      <c r="C182" s="2" t="str">
        <f t="shared" si="4"/>
        <v>Sep-2026</v>
      </c>
      <c r="D182" t="s">
        <v>138</v>
      </c>
      <c r="E182" t="str">
        <f>VLOOKUP(D182,Customers!A:H,7,0)</f>
        <v>Self-employed</v>
      </c>
      <c r="F182" t="s">
        <v>344</v>
      </c>
      <c r="G182" t="s">
        <v>192</v>
      </c>
      <c r="H182" t="str">
        <f>IFERROR(VLOOKUP(Transactions!G182,Merchants!A:B,2,FALSE),"Not Found")</f>
        <v>Blue Foods</v>
      </c>
      <c r="I182" s="9">
        <v>5150.24</v>
      </c>
      <c r="J182" s="3">
        <v>51.5</v>
      </c>
      <c r="K182" t="s">
        <v>72</v>
      </c>
      <c r="L182" t="s">
        <v>157</v>
      </c>
      <c r="M182" t="s">
        <v>74</v>
      </c>
      <c r="N182" t="s">
        <v>67</v>
      </c>
      <c r="O182" t="s">
        <v>62</v>
      </c>
      <c r="P182" t="str">
        <f t="shared" si="5"/>
        <v>High Value</v>
      </c>
      <c r="Q182" t="str">
        <f>VLOOKUP(G182,Merchants!A:C,3,TRUE)</f>
        <v>Travel</v>
      </c>
    </row>
    <row r="183" spans="1:17" x14ac:dyDescent="0.3">
      <c r="A183" t="s">
        <v>543</v>
      </c>
      <c r="B183" s="2">
        <v>46197.25880787037</v>
      </c>
      <c r="C183" s="2" t="str">
        <f t="shared" si="4"/>
        <v>Jun-2026</v>
      </c>
      <c r="D183" t="s">
        <v>268</v>
      </c>
      <c r="E183" t="str">
        <f>VLOOKUP(D183,Customers!A:H,7,0)</f>
        <v>Student</v>
      </c>
      <c r="F183" t="s">
        <v>544</v>
      </c>
      <c r="G183" t="s">
        <v>347</v>
      </c>
      <c r="H183" t="str">
        <f>IFERROR(VLOOKUP(Transactions!G183,Merchants!A:B,2,FALSE),"Not Found")</f>
        <v>Nova Hub</v>
      </c>
      <c r="I183" s="9">
        <v>1811.42</v>
      </c>
      <c r="J183" s="3">
        <v>9.06</v>
      </c>
      <c r="K183" t="s">
        <v>72</v>
      </c>
      <c r="L183" t="s">
        <v>80</v>
      </c>
      <c r="M183" t="s">
        <v>74</v>
      </c>
      <c r="N183" t="s">
        <v>67</v>
      </c>
      <c r="O183" t="s">
        <v>62</v>
      </c>
      <c r="P183" t="str">
        <f t="shared" si="5"/>
        <v>Standard</v>
      </c>
      <c r="Q183" t="str">
        <f>VLOOKUP(G183,Merchants!A:C,3,TRUE)</f>
        <v>Fuel</v>
      </c>
    </row>
    <row r="184" spans="1:17" x14ac:dyDescent="0.3">
      <c r="A184" t="s">
        <v>545</v>
      </c>
      <c r="B184" s="2">
        <v>46263.906550925924</v>
      </c>
      <c r="C184" s="2" t="str">
        <f t="shared" si="4"/>
        <v>Aug-2026</v>
      </c>
      <c r="D184" t="s">
        <v>227</v>
      </c>
      <c r="E184" t="str">
        <f>VLOOKUP(D184,Customers!A:H,7,0)</f>
        <v>Self-employed</v>
      </c>
      <c r="F184" t="s">
        <v>247</v>
      </c>
      <c r="G184" t="s">
        <v>237</v>
      </c>
      <c r="H184" t="str">
        <f>IFERROR(VLOOKUP(Transactions!G184,Merchants!A:B,2,FALSE),"Not Found")</f>
        <v>Metro Pay</v>
      </c>
      <c r="I184" s="9">
        <v>27446.95</v>
      </c>
      <c r="J184" s="3">
        <v>274.47000000000003</v>
      </c>
      <c r="K184" t="s">
        <v>133</v>
      </c>
      <c r="L184" t="s">
        <v>80</v>
      </c>
      <c r="M184" t="s">
        <v>60</v>
      </c>
      <c r="N184" t="s">
        <v>61</v>
      </c>
      <c r="O184" t="s">
        <v>75</v>
      </c>
      <c r="P184" t="str">
        <f t="shared" si="5"/>
        <v>High Value</v>
      </c>
      <c r="Q184" t="str">
        <f>VLOOKUP(G184,Merchants!A:C,3,TRUE)</f>
        <v>Healthcare</v>
      </c>
    </row>
    <row r="185" spans="1:17" x14ac:dyDescent="0.3">
      <c r="A185" t="s">
        <v>546</v>
      </c>
      <c r="B185" s="2">
        <v>46210.344560185193</v>
      </c>
      <c r="C185" s="2" t="str">
        <f t="shared" si="4"/>
        <v>Jul-2026</v>
      </c>
      <c r="D185" t="s">
        <v>547</v>
      </c>
      <c r="E185" t="str">
        <f>VLOOKUP(D185,Customers!A:H,7,0)</f>
        <v>Business Owner</v>
      </c>
      <c r="F185" t="s">
        <v>315</v>
      </c>
      <c r="G185" t="s">
        <v>413</v>
      </c>
      <c r="H185" t="str">
        <f>IFERROR(VLOOKUP(Transactions!G185,Merchants!A:B,2,FALSE),"Not Found")</f>
        <v>Blue Hub</v>
      </c>
      <c r="I185" s="9">
        <v>48302</v>
      </c>
      <c r="J185" s="3">
        <v>241.51</v>
      </c>
      <c r="K185" t="s">
        <v>72</v>
      </c>
      <c r="L185" t="s">
        <v>59</v>
      </c>
      <c r="M185" t="s">
        <v>86</v>
      </c>
      <c r="N185" t="s">
        <v>67</v>
      </c>
      <c r="O185" t="s">
        <v>62</v>
      </c>
      <c r="P185" t="str">
        <f t="shared" si="5"/>
        <v>High Value</v>
      </c>
      <c r="Q185" t="str">
        <f>VLOOKUP(G185,Merchants!A:C,3,TRUE)</f>
        <v>Utilities</v>
      </c>
    </row>
    <row r="186" spans="1:17" x14ac:dyDescent="0.3">
      <c r="A186" t="s">
        <v>548</v>
      </c>
      <c r="B186" s="2">
        <v>46010.435023148151</v>
      </c>
      <c r="C186" s="2" t="str">
        <f t="shared" si="4"/>
        <v>Dec-2025</v>
      </c>
      <c r="D186" t="s">
        <v>515</v>
      </c>
      <c r="E186" t="str">
        <f>VLOOKUP(D186,Customers!A:H,7,0)</f>
        <v>Business Owner</v>
      </c>
      <c r="F186" t="s">
        <v>528</v>
      </c>
      <c r="G186" t="s">
        <v>229</v>
      </c>
      <c r="H186" t="str">
        <f>IFERROR(VLOOKUP(Transactions!G186,Merchants!A:B,2,FALSE),"Not Found")</f>
        <v>Urban Services</v>
      </c>
      <c r="I186" s="9">
        <v>28204.959999999999</v>
      </c>
      <c r="J186" s="3">
        <v>282.05</v>
      </c>
      <c r="K186" t="s">
        <v>96</v>
      </c>
      <c r="L186" t="s">
        <v>59</v>
      </c>
      <c r="M186" t="s">
        <v>60</v>
      </c>
      <c r="N186" t="s">
        <v>67</v>
      </c>
      <c r="O186" t="s">
        <v>91</v>
      </c>
      <c r="P186" t="str">
        <f t="shared" si="5"/>
        <v>High Value</v>
      </c>
      <c r="Q186" t="str">
        <f>VLOOKUP(G186,Merchants!A:C,3,TRUE)</f>
        <v>Fashion</v>
      </c>
    </row>
    <row r="187" spans="1:17" x14ac:dyDescent="0.3">
      <c r="A187" t="s">
        <v>549</v>
      </c>
      <c r="B187" s="2">
        <v>46219.566828703697</v>
      </c>
      <c r="C187" s="2" t="str">
        <f t="shared" si="4"/>
        <v>Jul-2026</v>
      </c>
      <c r="D187" t="s">
        <v>130</v>
      </c>
      <c r="E187" t="str">
        <f>VLOOKUP(D187,Customers!A:H,7,0)</f>
        <v>Student</v>
      </c>
      <c r="F187" t="s">
        <v>301</v>
      </c>
      <c r="G187" t="s">
        <v>95</v>
      </c>
      <c r="H187" t="str">
        <f>IFERROR(VLOOKUP(Transactions!G187,Merchants!A:B,2,FALSE),"Not Found")</f>
        <v>Quick Pay</v>
      </c>
      <c r="I187" s="9">
        <v>11395.4</v>
      </c>
      <c r="J187" s="3">
        <v>113.95</v>
      </c>
      <c r="K187" t="s">
        <v>96</v>
      </c>
      <c r="L187" t="s">
        <v>73</v>
      </c>
      <c r="M187" t="s">
        <v>74</v>
      </c>
      <c r="N187" t="s">
        <v>67</v>
      </c>
      <c r="O187" t="s">
        <v>81</v>
      </c>
      <c r="P187" t="str">
        <f t="shared" si="5"/>
        <v>High Value</v>
      </c>
      <c r="Q187" t="str">
        <f>VLOOKUP(G187,Merchants!A:C,3,TRUE)</f>
        <v>Healthcare</v>
      </c>
    </row>
    <row r="188" spans="1:17" x14ac:dyDescent="0.3">
      <c r="A188" t="s">
        <v>550</v>
      </c>
      <c r="B188" s="2">
        <v>45739.640543981477</v>
      </c>
      <c r="C188" s="2" t="str">
        <f t="shared" si="4"/>
        <v>Mar-2025</v>
      </c>
      <c r="D188" t="s">
        <v>481</v>
      </c>
      <c r="E188" t="str">
        <f>VLOOKUP(D188,Customers!A:H,7,0)</f>
        <v>Student</v>
      </c>
      <c r="F188" t="s">
        <v>253</v>
      </c>
      <c r="G188" t="s">
        <v>347</v>
      </c>
      <c r="H188" t="str">
        <f>IFERROR(VLOOKUP(Transactions!G188,Merchants!A:B,2,FALSE),"Not Found")</f>
        <v>Nova Hub</v>
      </c>
      <c r="I188" s="9">
        <v>37556.85</v>
      </c>
      <c r="J188" s="3">
        <v>187.78</v>
      </c>
      <c r="K188" t="s">
        <v>72</v>
      </c>
      <c r="L188" t="s">
        <v>59</v>
      </c>
      <c r="M188" t="s">
        <v>74</v>
      </c>
      <c r="N188" t="s">
        <v>67</v>
      </c>
      <c r="O188" t="s">
        <v>91</v>
      </c>
      <c r="P188" t="str">
        <f t="shared" si="5"/>
        <v>High Value</v>
      </c>
      <c r="Q188" t="str">
        <f>VLOOKUP(G188,Merchants!A:C,3,TRUE)</f>
        <v>Fuel</v>
      </c>
    </row>
    <row r="189" spans="1:17" x14ac:dyDescent="0.3">
      <c r="A189" t="s">
        <v>551</v>
      </c>
      <c r="B189" s="2">
        <v>45844.207256944443</v>
      </c>
      <c r="C189" s="2" t="str">
        <f t="shared" si="4"/>
        <v>Jul-2025</v>
      </c>
      <c r="D189" t="s">
        <v>364</v>
      </c>
      <c r="E189" t="str">
        <f>VLOOKUP(D189,Customers!A:H,7,0)</f>
        <v>Self-employed</v>
      </c>
      <c r="F189" t="s">
        <v>396</v>
      </c>
      <c r="G189" t="s">
        <v>208</v>
      </c>
      <c r="H189" t="str">
        <f>IFERROR(VLOOKUP(Transactions!G189,Merchants!A:B,2,FALSE),"Not Found")</f>
        <v>Blue Retail</v>
      </c>
      <c r="I189" s="9">
        <v>17446.759999999998</v>
      </c>
      <c r="J189" s="3">
        <v>174.47</v>
      </c>
      <c r="K189" t="s">
        <v>96</v>
      </c>
      <c r="L189" t="s">
        <v>80</v>
      </c>
      <c r="M189" t="s">
        <v>111</v>
      </c>
      <c r="N189" t="s">
        <v>61</v>
      </c>
      <c r="O189" t="s">
        <v>91</v>
      </c>
      <c r="P189" t="str">
        <f t="shared" si="5"/>
        <v>High Value</v>
      </c>
      <c r="Q189" t="str">
        <f>VLOOKUP(G189,Merchants!A:C,3,TRUE)</f>
        <v>Healthcare</v>
      </c>
    </row>
    <row r="190" spans="1:17" x14ac:dyDescent="0.3">
      <c r="A190" t="s">
        <v>552</v>
      </c>
      <c r="B190" s="2">
        <v>45813.075289351851</v>
      </c>
      <c r="C190" s="2" t="str">
        <f t="shared" si="4"/>
        <v>Jun-2025</v>
      </c>
      <c r="D190" t="s">
        <v>481</v>
      </c>
      <c r="E190" t="str">
        <f>VLOOKUP(D190,Customers!A:H,7,0)</f>
        <v>Student</v>
      </c>
      <c r="F190" t="s">
        <v>296</v>
      </c>
      <c r="G190" t="s">
        <v>146</v>
      </c>
      <c r="H190" t="str">
        <f>IFERROR(VLOOKUP(Transactions!G190,Merchants!A:B,2,FALSE),"Not Found")</f>
        <v>Prime Mart</v>
      </c>
      <c r="I190" s="9">
        <v>58186</v>
      </c>
      <c r="J190" s="3">
        <v>116.37</v>
      </c>
      <c r="K190" t="s">
        <v>96</v>
      </c>
      <c r="L190" t="s">
        <v>59</v>
      </c>
      <c r="M190" t="s">
        <v>86</v>
      </c>
      <c r="N190" t="s">
        <v>67</v>
      </c>
      <c r="O190" t="s">
        <v>91</v>
      </c>
      <c r="P190" t="str">
        <f t="shared" si="5"/>
        <v>High Value</v>
      </c>
      <c r="Q190" t="str">
        <f>VLOOKUP(G190,Merchants!A:C,3,TRUE)</f>
        <v>Food &amp; Dining</v>
      </c>
    </row>
    <row r="191" spans="1:17" x14ac:dyDescent="0.3">
      <c r="A191" t="s">
        <v>553</v>
      </c>
      <c r="B191" s="2">
        <v>45812.022337962961</v>
      </c>
      <c r="C191" s="2" t="str">
        <f t="shared" si="4"/>
        <v>Jun-2025</v>
      </c>
      <c r="D191" t="s">
        <v>148</v>
      </c>
      <c r="E191" t="str">
        <f>VLOOKUP(D191,Customers!A:H,7,0)</f>
        <v>Salaried</v>
      </c>
      <c r="F191" t="s">
        <v>145</v>
      </c>
      <c r="G191" t="s">
        <v>554</v>
      </c>
      <c r="H191" t="str">
        <f>IFERROR(VLOOKUP(Transactions!G191,Merchants!A:B,2,FALSE),"Not Found")</f>
        <v>Green Pay</v>
      </c>
      <c r="I191" s="9">
        <v>29665.42</v>
      </c>
      <c r="J191" s="3">
        <v>148.33000000000001</v>
      </c>
      <c r="K191" t="s">
        <v>58</v>
      </c>
      <c r="L191" t="s">
        <v>59</v>
      </c>
      <c r="M191" t="s">
        <v>60</v>
      </c>
      <c r="N191" t="s">
        <v>67</v>
      </c>
      <c r="O191" t="s">
        <v>62</v>
      </c>
      <c r="P191" t="str">
        <f t="shared" si="5"/>
        <v>High Value</v>
      </c>
      <c r="Q191" t="str">
        <f>VLOOKUP(G191,Merchants!A:C,3,TRUE)</f>
        <v>Utilities</v>
      </c>
    </row>
    <row r="192" spans="1:17" x14ac:dyDescent="0.3">
      <c r="A192" t="s">
        <v>555</v>
      </c>
      <c r="B192" s="2">
        <v>45715.404293981483</v>
      </c>
      <c r="C192" s="2" t="str">
        <f t="shared" si="4"/>
        <v>Feb-2025</v>
      </c>
      <c r="D192" t="s">
        <v>556</v>
      </c>
      <c r="E192" t="str">
        <f>VLOOKUP(D192,Customers!A:H,7,0)</f>
        <v>Business Owner</v>
      </c>
      <c r="F192" t="s">
        <v>557</v>
      </c>
      <c r="G192" t="s">
        <v>189</v>
      </c>
      <c r="H192" t="str">
        <f>IFERROR(VLOOKUP(Transactions!G192,Merchants!A:B,2,FALSE),"Not Found")</f>
        <v>Quick Services</v>
      </c>
      <c r="I192" s="9">
        <v>46561.61</v>
      </c>
      <c r="J192" s="3">
        <v>465.62</v>
      </c>
      <c r="K192" t="s">
        <v>96</v>
      </c>
      <c r="L192" t="s">
        <v>59</v>
      </c>
      <c r="M192" t="s">
        <v>86</v>
      </c>
      <c r="N192" t="s">
        <v>67</v>
      </c>
      <c r="O192" t="s">
        <v>62</v>
      </c>
      <c r="P192" t="str">
        <f t="shared" si="5"/>
        <v>High Value</v>
      </c>
      <c r="Q192" t="str">
        <f>VLOOKUP(G192,Merchants!A:C,3,TRUE)</f>
        <v>Food &amp; Dining</v>
      </c>
    </row>
    <row r="193" spans="1:17" x14ac:dyDescent="0.3">
      <c r="A193" t="s">
        <v>558</v>
      </c>
      <c r="B193" s="2">
        <v>46052.671979166669</v>
      </c>
      <c r="C193" s="2" t="str">
        <f t="shared" si="4"/>
        <v>Jan-2026</v>
      </c>
      <c r="D193" t="s">
        <v>83</v>
      </c>
      <c r="E193" t="str">
        <f>VLOOKUP(D193,Customers!A:H,7,0)</f>
        <v>Business Owner</v>
      </c>
      <c r="F193" t="s">
        <v>509</v>
      </c>
      <c r="G193" t="s">
        <v>244</v>
      </c>
      <c r="H193" t="str">
        <f>IFERROR(VLOOKUP(Transactions!G193,Merchants!A:B,2,FALSE),"Not Found")</f>
        <v>Blue Hub</v>
      </c>
      <c r="I193" s="9">
        <v>14905.02</v>
      </c>
      <c r="J193" s="3">
        <v>44.72</v>
      </c>
      <c r="K193" t="s">
        <v>133</v>
      </c>
      <c r="L193" t="s">
        <v>157</v>
      </c>
      <c r="M193" t="s">
        <v>111</v>
      </c>
      <c r="N193" t="s">
        <v>61</v>
      </c>
      <c r="O193" t="s">
        <v>75</v>
      </c>
      <c r="P193" t="str">
        <f t="shared" si="5"/>
        <v>High Value</v>
      </c>
      <c r="Q193" t="str">
        <f>VLOOKUP(G193,Merchants!A:C,3,TRUE)</f>
        <v>Healthcare</v>
      </c>
    </row>
    <row r="194" spans="1:17" x14ac:dyDescent="0.3">
      <c r="A194" t="s">
        <v>559</v>
      </c>
      <c r="B194" s="2">
        <v>45977.49009259259</v>
      </c>
      <c r="C194" s="2" t="str">
        <f t="shared" si="4"/>
        <v>Nov-2025</v>
      </c>
      <c r="D194" t="s">
        <v>309</v>
      </c>
      <c r="E194" t="str">
        <f>VLOOKUP(D194,Customers!A:H,7,0)</f>
        <v>Self-employed</v>
      </c>
      <c r="F194" t="s">
        <v>505</v>
      </c>
      <c r="G194" t="s">
        <v>237</v>
      </c>
      <c r="H194" t="str">
        <f>IFERROR(VLOOKUP(Transactions!G194,Merchants!A:B,2,FALSE),"Not Found")</f>
        <v>Metro Pay</v>
      </c>
      <c r="I194" s="9">
        <v>9600.83</v>
      </c>
      <c r="J194" s="3">
        <v>19.2</v>
      </c>
      <c r="K194" t="s">
        <v>72</v>
      </c>
      <c r="L194" t="s">
        <v>80</v>
      </c>
      <c r="M194" t="s">
        <v>111</v>
      </c>
      <c r="N194" t="s">
        <v>61</v>
      </c>
      <c r="O194" t="s">
        <v>91</v>
      </c>
      <c r="P194" t="str">
        <f t="shared" si="5"/>
        <v>High Value</v>
      </c>
      <c r="Q194" t="str">
        <f>VLOOKUP(G194,Merchants!A:C,3,TRUE)</f>
        <v>Healthcare</v>
      </c>
    </row>
    <row r="195" spans="1:17" x14ac:dyDescent="0.3">
      <c r="A195" t="s">
        <v>560</v>
      </c>
      <c r="B195" s="2">
        <v>45881.171307870369</v>
      </c>
      <c r="C195" s="2" t="str">
        <f t="shared" ref="C195:C258" si="6">TEXT(B195,"mmm-yyyy")</f>
        <v>Aug-2025</v>
      </c>
      <c r="D195" t="s">
        <v>144</v>
      </c>
      <c r="E195" t="str">
        <f>VLOOKUP(D195,Customers!A:H,7,0)</f>
        <v>Self-employed</v>
      </c>
      <c r="F195" t="s">
        <v>561</v>
      </c>
      <c r="G195" t="s">
        <v>79</v>
      </c>
      <c r="H195" t="str">
        <f>IFERROR(VLOOKUP(Transactions!G195,Merchants!A:B,2,FALSE),"Not Found")</f>
        <v>Nova Retail</v>
      </c>
      <c r="I195" s="9">
        <v>14234.35</v>
      </c>
      <c r="J195" s="3">
        <v>28.47</v>
      </c>
      <c r="K195" t="s">
        <v>133</v>
      </c>
      <c r="L195" t="s">
        <v>59</v>
      </c>
      <c r="M195" t="s">
        <v>86</v>
      </c>
      <c r="N195" t="s">
        <v>61</v>
      </c>
      <c r="O195" t="s">
        <v>62</v>
      </c>
      <c r="P195" t="str">
        <f t="shared" ref="P195:P258" si="7">IF(I195&gt;=2500,"High Value","Standard")</f>
        <v>High Value</v>
      </c>
      <c r="Q195" t="str">
        <f>VLOOKUP(G195,Merchants!A:C,3,TRUE)</f>
        <v>Grocery</v>
      </c>
    </row>
    <row r="196" spans="1:17" x14ac:dyDescent="0.3">
      <c r="A196" t="s">
        <v>562</v>
      </c>
      <c r="B196" s="2">
        <v>45667.063703703701</v>
      </c>
      <c r="C196" s="2" t="str">
        <f t="shared" si="6"/>
        <v>Jan-2025</v>
      </c>
      <c r="D196" t="s">
        <v>292</v>
      </c>
      <c r="E196" t="str">
        <f>VLOOKUP(D196,Customers!A:H,7,0)</f>
        <v>Self-employed</v>
      </c>
      <c r="F196" t="s">
        <v>541</v>
      </c>
      <c r="G196" t="s">
        <v>103</v>
      </c>
      <c r="H196" t="str">
        <f>IFERROR(VLOOKUP(Transactions!G196,Merchants!A:B,2,FALSE),"Not Found")</f>
        <v>Nova Pay</v>
      </c>
      <c r="I196" s="9">
        <v>34906.51</v>
      </c>
      <c r="J196" s="3">
        <v>104.72</v>
      </c>
      <c r="K196" t="s">
        <v>90</v>
      </c>
      <c r="L196" t="s">
        <v>80</v>
      </c>
      <c r="M196" t="s">
        <v>111</v>
      </c>
      <c r="N196" t="s">
        <v>61</v>
      </c>
      <c r="O196" t="s">
        <v>91</v>
      </c>
      <c r="P196" t="str">
        <f t="shared" si="7"/>
        <v>High Value</v>
      </c>
      <c r="Q196" t="str">
        <f>VLOOKUP(G196,Merchants!A:C,3,TRUE)</f>
        <v>Fashion</v>
      </c>
    </row>
    <row r="197" spans="1:17" x14ac:dyDescent="0.3">
      <c r="A197" t="s">
        <v>563</v>
      </c>
      <c r="B197" s="2">
        <v>46291.513391203713</v>
      </c>
      <c r="C197" s="2" t="str">
        <f t="shared" si="6"/>
        <v>Sep-2026</v>
      </c>
      <c r="D197" t="s">
        <v>564</v>
      </c>
      <c r="E197" t="str">
        <f>VLOOKUP(D197,Customers!A:H,7,0)</f>
        <v>Student</v>
      </c>
      <c r="F197" t="s">
        <v>362</v>
      </c>
      <c r="G197" t="s">
        <v>156</v>
      </c>
      <c r="H197" t="str">
        <f>IFERROR(VLOOKUP(Transactions!G197,Merchants!A:B,2,FALSE),"Not Found")</f>
        <v>Blue Digital</v>
      </c>
      <c r="I197" s="9">
        <v>55857.84</v>
      </c>
      <c r="J197" s="3">
        <v>111.72</v>
      </c>
      <c r="K197" t="s">
        <v>90</v>
      </c>
      <c r="L197" t="s">
        <v>157</v>
      </c>
      <c r="M197" t="s">
        <v>86</v>
      </c>
      <c r="N197" t="s">
        <v>67</v>
      </c>
      <c r="O197" t="s">
        <v>75</v>
      </c>
      <c r="P197" t="str">
        <f t="shared" si="7"/>
        <v>High Value</v>
      </c>
      <c r="Q197" t="str">
        <f>VLOOKUP(G197,Merchants!A:C,3,TRUE)</f>
        <v>Electronics</v>
      </c>
    </row>
    <row r="198" spans="1:17" x14ac:dyDescent="0.3">
      <c r="A198" t="s">
        <v>565</v>
      </c>
      <c r="B198" s="2">
        <v>45896.480497685188</v>
      </c>
      <c r="C198" s="2" t="str">
        <f t="shared" si="6"/>
        <v>Aug-2025</v>
      </c>
      <c r="D198" t="s">
        <v>113</v>
      </c>
      <c r="E198" t="str">
        <f>VLOOKUP(D198,Customers!A:H,7,0)</f>
        <v>Business Owner</v>
      </c>
      <c r="F198" t="s">
        <v>566</v>
      </c>
      <c r="G198" t="s">
        <v>225</v>
      </c>
      <c r="H198" t="str">
        <f>IFERROR(VLOOKUP(Transactions!G198,Merchants!A:B,2,FALSE),"Not Found")</f>
        <v>Quick Retail</v>
      </c>
      <c r="I198" s="9">
        <v>58902.38</v>
      </c>
      <c r="J198" s="3">
        <v>294.51</v>
      </c>
      <c r="K198" t="s">
        <v>58</v>
      </c>
      <c r="L198" t="s">
        <v>73</v>
      </c>
      <c r="M198" t="s">
        <v>74</v>
      </c>
      <c r="N198" t="s">
        <v>61</v>
      </c>
      <c r="O198" t="s">
        <v>62</v>
      </c>
      <c r="P198" t="str">
        <f t="shared" si="7"/>
        <v>High Value</v>
      </c>
      <c r="Q198" t="str">
        <f>VLOOKUP(G198,Merchants!A:C,3,TRUE)</f>
        <v>Grocery</v>
      </c>
    </row>
    <row r="199" spans="1:17" x14ac:dyDescent="0.3">
      <c r="A199" t="s">
        <v>567</v>
      </c>
      <c r="B199" s="2">
        <v>45914.059895833343</v>
      </c>
      <c r="C199" s="2" t="str">
        <f t="shared" si="6"/>
        <v>Sep-2025</v>
      </c>
      <c r="D199" t="s">
        <v>568</v>
      </c>
      <c r="E199" t="str">
        <f>VLOOKUP(D199,Customers!A:H,7,0)</f>
        <v>Student</v>
      </c>
      <c r="F199" t="s">
        <v>139</v>
      </c>
      <c r="G199" t="s">
        <v>318</v>
      </c>
      <c r="H199" t="str">
        <f>IFERROR(VLOOKUP(Transactions!G199,Merchants!A:B,2,FALSE),"Not Found")</f>
        <v>Urban Digital</v>
      </c>
      <c r="I199" s="9">
        <v>29169.599999999999</v>
      </c>
      <c r="J199" s="3">
        <v>145.85</v>
      </c>
      <c r="K199" t="s">
        <v>90</v>
      </c>
      <c r="L199" t="s">
        <v>59</v>
      </c>
      <c r="M199" t="s">
        <v>111</v>
      </c>
      <c r="N199" t="s">
        <v>61</v>
      </c>
      <c r="O199" t="s">
        <v>81</v>
      </c>
      <c r="P199" t="str">
        <f t="shared" si="7"/>
        <v>High Value</v>
      </c>
      <c r="Q199" t="str">
        <f>VLOOKUP(G199,Merchants!A:C,3,TRUE)</f>
        <v>Utilities</v>
      </c>
    </row>
    <row r="200" spans="1:17" x14ac:dyDescent="0.3">
      <c r="A200" t="s">
        <v>569</v>
      </c>
      <c r="B200" s="2">
        <v>46137.417673611111</v>
      </c>
      <c r="C200" s="2" t="str">
        <f t="shared" si="6"/>
        <v>Apr-2026</v>
      </c>
      <c r="D200" t="s">
        <v>570</v>
      </c>
      <c r="E200" t="str">
        <f>VLOOKUP(D200,Customers!A:H,7,0)</f>
        <v>Business Owner</v>
      </c>
      <c r="F200" t="s">
        <v>571</v>
      </c>
      <c r="G200" t="s">
        <v>413</v>
      </c>
      <c r="H200" t="str">
        <f>IFERROR(VLOOKUP(Transactions!G200,Merchants!A:B,2,FALSE),"Not Found")</f>
        <v>Blue Hub</v>
      </c>
      <c r="I200" s="9">
        <v>52072.94</v>
      </c>
      <c r="J200" s="3">
        <v>156.22</v>
      </c>
      <c r="K200" t="s">
        <v>96</v>
      </c>
      <c r="L200" t="s">
        <v>59</v>
      </c>
      <c r="M200" t="s">
        <v>60</v>
      </c>
      <c r="N200" t="s">
        <v>61</v>
      </c>
      <c r="O200" t="s">
        <v>81</v>
      </c>
      <c r="P200" t="str">
        <f t="shared" si="7"/>
        <v>High Value</v>
      </c>
      <c r="Q200" t="str">
        <f>VLOOKUP(G200,Merchants!A:C,3,TRUE)</f>
        <v>Utilities</v>
      </c>
    </row>
    <row r="201" spans="1:17" x14ac:dyDescent="0.3">
      <c r="A201" t="s">
        <v>572</v>
      </c>
      <c r="B201" s="2">
        <v>46122.001087962963</v>
      </c>
      <c r="C201" s="2" t="str">
        <f t="shared" si="6"/>
        <v>Apr-2026</v>
      </c>
      <c r="D201" t="s">
        <v>343</v>
      </c>
      <c r="E201" t="str">
        <f>VLOOKUP(D201,Customers!A:H,7,0)</f>
        <v>Student</v>
      </c>
      <c r="F201" t="s">
        <v>207</v>
      </c>
      <c r="G201" t="s">
        <v>100</v>
      </c>
      <c r="H201" t="str">
        <f>IFERROR(VLOOKUP(Transactions!G201,Merchants!A:B,2,FALSE),"Not Found")</f>
        <v>Metro Stores</v>
      </c>
      <c r="I201" s="9">
        <v>46577.48</v>
      </c>
      <c r="J201" s="3">
        <v>139.72999999999999</v>
      </c>
      <c r="K201" t="s">
        <v>133</v>
      </c>
      <c r="L201" t="s">
        <v>59</v>
      </c>
      <c r="M201" t="s">
        <v>111</v>
      </c>
      <c r="N201" t="s">
        <v>61</v>
      </c>
      <c r="O201" t="s">
        <v>91</v>
      </c>
      <c r="P201" t="str">
        <f t="shared" si="7"/>
        <v>High Value</v>
      </c>
      <c r="Q201" t="str">
        <f>VLOOKUP(G201,Merchants!A:C,3,TRUE)</f>
        <v>Healthcare</v>
      </c>
    </row>
    <row r="202" spans="1:17" x14ac:dyDescent="0.3">
      <c r="A202" t="s">
        <v>573</v>
      </c>
      <c r="B202" s="2">
        <v>46209.587835648148</v>
      </c>
      <c r="C202" s="2" t="str">
        <f t="shared" si="6"/>
        <v>Jul-2026</v>
      </c>
      <c r="D202" t="s">
        <v>574</v>
      </c>
      <c r="E202" t="str">
        <f>VLOOKUP(D202,Customers!A:H,7,0)</f>
        <v>Salaried</v>
      </c>
      <c r="F202" t="s">
        <v>262</v>
      </c>
      <c r="G202" t="s">
        <v>182</v>
      </c>
      <c r="H202" t="str">
        <f>IFERROR(VLOOKUP(Transactions!G202,Merchants!A:B,2,FALSE),"Not Found")</f>
        <v>Fresh Hub</v>
      </c>
      <c r="I202" s="9">
        <v>11473.18</v>
      </c>
      <c r="J202" s="3">
        <v>34.42</v>
      </c>
      <c r="K202" t="s">
        <v>96</v>
      </c>
      <c r="L202" t="s">
        <v>80</v>
      </c>
      <c r="M202" t="s">
        <v>60</v>
      </c>
      <c r="N202" t="s">
        <v>67</v>
      </c>
      <c r="O202" t="s">
        <v>91</v>
      </c>
      <c r="P202" t="str">
        <f t="shared" si="7"/>
        <v>High Value</v>
      </c>
      <c r="Q202" t="str">
        <f>VLOOKUP(G202,Merchants!A:C,3,TRUE)</f>
        <v>Healthcare</v>
      </c>
    </row>
    <row r="203" spans="1:17" x14ac:dyDescent="0.3">
      <c r="A203" t="s">
        <v>575</v>
      </c>
      <c r="B203" s="2">
        <v>46193.999560185177</v>
      </c>
      <c r="C203" s="2" t="str">
        <f t="shared" si="6"/>
        <v>Jun-2026</v>
      </c>
      <c r="D203" t="s">
        <v>474</v>
      </c>
      <c r="E203" t="str">
        <f>VLOOKUP(D203,Customers!A:H,7,0)</f>
        <v>Self-employed</v>
      </c>
      <c r="F203" t="s">
        <v>374</v>
      </c>
      <c r="G203" t="s">
        <v>175</v>
      </c>
      <c r="H203" t="str">
        <f>IFERROR(VLOOKUP(Transactions!G203,Merchants!A:B,2,FALSE),"Not Found")</f>
        <v>Fresh Mart</v>
      </c>
      <c r="I203" s="9">
        <v>4094.12</v>
      </c>
      <c r="J203" s="3">
        <v>12.28</v>
      </c>
      <c r="K203" t="s">
        <v>90</v>
      </c>
      <c r="L203" t="s">
        <v>73</v>
      </c>
      <c r="M203" t="s">
        <v>86</v>
      </c>
      <c r="N203" t="s">
        <v>61</v>
      </c>
      <c r="O203" t="s">
        <v>62</v>
      </c>
      <c r="P203" t="str">
        <f t="shared" si="7"/>
        <v>High Value</v>
      </c>
      <c r="Q203" t="str">
        <f>VLOOKUP(G203,Merchants!A:C,3,TRUE)</f>
        <v>Electronics</v>
      </c>
    </row>
    <row r="204" spans="1:17" x14ac:dyDescent="0.3">
      <c r="A204" t="s">
        <v>576</v>
      </c>
      <c r="B204" s="2">
        <v>45759.048263888893</v>
      </c>
      <c r="C204" s="2" t="str">
        <f t="shared" si="6"/>
        <v>Apr-2025</v>
      </c>
      <c r="D204" t="s">
        <v>227</v>
      </c>
      <c r="E204" t="str">
        <f>VLOOKUP(D204,Customers!A:H,7,0)</f>
        <v>Self-employed</v>
      </c>
      <c r="F204" t="s">
        <v>577</v>
      </c>
      <c r="G204" t="s">
        <v>107</v>
      </c>
      <c r="H204" t="str">
        <f>IFERROR(VLOOKUP(Transactions!G204,Merchants!A:B,2,FALSE),"Not Found")</f>
        <v>Blue Services</v>
      </c>
      <c r="I204" s="9">
        <v>34303.629999999997</v>
      </c>
      <c r="J204" s="3">
        <v>343.04</v>
      </c>
      <c r="K204" t="s">
        <v>133</v>
      </c>
      <c r="L204" t="s">
        <v>73</v>
      </c>
      <c r="M204" t="s">
        <v>60</v>
      </c>
      <c r="N204" t="s">
        <v>67</v>
      </c>
      <c r="O204" t="s">
        <v>81</v>
      </c>
      <c r="P204" t="str">
        <f t="shared" si="7"/>
        <v>High Value</v>
      </c>
      <c r="Q204" t="str">
        <f>VLOOKUP(G204,Merchants!A:C,3,TRUE)</f>
        <v>Travel</v>
      </c>
    </row>
    <row r="205" spans="1:17" x14ac:dyDescent="0.3">
      <c r="A205" t="s">
        <v>578</v>
      </c>
      <c r="B205" s="2">
        <v>45884.919247685182</v>
      </c>
      <c r="C205" s="2" t="str">
        <f t="shared" si="6"/>
        <v>Aug-2025</v>
      </c>
      <c r="D205" t="s">
        <v>484</v>
      </c>
      <c r="E205" t="str">
        <f>VLOOKUP(D205,Customers!A:H,7,0)</f>
        <v>Self-employed</v>
      </c>
      <c r="F205" t="s">
        <v>579</v>
      </c>
      <c r="G205" t="s">
        <v>103</v>
      </c>
      <c r="H205" t="str">
        <f>IFERROR(VLOOKUP(Transactions!G205,Merchants!A:B,2,FALSE),"Not Found")</f>
        <v>Nova Pay</v>
      </c>
      <c r="I205" s="9">
        <v>43098.93</v>
      </c>
      <c r="J205" s="3">
        <v>129.30000000000001</v>
      </c>
      <c r="K205" t="s">
        <v>96</v>
      </c>
      <c r="L205" t="s">
        <v>59</v>
      </c>
      <c r="M205" t="s">
        <v>86</v>
      </c>
      <c r="N205" t="s">
        <v>61</v>
      </c>
      <c r="O205" t="s">
        <v>75</v>
      </c>
      <c r="P205" t="str">
        <f t="shared" si="7"/>
        <v>High Value</v>
      </c>
      <c r="Q205" t="str">
        <f>VLOOKUP(G205,Merchants!A:C,3,TRUE)</f>
        <v>Fashion</v>
      </c>
    </row>
    <row r="206" spans="1:17" x14ac:dyDescent="0.3">
      <c r="A206" t="s">
        <v>580</v>
      </c>
      <c r="B206" s="2">
        <v>46035.088437500002</v>
      </c>
      <c r="C206" s="2" t="str">
        <f t="shared" si="6"/>
        <v>Jan-2026</v>
      </c>
      <c r="D206" t="s">
        <v>255</v>
      </c>
      <c r="E206" t="str">
        <f>VLOOKUP(D206,Customers!A:H,7,0)</f>
        <v>Self-employed</v>
      </c>
      <c r="F206" t="s">
        <v>365</v>
      </c>
      <c r="G206" t="s">
        <v>263</v>
      </c>
      <c r="H206" t="str">
        <f>IFERROR(VLOOKUP(Transactions!G206,Merchants!A:B,2,FALSE),"Not Found")</f>
        <v>Urban Retail</v>
      </c>
      <c r="I206" s="9">
        <v>49436.21</v>
      </c>
      <c r="J206" s="3">
        <v>98.87</v>
      </c>
      <c r="K206" t="s">
        <v>58</v>
      </c>
      <c r="L206" t="s">
        <v>59</v>
      </c>
      <c r="M206" t="s">
        <v>111</v>
      </c>
      <c r="N206" t="s">
        <v>67</v>
      </c>
      <c r="O206" t="s">
        <v>91</v>
      </c>
      <c r="P206" t="str">
        <f t="shared" si="7"/>
        <v>High Value</v>
      </c>
      <c r="Q206" t="str">
        <f>VLOOKUP(G206,Merchants!A:C,3,TRUE)</f>
        <v>Grocery</v>
      </c>
    </row>
    <row r="207" spans="1:17" x14ac:dyDescent="0.3">
      <c r="A207" t="s">
        <v>581</v>
      </c>
      <c r="B207" s="2">
        <v>45894.806539351863</v>
      </c>
      <c r="C207" s="2" t="str">
        <f t="shared" si="6"/>
        <v>Aug-2025</v>
      </c>
      <c r="D207" t="s">
        <v>582</v>
      </c>
      <c r="E207" t="str">
        <f>VLOOKUP(D207,Customers!A:H,7,0)</f>
        <v>Business Owner</v>
      </c>
      <c r="F207" t="s">
        <v>583</v>
      </c>
      <c r="G207" t="s">
        <v>215</v>
      </c>
      <c r="H207" t="str">
        <f>IFERROR(VLOOKUP(Transactions!G207,Merchants!A:B,2,FALSE),"Not Found")</f>
        <v>Daily Hub</v>
      </c>
      <c r="I207" s="9">
        <v>23181.33</v>
      </c>
      <c r="J207" s="3">
        <v>69.540000000000006</v>
      </c>
      <c r="K207" t="s">
        <v>133</v>
      </c>
      <c r="L207" t="s">
        <v>59</v>
      </c>
      <c r="M207" t="s">
        <v>74</v>
      </c>
      <c r="N207" t="s">
        <v>67</v>
      </c>
      <c r="O207" t="s">
        <v>81</v>
      </c>
      <c r="P207" t="str">
        <f t="shared" si="7"/>
        <v>High Value</v>
      </c>
      <c r="Q207" t="str">
        <f>VLOOKUP(G207,Merchants!A:C,3,TRUE)</f>
        <v>Fashion</v>
      </c>
    </row>
    <row r="208" spans="1:17" x14ac:dyDescent="0.3">
      <c r="A208" t="s">
        <v>584</v>
      </c>
      <c r="B208" s="2">
        <v>46127.647881944453</v>
      </c>
      <c r="C208" s="2" t="str">
        <f t="shared" si="6"/>
        <v>Apr-2026</v>
      </c>
      <c r="D208" t="s">
        <v>585</v>
      </c>
      <c r="E208" t="str">
        <f>VLOOKUP(D208,Customers!A:H,7,0)</f>
        <v>Business Owner</v>
      </c>
      <c r="F208" t="s">
        <v>586</v>
      </c>
      <c r="G208" t="s">
        <v>150</v>
      </c>
      <c r="H208" t="str">
        <f>IFERROR(VLOOKUP(Transactions!G208,Merchants!A:B,2,FALSE),"Not Found")</f>
        <v>Nova Services</v>
      </c>
      <c r="I208" s="9">
        <v>52981.16</v>
      </c>
      <c r="J208" s="3">
        <v>158.94</v>
      </c>
      <c r="K208" t="s">
        <v>72</v>
      </c>
      <c r="L208" t="s">
        <v>59</v>
      </c>
      <c r="M208" t="s">
        <v>111</v>
      </c>
      <c r="N208" t="s">
        <v>61</v>
      </c>
      <c r="O208" t="s">
        <v>81</v>
      </c>
      <c r="P208" t="str">
        <f t="shared" si="7"/>
        <v>High Value</v>
      </c>
      <c r="Q208" t="str">
        <f>VLOOKUP(G208,Merchants!A:C,3,TRUE)</f>
        <v>Electronics</v>
      </c>
    </row>
    <row r="209" spans="1:17" x14ac:dyDescent="0.3">
      <c r="A209" t="s">
        <v>587</v>
      </c>
      <c r="B209" s="2">
        <v>45980.834490740737</v>
      </c>
      <c r="C209" s="2" t="str">
        <f t="shared" si="6"/>
        <v>Nov-2025</v>
      </c>
      <c r="D209" t="s">
        <v>547</v>
      </c>
      <c r="E209" t="str">
        <f>VLOOKUP(D209,Customers!A:H,7,0)</f>
        <v>Business Owner</v>
      </c>
      <c r="F209" t="s">
        <v>588</v>
      </c>
      <c r="G209" t="s">
        <v>237</v>
      </c>
      <c r="H209" t="str">
        <f>IFERROR(VLOOKUP(Transactions!G209,Merchants!A:B,2,FALSE),"Not Found")</f>
        <v>Metro Pay</v>
      </c>
      <c r="I209" s="9">
        <v>59488.63</v>
      </c>
      <c r="J209" s="3">
        <v>297.44</v>
      </c>
      <c r="K209" t="s">
        <v>96</v>
      </c>
      <c r="L209" t="s">
        <v>59</v>
      </c>
      <c r="M209" t="s">
        <v>60</v>
      </c>
      <c r="N209" t="s">
        <v>67</v>
      </c>
      <c r="O209" t="s">
        <v>62</v>
      </c>
      <c r="P209" t="str">
        <f t="shared" si="7"/>
        <v>High Value</v>
      </c>
      <c r="Q209" t="str">
        <f>VLOOKUP(G209,Merchants!A:C,3,TRUE)</f>
        <v>Healthcare</v>
      </c>
    </row>
    <row r="210" spans="1:17" x14ac:dyDescent="0.3">
      <c r="A210" t="s">
        <v>589</v>
      </c>
      <c r="B210" s="2">
        <v>46042.834722222222</v>
      </c>
      <c r="C210" s="2" t="str">
        <f t="shared" si="6"/>
        <v>Jan-2026</v>
      </c>
      <c r="D210" t="s">
        <v>590</v>
      </c>
      <c r="E210" t="str">
        <f>VLOOKUP(D210,Customers!A:H,7,0)</f>
        <v>Self-employed</v>
      </c>
      <c r="F210" t="s">
        <v>469</v>
      </c>
      <c r="G210" t="s">
        <v>198</v>
      </c>
      <c r="H210" t="str">
        <f>IFERROR(VLOOKUP(Transactions!G210,Merchants!A:B,2,FALSE),"Not Found")</f>
        <v>Metro Services</v>
      </c>
      <c r="I210" s="9">
        <v>55576.2</v>
      </c>
      <c r="J210" s="3">
        <v>555.76</v>
      </c>
      <c r="K210" t="s">
        <v>58</v>
      </c>
      <c r="L210" t="s">
        <v>59</v>
      </c>
      <c r="M210" t="s">
        <v>86</v>
      </c>
      <c r="N210" t="s">
        <v>61</v>
      </c>
      <c r="O210" t="s">
        <v>91</v>
      </c>
      <c r="P210" t="str">
        <f t="shared" si="7"/>
        <v>High Value</v>
      </c>
      <c r="Q210" t="str">
        <f>VLOOKUP(G210,Merchants!A:C,3,TRUE)</f>
        <v>Travel</v>
      </c>
    </row>
    <row r="211" spans="1:17" x14ac:dyDescent="0.3">
      <c r="A211" t="s">
        <v>591</v>
      </c>
      <c r="B211" s="2">
        <v>46188.204918981479</v>
      </c>
      <c r="C211" s="2" t="str">
        <f t="shared" si="6"/>
        <v>Jun-2026</v>
      </c>
      <c r="D211" t="s">
        <v>441</v>
      </c>
      <c r="E211" t="str">
        <f>VLOOKUP(D211,Customers!A:H,7,0)</f>
        <v>Business Owner</v>
      </c>
      <c r="F211" t="s">
        <v>592</v>
      </c>
      <c r="G211" t="s">
        <v>182</v>
      </c>
      <c r="H211" t="str">
        <f>IFERROR(VLOOKUP(Transactions!G211,Merchants!A:B,2,FALSE),"Not Found")</f>
        <v>Fresh Hub</v>
      </c>
      <c r="I211" s="9">
        <v>59605.38</v>
      </c>
      <c r="J211" s="3">
        <v>298.02999999999997</v>
      </c>
      <c r="K211" t="s">
        <v>58</v>
      </c>
      <c r="L211" t="s">
        <v>59</v>
      </c>
      <c r="M211" t="s">
        <v>60</v>
      </c>
      <c r="N211" t="s">
        <v>67</v>
      </c>
      <c r="O211" t="s">
        <v>91</v>
      </c>
      <c r="P211" t="str">
        <f t="shared" si="7"/>
        <v>High Value</v>
      </c>
      <c r="Q211" t="str">
        <f>VLOOKUP(G211,Merchants!A:C,3,TRUE)</f>
        <v>Healthcare</v>
      </c>
    </row>
    <row r="212" spans="1:17" x14ac:dyDescent="0.3">
      <c r="A212" t="s">
        <v>593</v>
      </c>
      <c r="B212" s="2">
        <v>45696.698391203703</v>
      </c>
      <c r="C212" s="2" t="str">
        <f t="shared" si="6"/>
        <v>Feb-2025</v>
      </c>
      <c r="D212" t="s">
        <v>217</v>
      </c>
      <c r="E212" t="str">
        <f>VLOOKUP(D212,Customers!A:H,7,0)</f>
        <v>Self-employed</v>
      </c>
      <c r="F212" t="s">
        <v>301</v>
      </c>
      <c r="G212" t="s">
        <v>322</v>
      </c>
      <c r="H212" t="str">
        <f>IFERROR(VLOOKUP(Transactions!G212,Merchants!A:B,2,FALSE),"Not Found")</f>
        <v>Metro Pay</v>
      </c>
      <c r="I212" s="9">
        <v>21403.78</v>
      </c>
      <c r="J212" s="3">
        <v>107.02</v>
      </c>
      <c r="K212" t="s">
        <v>72</v>
      </c>
      <c r="L212" t="s">
        <v>59</v>
      </c>
      <c r="M212" t="s">
        <v>60</v>
      </c>
      <c r="N212" t="s">
        <v>67</v>
      </c>
      <c r="O212" t="s">
        <v>75</v>
      </c>
      <c r="P212" t="str">
        <f t="shared" si="7"/>
        <v>High Value</v>
      </c>
      <c r="Q212" t="str">
        <f>VLOOKUP(G212,Merchants!A:C,3,TRUE)</f>
        <v>Grocery</v>
      </c>
    </row>
    <row r="213" spans="1:17" x14ac:dyDescent="0.3">
      <c r="A213" t="s">
        <v>594</v>
      </c>
      <c r="B213" s="2">
        <v>46240.32984953704</v>
      </c>
      <c r="C213" s="2" t="str">
        <f t="shared" si="6"/>
        <v>Aug-2026</v>
      </c>
      <c r="D213" t="s">
        <v>289</v>
      </c>
      <c r="E213" t="str">
        <f>VLOOKUP(D213,Customers!A:H,7,0)</f>
        <v>Business Owner</v>
      </c>
      <c r="F213" t="s">
        <v>595</v>
      </c>
      <c r="G213" t="s">
        <v>107</v>
      </c>
      <c r="H213" t="str">
        <f>IFERROR(VLOOKUP(Transactions!G213,Merchants!A:B,2,FALSE),"Not Found")</f>
        <v>Blue Services</v>
      </c>
      <c r="I213" s="9">
        <v>44082.53</v>
      </c>
      <c r="J213" s="3">
        <v>440.83</v>
      </c>
      <c r="K213" t="s">
        <v>133</v>
      </c>
      <c r="L213" t="s">
        <v>80</v>
      </c>
      <c r="M213" t="s">
        <v>86</v>
      </c>
      <c r="N213" t="s">
        <v>61</v>
      </c>
      <c r="O213" t="s">
        <v>91</v>
      </c>
      <c r="P213" t="str">
        <f t="shared" si="7"/>
        <v>High Value</v>
      </c>
      <c r="Q213" t="str">
        <f>VLOOKUP(G213,Merchants!A:C,3,TRUE)</f>
        <v>Travel</v>
      </c>
    </row>
    <row r="214" spans="1:17" x14ac:dyDescent="0.3">
      <c r="A214" t="s">
        <v>596</v>
      </c>
      <c r="B214" s="2">
        <v>46248.578819444447</v>
      </c>
      <c r="C214" s="2" t="str">
        <f t="shared" si="6"/>
        <v>Aug-2026</v>
      </c>
      <c r="D214" t="s">
        <v>116</v>
      </c>
      <c r="E214" t="str">
        <f>VLOOKUP(D214,Customers!A:H,7,0)</f>
        <v>Business Owner</v>
      </c>
      <c r="F214" t="s">
        <v>393</v>
      </c>
      <c r="G214" t="s">
        <v>117</v>
      </c>
      <c r="H214" t="str">
        <f>IFERROR(VLOOKUP(Transactions!G214,Merchants!A:B,2,FALSE),"Not Found")</f>
        <v>Prime Pay</v>
      </c>
      <c r="I214" s="9">
        <v>4800.8</v>
      </c>
      <c r="J214" s="3">
        <v>24</v>
      </c>
      <c r="K214" t="s">
        <v>96</v>
      </c>
      <c r="L214" t="s">
        <v>59</v>
      </c>
      <c r="M214" t="s">
        <v>86</v>
      </c>
      <c r="N214" t="s">
        <v>67</v>
      </c>
      <c r="O214" t="s">
        <v>91</v>
      </c>
      <c r="P214" t="str">
        <f t="shared" si="7"/>
        <v>High Value</v>
      </c>
      <c r="Q214" t="str">
        <f>VLOOKUP(G214,Merchants!A:C,3,TRUE)</f>
        <v>Travel</v>
      </c>
    </row>
    <row r="215" spans="1:17" x14ac:dyDescent="0.3">
      <c r="A215" t="s">
        <v>597</v>
      </c>
      <c r="B215" s="2">
        <v>46049.082106481481</v>
      </c>
      <c r="C215" s="2" t="str">
        <f t="shared" si="6"/>
        <v>Jan-2026</v>
      </c>
      <c r="D215" t="s">
        <v>162</v>
      </c>
      <c r="E215" t="str">
        <f>VLOOKUP(D215,Customers!A:H,7,0)</f>
        <v>Self-employed</v>
      </c>
      <c r="F215" t="s">
        <v>160</v>
      </c>
      <c r="G215" t="s">
        <v>107</v>
      </c>
      <c r="H215" t="str">
        <f>IFERROR(VLOOKUP(Transactions!G215,Merchants!A:B,2,FALSE),"Not Found")</f>
        <v>Blue Services</v>
      </c>
      <c r="I215" s="9">
        <v>18356.53</v>
      </c>
      <c r="J215" s="3">
        <v>55.07</v>
      </c>
      <c r="K215" t="s">
        <v>90</v>
      </c>
      <c r="L215" t="s">
        <v>59</v>
      </c>
      <c r="M215" t="s">
        <v>111</v>
      </c>
      <c r="N215" t="s">
        <v>67</v>
      </c>
      <c r="O215" t="s">
        <v>75</v>
      </c>
      <c r="P215" t="str">
        <f t="shared" si="7"/>
        <v>High Value</v>
      </c>
      <c r="Q215" t="str">
        <f>VLOOKUP(G215,Merchants!A:C,3,TRUE)</f>
        <v>Travel</v>
      </c>
    </row>
    <row r="216" spans="1:17" x14ac:dyDescent="0.3">
      <c r="A216" t="s">
        <v>598</v>
      </c>
      <c r="B216" s="2">
        <v>46114.90283564815</v>
      </c>
      <c r="C216" s="2" t="str">
        <f t="shared" si="6"/>
        <v>Apr-2026</v>
      </c>
      <c r="D216" t="s">
        <v>599</v>
      </c>
      <c r="E216" t="str">
        <f>VLOOKUP(D216,Customers!A:H,7,0)</f>
        <v>Student</v>
      </c>
      <c r="F216" t="s">
        <v>600</v>
      </c>
      <c r="G216" t="s">
        <v>198</v>
      </c>
      <c r="H216" t="str">
        <f>IFERROR(VLOOKUP(Transactions!G216,Merchants!A:B,2,FALSE),"Not Found")</f>
        <v>Metro Services</v>
      </c>
      <c r="I216" s="9">
        <v>34557.769999999997</v>
      </c>
      <c r="J216" s="3">
        <v>345.58</v>
      </c>
      <c r="K216" t="s">
        <v>90</v>
      </c>
      <c r="L216" t="s">
        <v>59</v>
      </c>
      <c r="M216" t="s">
        <v>111</v>
      </c>
      <c r="N216" t="s">
        <v>61</v>
      </c>
      <c r="O216" t="s">
        <v>91</v>
      </c>
      <c r="P216" t="str">
        <f t="shared" si="7"/>
        <v>High Value</v>
      </c>
      <c r="Q216" t="str">
        <f>VLOOKUP(G216,Merchants!A:C,3,TRUE)</f>
        <v>Travel</v>
      </c>
    </row>
    <row r="217" spans="1:17" x14ac:dyDescent="0.3">
      <c r="A217" t="s">
        <v>601</v>
      </c>
      <c r="B217" s="2">
        <v>46145.866886574076</v>
      </c>
      <c r="C217" s="2" t="str">
        <f t="shared" si="6"/>
        <v>May-2026</v>
      </c>
      <c r="D217" t="s">
        <v>135</v>
      </c>
      <c r="E217" t="str">
        <f>VLOOKUP(D217,Customers!A:H,7,0)</f>
        <v>Salaried</v>
      </c>
      <c r="F217" t="s">
        <v>586</v>
      </c>
      <c r="G217" t="s">
        <v>150</v>
      </c>
      <c r="H217" t="str">
        <f>IFERROR(VLOOKUP(Transactions!G217,Merchants!A:B,2,FALSE),"Not Found")</f>
        <v>Nova Services</v>
      </c>
      <c r="I217" s="9">
        <v>44744.37</v>
      </c>
      <c r="J217" s="3">
        <v>223.72</v>
      </c>
      <c r="K217" t="s">
        <v>96</v>
      </c>
      <c r="L217" t="s">
        <v>59</v>
      </c>
      <c r="M217" t="s">
        <v>111</v>
      </c>
      <c r="N217" t="s">
        <v>67</v>
      </c>
      <c r="O217" t="s">
        <v>75</v>
      </c>
      <c r="P217" t="str">
        <f t="shared" si="7"/>
        <v>High Value</v>
      </c>
      <c r="Q217" t="str">
        <f>VLOOKUP(G217,Merchants!A:C,3,TRUE)</f>
        <v>Electronics</v>
      </c>
    </row>
    <row r="218" spans="1:17" x14ac:dyDescent="0.3">
      <c r="A218" t="s">
        <v>602</v>
      </c>
      <c r="B218" s="2">
        <v>46230.300532407397</v>
      </c>
      <c r="C218" s="2" t="str">
        <f t="shared" si="6"/>
        <v>Jul-2026</v>
      </c>
      <c r="D218" t="s">
        <v>503</v>
      </c>
      <c r="E218" t="str">
        <f>VLOOKUP(D218,Customers!A:H,7,0)</f>
        <v>Self-employed</v>
      </c>
      <c r="F218" t="s">
        <v>336</v>
      </c>
      <c r="G218" t="s">
        <v>233</v>
      </c>
      <c r="H218" t="str">
        <f>IFERROR(VLOOKUP(Transactions!G218,Merchants!A:B,2,FALSE),"Not Found")</f>
        <v>Urban Retail</v>
      </c>
      <c r="I218" s="9">
        <v>29322.880000000001</v>
      </c>
      <c r="J218" s="3">
        <v>87.97</v>
      </c>
      <c r="K218" t="s">
        <v>90</v>
      </c>
      <c r="L218" t="s">
        <v>80</v>
      </c>
      <c r="M218" t="s">
        <v>111</v>
      </c>
      <c r="N218" t="s">
        <v>67</v>
      </c>
      <c r="O218" t="s">
        <v>81</v>
      </c>
      <c r="P218" t="str">
        <f t="shared" si="7"/>
        <v>High Value</v>
      </c>
      <c r="Q218" t="str">
        <f>VLOOKUP(G218,Merchants!A:C,3,TRUE)</f>
        <v>Utilities</v>
      </c>
    </row>
    <row r="219" spans="1:17" x14ac:dyDescent="0.3">
      <c r="A219" t="s">
        <v>603</v>
      </c>
      <c r="B219" s="2">
        <v>46098.490624999999</v>
      </c>
      <c r="C219" s="2" t="str">
        <f t="shared" si="6"/>
        <v>Mar-2026</v>
      </c>
      <c r="D219" t="s">
        <v>246</v>
      </c>
      <c r="E219" t="str">
        <f>VLOOKUP(D219,Customers!A:H,7,0)</f>
        <v>Student</v>
      </c>
      <c r="F219" t="s">
        <v>604</v>
      </c>
      <c r="G219" t="s">
        <v>117</v>
      </c>
      <c r="H219" t="str">
        <f>IFERROR(VLOOKUP(Transactions!G219,Merchants!A:B,2,FALSE),"Not Found")</f>
        <v>Prime Pay</v>
      </c>
      <c r="I219" s="9">
        <v>41115.800000000003</v>
      </c>
      <c r="J219" s="3">
        <v>82.23</v>
      </c>
      <c r="K219" t="s">
        <v>72</v>
      </c>
      <c r="L219" t="s">
        <v>59</v>
      </c>
      <c r="M219" t="s">
        <v>60</v>
      </c>
      <c r="N219" t="s">
        <v>67</v>
      </c>
      <c r="O219" t="s">
        <v>81</v>
      </c>
      <c r="P219" t="str">
        <f t="shared" si="7"/>
        <v>High Value</v>
      </c>
      <c r="Q219" t="str">
        <f>VLOOKUP(G219,Merchants!A:C,3,TRUE)</f>
        <v>Travel</v>
      </c>
    </row>
    <row r="220" spans="1:17" x14ac:dyDescent="0.3">
      <c r="A220" t="s">
        <v>605</v>
      </c>
      <c r="B220" s="2">
        <v>46010.900925925933</v>
      </c>
      <c r="C220" s="2" t="str">
        <f t="shared" si="6"/>
        <v>Dec-2025</v>
      </c>
      <c r="D220" t="s">
        <v>116</v>
      </c>
      <c r="E220" t="str">
        <f>VLOOKUP(D220,Customers!A:H,7,0)</f>
        <v>Business Owner</v>
      </c>
      <c r="F220" t="s">
        <v>336</v>
      </c>
      <c r="G220" t="s">
        <v>250</v>
      </c>
      <c r="H220" t="str">
        <f>IFERROR(VLOOKUP(Transactions!G220,Merchants!A:B,2,FALSE),"Not Found")</f>
        <v>Fresh Hub</v>
      </c>
      <c r="I220" s="9">
        <v>39359.050000000003</v>
      </c>
      <c r="J220" s="3">
        <v>118.08</v>
      </c>
      <c r="K220" t="s">
        <v>133</v>
      </c>
      <c r="L220" t="s">
        <v>80</v>
      </c>
      <c r="M220" t="s">
        <v>111</v>
      </c>
      <c r="N220" t="s">
        <v>61</v>
      </c>
      <c r="O220" t="s">
        <v>91</v>
      </c>
      <c r="P220" t="str">
        <f t="shared" si="7"/>
        <v>High Value</v>
      </c>
      <c r="Q220" t="str">
        <f>VLOOKUP(G220,Merchants!A:C,3,TRUE)</f>
        <v>Healthcare</v>
      </c>
    </row>
    <row r="221" spans="1:17" x14ac:dyDescent="0.3">
      <c r="A221" t="s">
        <v>606</v>
      </c>
      <c r="B221" s="2">
        <v>45897.302928240737</v>
      </c>
      <c r="C221" s="2" t="str">
        <f t="shared" si="6"/>
        <v>Aug-2025</v>
      </c>
      <c r="D221" t="s">
        <v>231</v>
      </c>
      <c r="E221" t="str">
        <f>VLOOKUP(D221,Customers!A:H,7,0)</f>
        <v>Student</v>
      </c>
      <c r="F221" t="s">
        <v>142</v>
      </c>
      <c r="G221" t="s">
        <v>607</v>
      </c>
      <c r="H221" t="str">
        <f>IFERROR(VLOOKUP(Transactions!G221,Merchants!A:B,2,FALSE),"Not Found")</f>
        <v>Daily Digital</v>
      </c>
      <c r="I221" s="9">
        <v>41153.019999999997</v>
      </c>
      <c r="J221" s="3">
        <v>82.31</v>
      </c>
      <c r="K221" t="s">
        <v>90</v>
      </c>
      <c r="L221" t="s">
        <v>59</v>
      </c>
      <c r="M221" t="s">
        <v>111</v>
      </c>
      <c r="N221" t="s">
        <v>61</v>
      </c>
      <c r="O221" t="s">
        <v>91</v>
      </c>
      <c r="P221" t="str">
        <f t="shared" si="7"/>
        <v>High Value</v>
      </c>
      <c r="Q221" t="str">
        <f>VLOOKUP(G221,Merchants!A:C,3,TRUE)</f>
        <v>Healthcare</v>
      </c>
    </row>
    <row r="222" spans="1:17" x14ac:dyDescent="0.3">
      <c r="A222" t="s">
        <v>608</v>
      </c>
      <c r="B222" s="2">
        <v>46009.168807870366</v>
      </c>
      <c r="C222" s="2" t="str">
        <f t="shared" si="6"/>
        <v>Dec-2025</v>
      </c>
      <c r="D222" t="s">
        <v>609</v>
      </c>
      <c r="E222" t="str">
        <f>VLOOKUP(D222,Customers!A:H,7,0)</f>
        <v>Self-employed</v>
      </c>
      <c r="F222" t="s">
        <v>142</v>
      </c>
      <c r="G222" t="s">
        <v>347</v>
      </c>
      <c r="H222" t="str">
        <f>IFERROR(VLOOKUP(Transactions!G222,Merchants!A:B,2,FALSE),"Not Found")</f>
        <v>Nova Hub</v>
      </c>
      <c r="I222" s="9">
        <v>18376.57</v>
      </c>
      <c r="J222" s="3">
        <v>91.88</v>
      </c>
      <c r="K222" t="s">
        <v>90</v>
      </c>
      <c r="L222" t="s">
        <v>59</v>
      </c>
      <c r="M222" t="s">
        <v>111</v>
      </c>
      <c r="N222" t="s">
        <v>61</v>
      </c>
      <c r="O222" t="s">
        <v>75</v>
      </c>
      <c r="P222" t="str">
        <f t="shared" si="7"/>
        <v>High Value</v>
      </c>
      <c r="Q222" t="str">
        <f>VLOOKUP(G222,Merchants!A:C,3,TRUE)</f>
        <v>Fuel</v>
      </c>
    </row>
    <row r="223" spans="1:17" x14ac:dyDescent="0.3">
      <c r="A223" t="s">
        <v>610</v>
      </c>
      <c r="B223" s="2">
        <v>46295.214421296303</v>
      </c>
      <c r="C223" s="2" t="str">
        <f t="shared" si="6"/>
        <v>Sep-2026</v>
      </c>
      <c r="D223" t="s">
        <v>217</v>
      </c>
      <c r="E223" t="str">
        <f>VLOOKUP(D223,Customers!A:H,7,0)</f>
        <v>Self-employed</v>
      </c>
      <c r="F223" t="s">
        <v>200</v>
      </c>
      <c r="G223" t="s">
        <v>85</v>
      </c>
      <c r="H223" t="str">
        <f>IFERROR(VLOOKUP(Transactions!G223,Merchants!A:B,2,FALSE),"Not Found")</f>
        <v>Metro Pay</v>
      </c>
      <c r="I223" s="9">
        <v>41734.76</v>
      </c>
      <c r="J223" s="3">
        <v>417.35</v>
      </c>
      <c r="K223" t="s">
        <v>133</v>
      </c>
      <c r="L223" t="s">
        <v>80</v>
      </c>
      <c r="M223" t="s">
        <v>86</v>
      </c>
      <c r="N223" t="s">
        <v>61</v>
      </c>
      <c r="O223" t="s">
        <v>62</v>
      </c>
      <c r="P223" t="str">
        <f t="shared" si="7"/>
        <v>High Value</v>
      </c>
      <c r="Q223" t="str">
        <f>VLOOKUP(G223,Merchants!A:C,3,TRUE)</f>
        <v>Travel</v>
      </c>
    </row>
    <row r="224" spans="1:17" x14ac:dyDescent="0.3">
      <c r="A224" t="s">
        <v>611</v>
      </c>
      <c r="B224" s="2">
        <v>45719.430856481478</v>
      </c>
      <c r="C224" s="2" t="str">
        <f t="shared" si="6"/>
        <v>Mar-2025</v>
      </c>
      <c r="D224" t="s">
        <v>612</v>
      </c>
      <c r="E224" t="str">
        <f>VLOOKUP(D224,Customers!A:H,7,0)</f>
        <v>Student</v>
      </c>
      <c r="F224" t="s">
        <v>544</v>
      </c>
      <c r="G224" t="s">
        <v>156</v>
      </c>
      <c r="H224" t="str">
        <f>IFERROR(VLOOKUP(Transactions!G224,Merchants!A:B,2,FALSE),"Not Found")</f>
        <v>Blue Digital</v>
      </c>
      <c r="I224" s="9">
        <v>12121.69</v>
      </c>
      <c r="J224" s="3">
        <v>60.61</v>
      </c>
      <c r="K224" t="s">
        <v>58</v>
      </c>
      <c r="L224" t="s">
        <v>80</v>
      </c>
      <c r="M224" t="s">
        <v>86</v>
      </c>
      <c r="N224" t="s">
        <v>61</v>
      </c>
      <c r="O224" t="s">
        <v>81</v>
      </c>
      <c r="P224" t="str">
        <f t="shared" si="7"/>
        <v>High Value</v>
      </c>
      <c r="Q224" t="str">
        <f>VLOOKUP(G224,Merchants!A:C,3,TRUE)</f>
        <v>Electronics</v>
      </c>
    </row>
    <row r="225" spans="1:17" x14ac:dyDescent="0.3">
      <c r="A225" t="s">
        <v>613</v>
      </c>
      <c r="B225" s="2">
        <v>46026.163668981477</v>
      </c>
      <c r="C225" s="2" t="str">
        <f t="shared" si="6"/>
        <v>Jan-2026</v>
      </c>
      <c r="D225" t="s">
        <v>614</v>
      </c>
      <c r="E225" t="str">
        <f>VLOOKUP(D225,Customers!A:H,7,0)</f>
        <v>Self-employed</v>
      </c>
      <c r="F225" t="s">
        <v>204</v>
      </c>
      <c r="G225" t="s">
        <v>150</v>
      </c>
      <c r="H225" t="str">
        <f>IFERROR(VLOOKUP(Transactions!G225,Merchants!A:B,2,FALSE),"Not Found")</f>
        <v>Nova Services</v>
      </c>
      <c r="I225" s="9">
        <v>1242.79</v>
      </c>
      <c r="J225" s="3">
        <v>12.43</v>
      </c>
      <c r="K225" t="s">
        <v>58</v>
      </c>
      <c r="L225" t="s">
        <v>73</v>
      </c>
      <c r="M225" t="s">
        <v>60</v>
      </c>
      <c r="N225" t="s">
        <v>61</v>
      </c>
      <c r="O225" t="s">
        <v>91</v>
      </c>
      <c r="P225" t="str">
        <f t="shared" si="7"/>
        <v>Standard</v>
      </c>
      <c r="Q225" t="str">
        <f>VLOOKUP(G225,Merchants!A:C,3,TRUE)</f>
        <v>Electronics</v>
      </c>
    </row>
    <row r="226" spans="1:17" x14ac:dyDescent="0.3">
      <c r="A226" t="s">
        <v>615</v>
      </c>
      <c r="B226" s="2">
        <v>45848.301689814813</v>
      </c>
      <c r="C226" s="2" t="str">
        <f t="shared" si="6"/>
        <v>Jul-2025</v>
      </c>
      <c r="D226" t="s">
        <v>616</v>
      </c>
      <c r="E226" t="str">
        <f>VLOOKUP(D226,Customers!A:H,7,0)</f>
        <v>Business Owner</v>
      </c>
      <c r="F226" t="s">
        <v>301</v>
      </c>
      <c r="G226" t="s">
        <v>233</v>
      </c>
      <c r="H226" t="str">
        <f>IFERROR(VLOOKUP(Transactions!G226,Merchants!A:B,2,FALSE),"Not Found")</f>
        <v>Urban Retail</v>
      </c>
      <c r="I226" s="9">
        <v>30088.98</v>
      </c>
      <c r="J226" s="3">
        <v>60.18</v>
      </c>
      <c r="K226" t="s">
        <v>72</v>
      </c>
      <c r="L226" t="s">
        <v>59</v>
      </c>
      <c r="M226" t="s">
        <v>60</v>
      </c>
      <c r="N226" t="s">
        <v>61</v>
      </c>
      <c r="O226" t="s">
        <v>75</v>
      </c>
      <c r="P226" t="str">
        <f t="shared" si="7"/>
        <v>High Value</v>
      </c>
      <c r="Q226" t="str">
        <f>VLOOKUP(G226,Merchants!A:C,3,TRUE)</f>
        <v>Utilities</v>
      </c>
    </row>
    <row r="227" spans="1:17" x14ac:dyDescent="0.3">
      <c r="A227" t="s">
        <v>617</v>
      </c>
      <c r="B227" s="2">
        <v>45818.027870370373</v>
      </c>
      <c r="C227" s="2" t="str">
        <f t="shared" si="6"/>
        <v>Jun-2025</v>
      </c>
      <c r="D227" t="s">
        <v>618</v>
      </c>
      <c r="E227" t="str">
        <f>VLOOKUP(D227,Customers!A:H,7,0)</f>
        <v>Business Owner</v>
      </c>
      <c r="F227" t="s">
        <v>160</v>
      </c>
      <c r="G227" t="s">
        <v>79</v>
      </c>
      <c r="H227" t="str">
        <f>IFERROR(VLOOKUP(Transactions!G227,Merchants!A:B,2,FALSE),"Not Found")</f>
        <v>Nova Retail</v>
      </c>
      <c r="I227" s="9">
        <v>20872.12</v>
      </c>
      <c r="J227" s="3">
        <v>104.36</v>
      </c>
      <c r="K227" t="s">
        <v>58</v>
      </c>
      <c r="L227" t="s">
        <v>59</v>
      </c>
      <c r="M227" t="s">
        <v>60</v>
      </c>
      <c r="N227" t="s">
        <v>61</v>
      </c>
      <c r="O227" t="s">
        <v>91</v>
      </c>
      <c r="P227" t="str">
        <f t="shared" si="7"/>
        <v>High Value</v>
      </c>
      <c r="Q227" t="str">
        <f>VLOOKUP(G227,Merchants!A:C,3,TRUE)</f>
        <v>Grocery</v>
      </c>
    </row>
    <row r="228" spans="1:17" x14ac:dyDescent="0.3">
      <c r="A228" t="s">
        <v>619</v>
      </c>
      <c r="B228" s="2">
        <v>46226.425057870372</v>
      </c>
      <c r="C228" s="2" t="str">
        <f t="shared" si="6"/>
        <v>Jul-2026</v>
      </c>
      <c r="D228" t="s">
        <v>620</v>
      </c>
      <c r="E228" t="str">
        <f>VLOOKUP(D228,Customers!A:H,7,0)</f>
        <v>Salaried</v>
      </c>
      <c r="F228" t="s">
        <v>456</v>
      </c>
      <c r="G228" t="s">
        <v>103</v>
      </c>
      <c r="H228" t="str">
        <f>IFERROR(VLOOKUP(Transactions!G228,Merchants!A:B,2,FALSE),"Not Found")</f>
        <v>Nova Pay</v>
      </c>
      <c r="I228" s="9">
        <v>13612.4</v>
      </c>
      <c r="J228" s="3">
        <v>136.12</v>
      </c>
      <c r="K228" t="s">
        <v>96</v>
      </c>
      <c r="L228" t="s">
        <v>59</v>
      </c>
      <c r="M228" t="s">
        <v>111</v>
      </c>
      <c r="N228" t="s">
        <v>61</v>
      </c>
      <c r="O228" t="s">
        <v>62</v>
      </c>
      <c r="P228" t="str">
        <f t="shared" si="7"/>
        <v>High Value</v>
      </c>
      <c r="Q228" t="str">
        <f>VLOOKUP(G228,Merchants!A:C,3,TRUE)</f>
        <v>Fashion</v>
      </c>
    </row>
    <row r="229" spans="1:17" x14ac:dyDescent="0.3">
      <c r="A229" t="s">
        <v>621</v>
      </c>
      <c r="B229" s="2">
        <v>46244.231724537043</v>
      </c>
      <c r="C229" s="2" t="str">
        <f t="shared" si="6"/>
        <v>Aug-2026</v>
      </c>
      <c r="D229" t="s">
        <v>590</v>
      </c>
      <c r="E229" t="str">
        <f>VLOOKUP(D229,Customers!A:H,7,0)</f>
        <v>Self-employed</v>
      </c>
      <c r="F229" t="s">
        <v>423</v>
      </c>
      <c r="G229" t="s">
        <v>146</v>
      </c>
      <c r="H229" t="str">
        <f>IFERROR(VLOOKUP(Transactions!G229,Merchants!A:B,2,FALSE),"Not Found")</f>
        <v>Prime Mart</v>
      </c>
      <c r="I229" s="9">
        <v>25645.25</v>
      </c>
      <c r="J229" s="3">
        <v>128.22999999999999</v>
      </c>
      <c r="K229" t="s">
        <v>90</v>
      </c>
      <c r="L229" t="s">
        <v>59</v>
      </c>
      <c r="M229" t="s">
        <v>111</v>
      </c>
      <c r="N229" t="s">
        <v>67</v>
      </c>
      <c r="O229" t="s">
        <v>62</v>
      </c>
      <c r="P229" t="str">
        <f t="shared" si="7"/>
        <v>High Value</v>
      </c>
      <c r="Q229" t="str">
        <f>VLOOKUP(G229,Merchants!A:C,3,TRUE)</f>
        <v>Food &amp; Dining</v>
      </c>
    </row>
    <row r="230" spans="1:17" x14ac:dyDescent="0.3">
      <c r="A230" t="s">
        <v>622</v>
      </c>
      <c r="B230" s="2">
        <v>45974.794629629629</v>
      </c>
      <c r="C230" s="2" t="str">
        <f t="shared" si="6"/>
        <v>Nov-2025</v>
      </c>
      <c r="D230" t="s">
        <v>484</v>
      </c>
      <c r="E230" t="str">
        <f>VLOOKUP(D230,Customers!A:H,7,0)</f>
        <v>Self-employed</v>
      </c>
      <c r="F230" t="s">
        <v>623</v>
      </c>
      <c r="G230" t="s">
        <v>71</v>
      </c>
      <c r="H230" t="str">
        <f>IFERROR(VLOOKUP(Transactions!G230,Merchants!A:B,2,FALSE),"Not Found")</f>
        <v>Metro Pay</v>
      </c>
      <c r="I230" s="9">
        <v>54582.81</v>
      </c>
      <c r="J230" s="3">
        <v>163.75</v>
      </c>
      <c r="K230" t="s">
        <v>90</v>
      </c>
      <c r="L230" t="s">
        <v>59</v>
      </c>
      <c r="M230" t="s">
        <v>60</v>
      </c>
      <c r="N230" t="s">
        <v>67</v>
      </c>
      <c r="O230" t="s">
        <v>91</v>
      </c>
      <c r="P230" t="str">
        <f t="shared" si="7"/>
        <v>High Value</v>
      </c>
      <c r="Q230" t="str">
        <f>VLOOKUP(G230,Merchants!A:C,3,TRUE)</f>
        <v>Fashion</v>
      </c>
    </row>
    <row r="231" spans="1:17" x14ac:dyDescent="0.3">
      <c r="A231" t="s">
        <v>624</v>
      </c>
      <c r="B231" s="2">
        <v>45846.481805555559</v>
      </c>
      <c r="C231" s="2" t="str">
        <f t="shared" si="6"/>
        <v>Jul-2025</v>
      </c>
      <c r="D231" t="s">
        <v>625</v>
      </c>
      <c r="E231" t="str">
        <f>VLOOKUP(D231,Customers!A:H,7,0)</f>
        <v>Student</v>
      </c>
      <c r="F231" t="s">
        <v>393</v>
      </c>
      <c r="G231" t="s">
        <v>66</v>
      </c>
      <c r="H231" t="str">
        <f>IFERROR(VLOOKUP(Transactions!G231,Merchants!A:B,2,FALSE),"Not Found")</f>
        <v>Prime Digital</v>
      </c>
      <c r="I231" s="9">
        <v>50387.4</v>
      </c>
      <c r="J231" s="3">
        <v>100.77</v>
      </c>
      <c r="K231" t="s">
        <v>96</v>
      </c>
      <c r="L231" t="s">
        <v>59</v>
      </c>
      <c r="M231" t="s">
        <v>60</v>
      </c>
      <c r="N231" t="s">
        <v>61</v>
      </c>
      <c r="O231" t="s">
        <v>81</v>
      </c>
      <c r="P231" t="str">
        <f t="shared" si="7"/>
        <v>High Value</v>
      </c>
      <c r="Q231" t="str">
        <f>VLOOKUP(G231,Merchants!A:C,3,TRUE)</f>
        <v>Fuel</v>
      </c>
    </row>
    <row r="232" spans="1:17" x14ac:dyDescent="0.3">
      <c r="A232" t="s">
        <v>626</v>
      </c>
      <c r="B232" s="2">
        <v>45813.285092592603</v>
      </c>
      <c r="C232" s="2" t="str">
        <f t="shared" si="6"/>
        <v>Jun-2025</v>
      </c>
      <c r="D232" t="s">
        <v>435</v>
      </c>
      <c r="E232" t="str">
        <f>VLOOKUP(D232,Customers!A:H,7,0)</f>
        <v>Business Owner</v>
      </c>
      <c r="F232" t="s">
        <v>627</v>
      </c>
      <c r="G232" t="s">
        <v>208</v>
      </c>
      <c r="H232" t="str">
        <f>IFERROR(VLOOKUP(Transactions!G232,Merchants!A:B,2,FALSE),"Not Found")</f>
        <v>Blue Retail</v>
      </c>
      <c r="I232" s="9">
        <v>6495.61</v>
      </c>
      <c r="J232" s="3">
        <v>32.479999999999997</v>
      </c>
      <c r="K232" t="s">
        <v>90</v>
      </c>
      <c r="L232" t="s">
        <v>59</v>
      </c>
      <c r="M232" t="s">
        <v>111</v>
      </c>
      <c r="N232" t="s">
        <v>67</v>
      </c>
      <c r="O232" t="s">
        <v>91</v>
      </c>
      <c r="P232" t="str">
        <f t="shared" si="7"/>
        <v>High Value</v>
      </c>
      <c r="Q232" t="str">
        <f>VLOOKUP(G232,Merchants!A:C,3,TRUE)</f>
        <v>Healthcare</v>
      </c>
    </row>
    <row r="233" spans="1:17" x14ac:dyDescent="0.3">
      <c r="A233" t="s">
        <v>628</v>
      </c>
      <c r="B233" s="2">
        <v>46025.120567129627</v>
      </c>
      <c r="C233" s="2" t="str">
        <f t="shared" si="6"/>
        <v>Jan-2026</v>
      </c>
      <c r="D233" t="s">
        <v>398</v>
      </c>
      <c r="E233" t="str">
        <f>VLOOKUP(D233,Customers!A:H,7,0)</f>
        <v>Salaried</v>
      </c>
      <c r="F233" t="s">
        <v>145</v>
      </c>
      <c r="G233" t="s">
        <v>215</v>
      </c>
      <c r="H233" t="str">
        <f>IFERROR(VLOOKUP(Transactions!G233,Merchants!A:B,2,FALSE),"Not Found")</f>
        <v>Daily Hub</v>
      </c>
      <c r="I233" s="9">
        <v>41319.660000000003</v>
      </c>
      <c r="J233" s="3">
        <v>413.2</v>
      </c>
      <c r="K233" t="s">
        <v>96</v>
      </c>
      <c r="L233" t="s">
        <v>59</v>
      </c>
      <c r="M233" t="s">
        <v>74</v>
      </c>
      <c r="N233" t="s">
        <v>61</v>
      </c>
      <c r="O233" t="s">
        <v>62</v>
      </c>
      <c r="P233" t="str">
        <f t="shared" si="7"/>
        <v>High Value</v>
      </c>
      <c r="Q233" t="str">
        <f>VLOOKUP(G233,Merchants!A:C,3,TRUE)</f>
        <v>Fashion</v>
      </c>
    </row>
    <row r="234" spans="1:17" x14ac:dyDescent="0.3">
      <c r="A234" t="s">
        <v>629</v>
      </c>
      <c r="B234" s="2">
        <v>45825.293171296304</v>
      </c>
      <c r="C234" s="2" t="str">
        <f t="shared" si="6"/>
        <v>Jun-2025</v>
      </c>
      <c r="D234" t="s">
        <v>364</v>
      </c>
      <c r="E234" t="str">
        <f>VLOOKUP(D234,Customers!A:H,7,0)</f>
        <v>Self-employed</v>
      </c>
      <c r="F234" t="s">
        <v>279</v>
      </c>
      <c r="G234" t="s">
        <v>66</v>
      </c>
      <c r="H234" t="str">
        <f>IFERROR(VLOOKUP(Transactions!G234,Merchants!A:B,2,FALSE),"Not Found")</f>
        <v>Prime Digital</v>
      </c>
      <c r="I234" s="9">
        <v>13653.76</v>
      </c>
      <c r="J234" s="3">
        <v>27.31</v>
      </c>
      <c r="K234" t="s">
        <v>90</v>
      </c>
      <c r="L234" t="s">
        <v>59</v>
      </c>
      <c r="M234" t="s">
        <v>111</v>
      </c>
      <c r="N234" t="s">
        <v>67</v>
      </c>
      <c r="O234" t="s">
        <v>91</v>
      </c>
      <c r="P234" t="str">
        <f t="shared" si="7"/>
        <v>High Value</v>
      </c>
      <c r="Q234" t="str">
        <f>VLOOKUP(G234,Merchants!A:C,3,TRUE)</f>
        <v>Fuel</v>
      </c>
    </row>
    <row r="235" spans="1:17" x14ac:dyDescent="0.3">
      <c r="A235" t="s">
        <v>630</v>
      </c>
      <c r="B235" s="2">
        <v>45839.666400462957</v>
      </c>
      <c r="C235" s="2" t="str">
        <f t="shared" si="6"/>
        <v>Jul-2025</v>
      </c>
      <c r="D235" t="s">
        <v>83</v>
      </c>
      <c r="E235" t="str">
        <f>VLOOKUP(D235,Customers!A:H,7,0)</f>
        <v>Business Owner</v>
      </c>
      <c r="F235" t="s">
        <v>329</v>
      </c>
      <c r="G235" t="s">
        <v>192</v>
      </c>
      <c r="H235" t="str">
        <f>IFERROR(VLOOKUP(Transactions!G235,Merchants!A:B,2,FALSE),"Not Found")</f>
        <v>Blue Foods</v>
      </c>
      <c r="I235" s="9">
        <v>52041.03</v>
      </c>
      <c r="J235" s="3">
        <v>260.20999999999998</v>
      </c>
      <c r="K235" t="s">
        <v>96</v>
      </c>
      <c r="L235" t="s">
        <v>59</v>
      </c>
      <c r="M235" t="s">
        <v>74</v>
      </c>
      <c r="N235" t="s">
        <v>67</v>
      </c>
      <c r="O235" t="s">
        <v>75</v>
      </c>
      <c r="P235" t="str">
        <f t="shared" si="7"/>
        <v>High Value</v>
      </c>
      <c r="Q235" t="str">
        <f>VLOOKUP(G235,Merchants!A:C,3,TRUE)</f>
        <v>Travel</v>
      </c>
    </row>
    <row r="236" spans="1:17" x14ac:dyDescent="0.3">
      <c r="A236" t="s">
        <v>631</v>
      </c>
      <c r="B236" s="2">
        <v>45978.597939814812</v>
      </c>
      <c r="C236" s="2" t="str">
        <f t="shared" si="6"/>
        <v>Nov-2025</v>
      </c>
      <c r="D236" t="s">
        <v>284</v>
      </c>
      <c r="E236" t="str">
        <f>VLOOKUP(D236,Customers!A:H,7,0)</f>
        <v>Student</v>
      </c>
      <c r="F236" t="s">
        <v>185</v>
      </c>
      <c r="G236" t="s">
        <v>250</v>
      </c>
      <c r="H236" t="str">
        <f>IFERROR(VLOOKUP(Transactions!G236,Merchants!A:B,2,FALSE),"Not Found")</f>
        <v>Fresh Hub</v>
      </c>
      <c r="I236" s="9">
        <v>36729.14</v>
      </c>
      <c r="J236" s="3">
        <v>73.459999999999994</v>
      </c>
      <c r="K236" t="s">
        <v>96</v>
      </c>
      <c r="L236" t="s">
        <v>80</v>
      </c>
      <c r="M236" t="s">
        <v>86</v>
      </c>
      <c r="N236" t="s">
        <v>67</v>
      </c>
      <c r="O236" t="s">
        <v>75</v>
      </c>
      <c r="P236" t="str">
        <f t="shared" si="7"/>
        <v>High Value</v>
      </c>
      <c r="Q236" t="str">
        <f>VLOOKUP(G236,Merchants!A:C,3,TRUE)</f>
        <v>Healthcare</v>
      </c>
    </row>
    <row r="237" spans="1:17" x14ac:dyDescent="0.3">
      <c r="A237" t="s">
        <v>632</v>
      </c>
      <c r="B237" s="2">
        <v>45698.846041666657</v>
      </c>
      <c r="C237" s="2" t="str">
        <f t="shared" si="6"/>
        <v>Feb-2025</v>
      </c>
      <c r="D237" t="s">
        <v>633</v>
      </c>
      <c r="E237" t="str">
        <f>VLOOKUP(D237,Customers!A:H,7,0)</f>
        <v>Student</v>
      </c>
      <c r="F237" t="s">
        <v>634</v>
      </c>
      <c r="G237" t="s">
        <v>250</v>
      </c>
      <c r="H237" t="str">
        <f>IFERROR(VLOOKUP(Transactions!G237,Merchants!A:B,2,FALSE),"Not Found")</f>
        <v>Fresh Hub</v>
      </c>
      <c r="I237" s="9">
        <v>23305.13</v>
      </c>
      <c r="J237" s="3">
        <v>46.61</v>
      </c>
      <c r="K237" t="s">
        <v>96</v>
      </c>
      <c r="L237" t="s">
        <v>80</v>
      </c>
      <c r="M237" t="s">
        <v>60</v>
      </c>
      <c r="N237" t="s">
        <v>61</v>
      </c>
      <c r="O237" t="s">
        <v>75</v>
      </c>
      <c r="P237" t="str">
        <f t="shared" si="7"/>
        <v>High Value</v>
      </c>
      <c r="Q237" t="str">
        <f>VLOOKUP(G237,Merchants!A:C,3,TRUE)</f>
        <v>Healthcare</v>
      </c>
    </row>
    <row r="238" spans="1:17" x14ac:dyDescent="0.3">
      <c r="A238" t="s">
        <v>635</v>
      </c>
      <c r="B238" s="2">
        <v>45828.640879629631</v>
      </c>
      <c r="C238" s="2" t="str">
        <f t="shared" si="6"/>
        <v>Jun-2025</v>
      </c>
      <c r="D238" t="s">
        <v>166</v>
      </c>
      <c r="E238" t="str">
        <f>VLOOKUP(D238,Customers!A:H,7,0)</f>
        <v>Business Owner</v>
      </c>
      <c r="F238" t="s">
        <v>181</v>
      </c>
      <c r="G238" t="s">
        <v>156</v>
      </c>
      <c r="H238" t="str">
        <f>IFERROR(VLOOKUP(Transactions!G238,Merchants!A:B,2,FALSE),"Not Found")</f>
        <v>Blue Digital</v>
      </c>
      <c r="I238" s="9">
        <v>17735.740000000002</v>
      </c>
      <c r="J238" s="3">
        <v>53.21</v>
      </c>
      <c r="K238" t="s">
        <v>96</v>
      </c>
      <c r="L238" t="s">
        <v>157</v>
      </c>
      <c r="M238" t="s">
        <v>86</v>
      </c>
      <c r="N238" t="s">
        <v>67</v>
      </c>
      <c r="O238" t="s">
        <v>62</v>
      </c>
      <c r="P238" t="str">
        <f t="shared" si="7"/>
        <v>High Value</v>
      </c>
      <c r="Q238" t="str">
        <f>VLOOKUP(G238,Merchants!A:C,3,TRUE)</f>
        <v>Electronics</v>
      </c>
    </row>
    <row r="239" spans="1:17" x14ac:dyDescent="0.3">
      <c r="A239" t="s">
        <v>636</v>
      </c>
      <c r="B239" s="2">
        <v>46257.828912037039</v>
      </c>
      <c r="C239" s="2" t="str">
        <f t="shared" si="6"/>
        <v>Aug-2026</v>
      </c>
      <c r="D239" t="s">
        <v>317</v>
      </c>
      <c r="E239" t="str">
        <f>VLOOKUP(D239,Customers!A:H,7,0)</f>
        <v>Salaried</v>
      </c>
      <c r="F239" t="s">
        <v>240</v>
      </c>
      <c r="G239" t="s">
        <v>554</v>
      </c>
      <c r="H239" t="str">
        <f>IFERROR(VLOOKUP(Transactions!G239,Merchants!A:B,2,FALSE),"Not Found")</f>
        <v>Green Pay</v>
      </c>
      <c r="I239" s="9">
        <v>8204.8700000000008</v>
      </c>
      <c r="J239" s="3">
        <v>82.05</v>
      </c>
      <c r="K239" t="s">
        <v>133</v>
      </c>
      <c r="L239" t="s">
        <v>59</v>
      </c>
      <c r="M239" t="s">
        <v>111</v>
      </c>
      <c r="N239" t="s">
        <v>61</v>
      </c>
      <c r="O239" t="s">
        <v>91</v>
      </c>
      <c r="P239" t="str">
        <f t="shared" si="7"/>
        <v>High Value</v>
      </c>
      <c r="Q239" t="str">
        <f>VLOOKUP(G239,Merchants!A:C,3,TRUE)</f>
        <v>Utilities</v>
      </c>
    </row>
    <row r="240" spans="1:17" x14ac:dyDescent="0.3">
      <c r="A240" t="s">
        <v>637</v>
      </c>
      <c r="B240" s="2">
        <v>45914.491631944453</v>
      </c>
      <c r="C240" s="2" t="str">
        <f t="shared" si="6"/>
        <v>Sep-2025</v>
      </c>
      <c r="D240" t="s">
        <v>93</v>
      </c>
      <c r="E240" t="str">
        <f>VLOOKUP(D240,Customers!A:H,7,0)</f>
        <v>Student</v>
      </c>
      <c r="F240" t="s">
        <v>174</v>
      </c>
      <c r="G240" t="s">
        <v>124</v>
      </c>
      <c r="H240" t="str">
        <f>IFERROR(VLOOKUP(Transactions!G240,Merchants!A:B,2,FALSE),"Not Found")</f>
        <v>Daily Services</v>
      </c>
      <c r="I240" s="9">
        <v>41533.870000000003</v>
      </c>
      <c r="J240" s="3">
        <v>124.6</v>
      </c>
      <c r="K240" t="s">
        <v>96</v>
      </c>
      <c r="L240" t="s">
        <v>157</v>
      </c>
      <c r="M240" t="s">
        <v>60</v>
      </c>
      <c r="N240" t="s">
        <v>67</v>
      </c>
      <c r="O240" t="s">
        <v>75</v>
      </c>
      <c r="P240" t="str">
        <f t="shared" si="7"/>
        <v>High Value</v>
      </c>
      <c r="Q240" t="str">
        <f>VLOOKUP(G240,Merchants!A:C,3,TRUE)</f>
        <v>Food &amp; Dining</v>
      </c>
    </row>
    <row r="241" spans="1:17" x14ac:dyDescent="0.3">
      <c r="A241" t="s">
        <v>638</v>
      </c>
      <c r="B241" s="2">
        <v>46181.928530092591</v>
      </c>
      <c r="C241" s="2" t="str">
        <f t="shared" si="6"/>
        <v>Jun-2026</v>
      </c>
      <c r="D241" t="s">
        <v>639</v>
      </c>
      <c r="E241" t="str">
        <f>VLOOKUP(D241,Customers!A:H,7,0)</f>
        <v>Self-employed</v>
      </c>
      <c r="F241" t="s">
        <v>640</v>
      </c>
      <c r="G241" t="s">
        <v>95</v>
      </c>
      <c r="H241" t="str">
        <f>IFERROR(VLOOKUP(Transactions!G241,Merchants!A:B,2,FALSE),"Not Found")</f>
        <v>Quick Pay</v>
      </c>
      <c r="I241" s="9">
        <v>56990.26</v>
      </c>
      <c r="J241" s="3">
        <v>569.9</v>
      </c>
      <c r="K241" t="s">
        <v>72</v>
      </c>
      <c r="L241" t="s">
        <v>59</v>
      </c>
      <c r="M241" t="s">
        <v>111</v>
      </c>
      <c r="N241" t="s">
        <v>67</v>
      </c>
      <c r="O241" t="s">
        <v>62</v>
      </c>
      <c r="P241" t="str">
        <f t="shared" si="7"/>
        <v>High Value</v>
      </c>
      <c r="Q241" t="str">
        <f>VLOOKUP(G241,Merchants!A:C,3,TRUE)</f>
        <v>Healthcare</v>
      </c>
    </row>
    <row r="242" spans="1:17" x14ac:dyDescent="0.3">
      <c r="A242" t="s">
        <v>641</v>
      </c>
      <c r="B242" s="2">
        <v>45841.077835648153</v>
      </c>
      <c r="C242" s="2" t="str">
        <f t="shared" si="6"/>
        <v>Jul-2025</v>
      </c>
      <c r="D242" t="s">
        <v>642</v>
      </c>
      <c r="E242" t="str">
        <f>VLOOKUP(D242,Customers!A:H,7,0)</f>
        <v>Business Owner</v>
      </c>
      <c r="F242" t="s">
        <v>583</v>
      </c>
      <c r="G242" t="s">
        <v>215</v>
      </c>
      <c r="H242" t="str">
        <f>IFERROR(VLOOKUP(Transactions!G242,Merchants!A:B,2,FALSE),"Not Found")</f>
        <v>Daily Hub</v>
      </c>
      <c r="I242" s="9">
        <v>25232.94</v>
      </c>
      <c r="J242" s="3">
        <v>252.33</v>
      </c>
      <c r="K242" t="s">
        <v>58</v>
      </c>
      <c r="L242" t="s">
        <v>59</v>
      </c>
      <c r="M242" t="s">
        <v>111</v>
      </c>
      <c r="N242" t="s">
        <v>67</v>
      </c>
      <c r="O242" t="s">
        <v>91</v>
      </c>
      <c r="P242" t="str">
        <f t="shared" si="7"/>
        <v>High Value</v>
      </c>
      <c r="Q242" t="str">
        <f>VLOOKUP(G242,Merchants!A:C,3,TRUE)</f>
        <v>Fashion</v>
      </c>
    </row>
    <row r="243" spans="1:17" x14ac:dyDescent="0.3">
      <c r="A243" t="s">
        <v>643</v>
      </c>
      <c r="B243" s="2">
        <v>46295.383969907409</v>
      </c>
      <c r="C243" s="2" t="str">
        <f t="shared" si="6"/>
        <v>Sep-2026</v>
      </c>
      <c r="D243" t="s">
        <v>437</v>
      </c>
      <c r="E243" t="str">
        <f>VLOOKUP(D243,Customers!A:H,7,0)</f>
        <v>Salaried</v>
      </c>
      <c r="F243" t="s">
        <v>644</v>
      </c>
      <c r="G243" t="s">
        <v>229</v>
      </c>
      <c r="H243" t="str">
        <f>IFERROR(VLOOKUP(Transactions!G243,Merchants!A:B,2,FALSE),"Not Found")</f>
        <v>Urban Services</v>
      </c>
      <c r="I243" s="9">
        <v>831.25</v>
      </c>
      <c r="J243" s="3">
        <v>8.31</v>
      </c>
      <c r="K243" t="s">
        <v>133</v>
      </c>
      <c r="L243" t="s">
        <v>59</v>
      </c>
      <c r="M243" t="s">
        <v>74</v>
      </c>
      <c r="N243" t="s">
        <v>67</v>
      </c>
      <c r="O243" t="s">
        <v>62</v>
      </c>
      <c r="P243" t="str">
        <f t="shared" si="7"/>
        <v>Standard</v>
      </c>
      <c r="Q243" t="str">
        <f>VLOOKUP(G243,Merchants!A:C,3,TRUE)</f>
        <v>Fashion</v>
      </c>
    </row>
    <row r="244" spans="1:17" x14ac:dyDescent="0.3">
      <c r="A244" t="s">
        <v>645</v>
      </c>
      <c r="B244" s="2">
        <v>46260.721666666657</v>
      </c>
      <c r="C244" s="2" t="str">
        <f t="shared" si="6"/>
        <v>Aug-2026</v>
      </c>
      <c r="D244" t="s">
        <v>646</v>
      </c>
      <c r="E244" t="str">
        <f>VLOOKUP(D244,Customers!A:H,7,0)</f>
        <v>Business Owner</v>
      </c>
      <c r="F244" t="s">
        <v>393</v>
      </c>
      <c r="G244" t="s">
        <v>164</v>
      </c>
      <c r="H244" t="str">
        <f>IFERROR(VLOOKUP(Transactions!G244,Merchants!A:B,2,FALSE),"Not Found")</f>
        <v>Green Foods</v>
      </c>
      <c r="I244" s="9">
        <v>27278.94</v>
      </c>
      <c r="J244" s="3">
        <v>54.56</v>
      </c>
      <c r="K244" t="s">
        <v>72</v>
      </c>
      <c r="L244" t="s">
        <v>59</v>
      </c>
      <c r="M244" t="s">
        <v>111</v>
      </c>
      <c r="N244" t="s">
        <v>67</v>
      </c>
      <c r="O244" t="s">
        <v>62</v>
      </c>
      <c r="P244" t="str">
        <f t="shared" si="7"/>
        <v>High Value</v>
      </c>
      <c r="Q244" t="str">
        <f>VLOOKUP(G244,Merchants!A:C,3,TRUE)</f>
        <v>Grocery</v>
      </c>
    </row>
    <row r="245" spans="1:17" x14ac:dyDescent="0.3">
      <c r="A245" t="s">
        <v>647</v>
      </c>
      <c r="B245" s="2">
        <v>45809.08353009259</v>
      </c>
      <c r="C245" s="2" t="str">
        <f t="shared" si="6"/>
        <v>Jun-2025</v>
      </c>
      <c r="D245" t="s">
        <v>141</v>
      </c>
      <c r="E245" t="str">
        <f>VLOOKUP(D245,Customers!A:H,7,0)</f>
        <v>Salaried</v>
      </c>
      <c r="F245" t="s">
        <v>533</v>
      </c>
      <c r="G245" t="s">
        <v>382</v>
      </c>
      <c r="H245" t="str">
        <f>IFERROR(VLOOKUP(Transactions!G245,Merchants!A:B,2,FALSE),"Not Found")</f>
        <v>Fresh Foods</v>
      </c>
      <c r="I245" s="9">
        <v>39231.29</v>
      </c>
      <c r="J245" s="3">
        <v>78.459999999999994</v>
      </c>
      <c r="K245" t="s">
        <v>72</v>
      </c>
      <c r="L245" t="s">
        <v>59</v>
      </c>
      <c r="M245" t="s">
        <v>60</v>
      </c>
      <c r="N245" t="s">
        <v>67</v>
      </c>
      <c r="O245" t="s">
        <v>91</v>
      </c>
      <c r="P245" t="str">
        <f t="shared" si="7"/>
        <v>High Value</v>
      </c>
      <c r="Q245" t="str">
        <f>VLOOKUP(G245,Merchants!A:C,3,TRUE)</f>
        <v>Healthcare</v>
      </c>
    </row>
    <row r="246" spans="1:17" x14ac:dyDescent="0.3">
      <c r="A246" t="s">
        <v>648</v>
      </c>
      <c r="B246" s="2">
        <v>45769.632534722223</v>
      </c>
      <c r="C246" s="2" t="str">
        <f t="shared" si="6"/>
        <v>Apr-2025</v>
      </c>
      <c r="D246" t="s">
        <v>574</v>
      </c>
      <c r="E246" t="str">
        <f>VLOOKUP(D246,Customers!A:H,7,0)</f>
        <v>Salaried</v>
      </c>
      <c r="F246" t="s">
        <v>649</v>
      </c>
      <c r="G246" t="s">
        <v>107</v>
      </c>
      <c r="H246" t="str">
        <f>IFERROR(VLOOKUP(Transactions!G246,Merchants!A:B,2,FALSE),"Not Found")</f>
        <v>Blue Services</v>
      </c>
      <c r="I246" s="9">
        <v>59624.74</v>
      </c>
      <c r="J246" s="3">
        <v>298.12</v>
      </c>
      <c r="K246" t="s">
        <v>133</v>
      </c>
      <c r="L246" t="s">
        <v>59</v>
      </c>
      <c r="M246" t="s">
        <v>111</v>
      </c>
      <c r="N246" t="s">
        <v>61</v>
      </c>
      <c r="O246" t="s">
        <v>81</v>
      </c>
      <c r="P246" t="str">
        <f t="shared" si="7"/>
        <v>High Value</v>
      </c>
      <c r="Q246" t="str">
        <f>VLOOKUP(G246,Merchants!A:C,3,TRUE)</f>
        <v>Travel</v>
      </c>
    </row>
    <row r="247" spans="1:17" x14ac:dyDescent="0.3">
      <c r="A247" t="s">
        <v>650</v>
      </c>
      <c r="B247" s="2">
        <v>45694.141273148147</v>
      </c>
      <c r="C247" s="2" t="str">
        <f t="shared" si="6"/>
        <v>Feb-2025</v>
      </c>
      <c r="D247" t="s">
        <v>570</v>
      </c>
      <c r="E247" t="str">
        <f>VLOOKUP(D247,Customers!A:H,7,0)</f>
        <v>Business Owner</v>
      </c>
      <c r="F247" t="s">
        <v>651</v>
      </c>
      <c r="G247" t="s">
        <v>117</v>
      </c>
      <c r="H247" t="str">
        <f>IFERROR(VLOOKUP(Transactions!G247,Merchants!A:B,2,FALSE),"Not Found")</f>
        <v>Prime Pay</v>
      </c>
      <c r="I247" s="9">
        <v>46133.87</v>
      </c>
      <c r="J247" s="3">
        <v>461.34</v>
      </c>
      <c r="K247" t="s">
        <v>133</v>
      </c>
      <c r="L247" t="s">
        <v>59</v>
      </c>
      <c r="M247" t="s">
        <v>86</v>
      </c>
      <c r="N247" t="s">
        <v>61</v>
      </c>
      <c r="O247" t="s">
        <v>75</v>
      </c>
      <c r="P247" t="str">
        <f t="shared" si="7"/>
        <v>High Value</v>
      </c>
      <c r="Q247" t="str">
        <f>VLOOKUP(G247,Merchants!A:C,3,TRUE)</f>
        <v>Travel</v>
      </c>
    </row>
    <row r="248" spans="1:17" x14ac:dyDescent="0.3">
      <c r="A248" t="s">
        <v>652</v>
      </c>
      <c r="B248" s="2">
        <v>45795.185104166667</v>
      </c>
      <c r="C248" s="2" t="str">
        <f t="shared" si="6"/>
        <v>May-2025</v>
      </c>
      <c r="D248" t="s">
        <v>227</v>
      </c>
      <c r="E248" t="str">
        <f>VLOOKUP(D248,Customers!A:H,7,0)</f>
        <v>Self-employed</v>
      </c>
      <c r="F248" t="s">
        <v>653</v>
      </c>
      <c r="G248" t="s">
        <v>107</v>
      </c>
      <c r="H248" t="str">
        <f>IFERROR(VLOOKUP(Transactions!G248,Merchants!A:B,2,FALSE),"Not Found")</f>
        <v>Blue Services</v>
      </c>
      <c r="I248" s="9">
        <v>41707.699999999997</v>
      </c>
      <c r="J248" s="3">
        <v>417.08</v>
      </c>
      <c r="K248" t="s">
        <v>90</v>
      </c>
      <c r="L248" t="s">
        <v>59</v>
      </c>
      <c r="M248" t="s">
        <v>86</v>
      </c>
      <c r="N248" t="s">
        <v>67</v>
      </c>
      <c r="O248" t="s">
        <v>91</v>
      </c>
      <c r="P248" t="str">
        <f t="shared" si="7"/>
        <v>High Value</v>
      </c>
      <c r="Q248" t="str">
        <f>VLOOKUP(G248,Merchants!A:C,3,TRUE)</f>
        <v>Travel</v>
      </c>
    </row>
    <row r="249" spans="1:17" x14ac:dyDescent="0.3">
      <c r="A249" t="s">
        <v>654</v>
      </c>
      <c r="B249" s="2">
        <v>46153.91746527778</v>
      </c>
      <c r="C249" s="2" t="str">
        <f t="shared" si="6"/>
        <v>May-2026</v>
      </c>
      <c r="D249" t="s">
        <v>102</v>
      </c>
      <c r="E249" t="str">
        <f>VLOOKUP(D249,Customers!A:H,7,0)</f>
        <v>Business Owner</v>
      </c>
      <c r="F249" t="s">
        <v>310</v>
      </c>
      <c r="G249" t="s">
        <v>182</v>
      </c>
      <c r="H249" t="str">
        <f>IFERROR(VLOOKUP(Transactions!G249,Merchants!A:B,2,FALSE),"Not Found")</f>
        <v>Fresh Hub</v>
      </c>
      <c r="I249" s="9">
        <v>56040.11</v>
      </c>
      <c r="J249" s="3">
        <v>280.2</v>
      </c>
      <c r="K249" t="s">
        <v>72</v>
      </c>
      <c r="L249" t="s">
        <v>157</v>
      </c>
      <c r="M249" t="s">
        <v>60</v>
      </c>
      <c r="N249" t="s">
        <v>67</v>
      </c>
      <c r="O249" t="s">
        <v>75</v>
      </c>
      <c r="P249" t="str">
        <f t="shared" si="7"/>
        <v>High Value</v>
      </c>
      <c r="Q249" t="str">
        <f>VLOOKUP(G249,Merchants!A:C,3,TRUE)</f>
        <v>Healthcare</v>
      </c>
    </row>
    <row r="250" spans="1:17" x14ac:dyDescent="0.3">
      <c r="A250" t="s">
        <v>655</v>
      </c>
      <c r="B250" s="2">
        <v>46190.958541666667</v>
      </c>
      <c r="C250" s="2" t="str">
        <f t="shared" si="6"/>
        <v>Jun-2026</v>
      </c>
      <c r="D250" t="s">
        <v>599</v>
      </c>
      <c r="E250" t="str">
        <f>VLOOKUP(D250,Customers!A:H,7,0)</f>
        <v>Student</v>
      </c>
      <c r="F250" t="s">
        <v>557</v>
      </c>
      <c r="G250" t="s">
        <v>229</v>
      </c>
      <c r="H250" t="str">
        <f>IFERROR(VLOOKUP(Transactions!G250,Merchants!A:B,2,FALSE),"Not Found")</f>
        <v>Urban Services</v>
      </c>
      <c r="I250" s="9">
        <v>29914.69</v>
      </c>
      <c r="J250" s="3">
        <v>89.74</v>
      </c>
      <c r="K250" t="s">
        <v>58</v>
      </c>
      <c r="L250" t="s">
        <v>73</v>
      </c>
      <c r="M250" t="s">
        <v>86</v>
      </c>
      <c r="N250" t="s">
        <v>61</v>
      </c>
      <c r="O250" t="s">
        <v>91</v>
      </c>
      <c r="P250" t="str">
        <f t="shared" si="7"/>
        <v>High Value</v>
      </c>
      <c r="Q250" t="str">
        <f>VLOOKUP(G250,Merchants!A:C,3,TRUE)</f>
        <v>Fashion</v>
      </c>
    </row>
    <row r="251" spans="1:17" x14ac:dyDescent="0.3">
      <c r="A251" t="s">
        <v>656</v>
      </c>
      <c r="B251" s="2">
        <v>45870.933437500003</v>
      </c>
      <c r="C251" s="2" t="str">
        <f t="shared" si="6"/>
        <v>Aug-2025</v>
      </c>
      <c r="D251" t="s">
        <v>116</v>
      </c>
      <c r="E251" t="str">
        <f>VLOOKUP(D251,Customers!A:H,7,0)</f>
        <v>Business Owner</v>
      </c>
      <c r="F251" t="s">
        <v>384</v>
      </c>
      <c r="G251" t="s">
        <v>237</v>
      </c>
      <c r="H251" t="str">
        <f>IFERROR(VLOOKUP(Transactions!G251,Merchants!A:B,2,FALSE),"Not Found")</f>
        <v>Metro Pay</v>
      </c>
      <c r="I251" s="9">
        <v>59939.32</v>
      </c>
      <c r="J251" s="3">
        <v>299.7</v>
      </c>
      <c r="K251" t="s">
        <v>90</v>
      </c>
      <c r="L251" t="s">
        <v>59</v>
      </c>
      <c r="M251" t="s">
        <v>86</v>
      </c>
      <c r="N251" t="s">
        <v>67</v>
      </c>
      <c r="O251" t="s">
        <v>81</v>
      </c>
      <c r="P251" t="str">
        <f t="shared" si="7"/>
        <v>High Value</v>
      </c>
      <c r="Q251" t="str">
        <f>VLOOKUP(G251,Merchants!A:C,3,TRUE)</f>
        <v>Healthcare</v>
      </c>
    </row>
    <row r="252" spans="1:17" x14ac:dyDescent="0.3">
      <c r="A252" t="s">
        <v>657</v>
      </c>
      <c r="B252" s="2">
        <v>45918.102905092594</v>
      </c>
      <c r="C252" s="2" t="str">
        <f t="shared" si="6"/>
        <v>Sep-2025</v>
      </c>
      <c r="D252" t="s">
        <v>658</v>
      </c>
      <c r="E252" t="str">
        <f>VLOOKUP(D252,Customers!A:H,7,0)</f>
        <v>Self-employed</v>
      </c>
      <c r="F252" t="s">
        <v>659</v>
      </c>
      <c r="G252" t="s">
        <v>128</v>
      </c>
      <c r="H252" t="str">
        <f>IFERROR(VLOOKUP(Transactions!G252,Merchants!A:B,2,FALSE),"Not Found")</f>
        <v>Blue Foods</v>
      </c>
      <c r="I252" s="9">
        <v>18535.580000000002</v>
      </c>
      <c r="J252" s="3">
        <v>92.68</v>
      </c>
      <c r="K252" t="s">
        <v>72</v>
      </c>
      <c r="L252" t="s">
        <v>59</v>
      </c>
      <c r="M252" t="s">
        <v>60</v>
      </c>
      <c r="N252" t="s">
        <v>61</v>
      </c>
      <c r="O252" t="s">
        <v>91</v>
      </c>
      <c r="P252" t="str">
        <f t="shared" si="7"/>
        <v>High Value</v>
      </c>
      <c r="Q252" t="str">
        <f>VLOOKUP(G252,Merchants!A:C,3,TRUE)</f>
        <v>Food &amp; Dining</v>
      </c>
    </row>
    <row r="253" spans="1:17" x14ac:dyDescent="0.3">
      <c r="A253" t="s">
        <v>660</v>
      </c>
      <c r="B253" s="2">
        <v>45837.294328703712</v>
      </c>
      <c r="C253" s="2" t="str">
        <f t="shared" si="6"/>
        <v>Jun-2025</v>
      </c>
      <c r="D253" t="s">
        <v>268</v>
      </c>
      <c r="E253" t="str">
        <f>VLOOKUP(D253,Customers!A:H,7,0)</f>
        <v>Student</v>
      </c>
      <c r="F253" t="s">
        <v>525</v>
      </c>
      <c r="G253" t="s">
        <v>175</v>
      </c>
      <c r="H253" t="str">
        <f>IFERROR(VLOOKUP(Transactions!G253,Merchants!A:B,2,FALSE),"Not Found")</f>
        <v>Fresh Mart</v>
      </c>
      <c r="I253" s="9">
        <v>19897.84</v>
      </c>
      <c r="J253" s="3">
        <v>198.98</v>
      </c>
      <c r="K253" t="s">
        <v>90</v>
      </c>
      <c r="L253" t="s">
        <v>59</v>
      </c>
      <c r="M253" t="s">
        <v>74</v>
      </c>
      <c r="N253" t="s">
        <v>67</v>
      </c>
      <c r="O253" t="s">
        <v>75</v>
      </c>
      <c r="P253" t="str">
        <f t="shared" si="7"/>
        <v>High Value</v>
      </c>
      <c r="Q253" t="str">
        <f>VLOOKUP(G253,Merchants!A:C,3,TRUE)</f>
        <v>Electronics</v>
      </c>
    </row>
    <row r="254" spans="1:17" x14ac:dyDescent="0.3">
      <c r="A254" t="s">
        <v>661</v>
      </c>
      <c r="B254" s="2">
        <v>46207.508368055547</v>
      </c>
      <c r="C254" s="2" t="str">
        <f t="shared" si="6"/>
        <v>Jul-2026</v>
      </c>
      <c r="D254" t="s">
        <v>284</v>
      </c>
      <c r="E254" t="str">
        <f>VLOOKUP(D254,Customers!A:H,7,0)</f>
        <v>Student</v>
      </c>
      <c r="F254" t="s">
        <v>528</v>
      </c>
      <c r="G254" t="s">
        <v>71</v>
      </c>
      <c r="H254" t="str">
        <f>IFERROR(VLOOKUP(Transactions!G254,Merchants!A:B,2,FALSE),"Not Found")</f>
        <v>Metro Pay</v>
      </c>
      <c r="I254" s="9">
        <v>27801.96</v>
      </c>
      <c r="J254" s="3">
        <v>55.6</v>
      </c>
      <c r="K254" t="s">
        <v>72</v>
      </c>
      <c r="L254" t="s">
        <v>73</v>
      </c>
      <c r="M254" t="s">
        <v>86</v>
      </c>
      <c r="N254" t="s">
        <v>67</v>
      </c>
      <c r="O254" t="s">
        <v>81</v>
      </c>
      <c r="P254" t="str">
        <f t="shared" si="7"/>
        <v>High Value</v>
      </c>
      <c r="Q254" t="str">
        <f>VLOOKUP(G254,Merchants!A:C,3,TRUE)</f>
        <v>Fashion</v>
      </c>
    </row>
    <row r="255" spans="1:17" x14ac:dyDescent="0.3">
      <c r="A255" t="s">
        <v>662</v>
      </c>
      <c r="B255" s="2">
        <v>46020.100439814807</v>
      </c>
      <c r="C255" s="2" t="str">
        <f t="shared" si="6"/>
        <v>Dec-2025</v>
      </c>
      <c r="D255" t="s">
        <v>88</v>
      </c>
      <c r="E255" t="str">
        <f>VLOOKUP(D255,Customers!A:H,7,0)</f>
        <v>Salaried</v>
      </c>
      <c r="F255" t="s">
        <v>472</v>
      </c>
      <c r="G255" t="s">
        <v>237</v>
      </c>
      <c r="H255" t="str">
        <f>IFERROR(VLOOKUP(Transactions!G255,Merchants!A:B,2,FALSE),"Not Found")</f>
        <v>Metro Pay</v>
      </c>
      <c r="I255" s="9">
        <v>58179.839999999997</v>
      </c>
      <c r="J255" s="3">
        <v>116.36</v>
      </c>
      <c r="K255" t="s">
        <v>133</v>
      </c>
      <c r="L255" t="s">
        <v>59</v>
      </c>
      <c r="M255" t="s">
        <v>111</v>
      </c>
      <c r="N255" t="s">
        <v>61</v>
      </c>
      <c r="O255" t="s">
        <v>62</v>
      </c>
      <c r="P255" t="str">
        <f t="shared" si="7"/>
        <v>High Value</v>
      </c>
      <c r="Q255" t="str">
        <f>VLOOKUP(G255,Merchants!A:C,3,TRUE)</f>
        <v>Healthcare</v>
      </c>
    </row>
    <row r="256" spans="1:17" x14ac:dyDescent="0.3">
      <c r="A256" t="s">
        <v>663</v>
      </c>
      <c r="B256" s="2">
        <v>46267.177256944437</v>
      </c>
      <c r="C256" s="2" t="str">
        <f t="shared" si="6"/>
        <v>Sep-2026</v>
      </c>
      <c r="D256" t="s">
        <v>664</v>
      </c>
      <c r="E256" t="str">
        <f>VLOOKUP(D256,Customers!A:H,7,0)</f>
        <v>Self-employed</v>
      </c>
      <c r="F256" t="s">
        <v>214</v>
      </c>
      <c r="G256" t="s">
        <v>66</v>
      </c>
      <c r="H256" t="str">
        <f>IFERROR(VLOOKUP(Transactions!G256,Merchants!A:B,2,FALSE),"Not Found")</f>
        <v>Prime Digital</v>
      </c>
      <c r="I256" s="9">
        <v>51889.16</v>
      </c>
      <c r="J256" s="3">
        <v>259.45</v>
      </c>
      <c r="K256" t="s">
        <v>58</v>
      </c>
      <c r="L256" t="s">
        <v>80</v>
      </c>
      <c r="M256" t="s">
        <v>74</v>
      </c>
      <c r="N256" t="s">
        <v>67</v>
      </c>
      <c r="O256" t="s">
        <v>81</v>
      </c>
      <c r="P256" t="str">
        <f t="shared" si="7"/>
        <v>High Value</v>
      </c>
      <c r="Q256" t="str">
        <f>VLOOKUP(G256,Merchants!A:C,3,TRUE)</f>
        <v>Fuel</v>
      </c>
    </row>
    <row r="257" spans="1:17" x14ac:dyDescent="0.3">
      <c r="A257" t="s">
        <v>665</v>
      </c>
      <c r="B257" s="2">
        <v>46120.459097222221</v>
      </c>
      <c r="C257" s="2" t="str">
        <f t="shared" si="6"/>
        <v>Apr-2026</v>
      </c>
      <c r="D257" t="s">
        <v>292</v>
      </c>
      <c r="E257" t="str">
        <f>VLOOKUP(D257,Customers!A:H,7,0)</f>
        <v>Self-employed</v>
      </c>
      <c r="F257" t="s">
        <v>415</v>
      </c>
      <c r="G257" t="s">
        <v>175</v>
      </c>
      <c r="H257" t="str">
        <f>IFERROR(VLOOKUP(Transactions!G257,Merchants!A:B,2,FALSE),"Not Found")</f>
        <v>Fresh Mart</v>
      </c>
      <c r="I257" s="9">
        <v>13046.78</v>
      </c>
      <c r="J257" s="3">
        <v>26.09</v>
      </c>
      <c r="K257" t="s">
        <v>90</v>
      </c>
      <c r="L257" t="s">
        <v>59</v>
      </c>
      <c r="M257" t="s">
        <v>86</v>
      </c>
      <c r="N257" t="s">
        <v>61</v>
      </c>
      <c r="O257" t="s">
        <v>91</v>
      </c>
      <c r="P257" t="str">
        <f t="shared" si="7"/>
        <v>High Value</v>
      </c>
      <c r="Q257" t="str">
        <f>VLOOKUP(G257,Merchants!A:C,3,TRUE)</f>
        <v>Electronics</v>
      </c>
    </row>
    <row r="258" spans="1:17" x14ac:dyDescent="0.3">
      <c r="A258" t="s">
        <v>666</v>
      </c>
      <c r="B258" s="2">
        <v>46152.758599537039</v>
      </c>
      <c r="C258" s="2" t="str">
        <f t="shared" si="6"/>
        <v>May-2026</v>
      </c>
      <c r="D258" t="s">
        <v>227</v>
      </c>
      <c r="E258" t="str">
        <f>VLOOKUP(D258,Customers!A:H,7,0)</f>
        <v>Self-employed</v>
      </c>
      <c r="F258" t="s">
        <v>136</v>
      </c>
      <c r="G258" t="s">
        <v>182</v>
      </c>
      <c r="H258" t="str">
        <f>IFERROR(VLOOKUP(Transactions!G258,Merchants!A:B,2,FALSE),"Not Found")</f>
        <v>Fresh Hub</v>
      </c>
      <c r="I258" s="9">
        <v>9329.26</v>
      </c>
      <c r="J258" s="3">
        <v>93.29</v>
      </c>
      <c r="K258" t="s">
        <v>90</v>
      </c>
      <c r="L258" t="s">
        <v>59</v>
      </c>
      <c r="M258" t="s">
        <v>86</v>
      </c>
      <c r="N258" t="s">
        <v>67</v>
      </c>
      <c r="O258" t="s">
        <v>62</v>
      </c>
      <c r="P258" t="str">
        <f t="shared" si="7"/>
        <v>High Value</v>
      </c>
      <c r="Q258" t="str">
        <f>VLOOKUP(G258,Merchants!A:C,3,TRUE)</f>
        <v>Healthcare</v>
      </c>
    </row>
    <row r="259" spans="1:17" x14ac:dyDescent="0.3">
      <c r="A259" t="s">
        <v>667</v>
      </c>
      <c r="B259" s="2">
        <v>45695.696875000001</v>
      </c>
      <c r="C259" s="2" t="str">
        <f t="shared" ref="C259:C322" si="8">TEXT(B259,"mmm-yyyy")</f>
        <v>Feb-2025</v>
      </c>
      <c r="D259" t="s">
        <v>658</v>
      </c>
      <c r="E259" t="str">
        <f>VLOOKUP(D259,Customers!A:H,7,0)</f>
        <v>Self-employed</v>
      </c>
      <c r="F259" t="s">
        <v>136</v>
      </c>
      <c r="G259" t="s">
        <v>175</v>
      </c>
      <c r="H259" t="str">
        <f>IFERROR(VLOOKUP(Transactions!G259,Merchants!A:B,2,FALSE),"Not Found")</f>
        <v>Fresh Mart</v>
      </c>
      <c r="I259" s="9">
        <v>23316.53</v>
      </c>
      <c r="J259" s="3">
        <v>46.63</v>
      </c>
      <c r="K259" t="s">
        <v>133</v>
      </c>
      <c r="L259" t="s">
        <v>73</v>
      </c>
      <c r="M259" t="s">
        <v>86</v>
      </c>
      <c r="N259" t="s">
        <v>61</v>
      </c>
      <c r="O259" t="s">
        <v>75</v>
      </c>
      <c r="P259" t="str">
        <f t="shared" ref="P259:P322" si="9">IF(I259&gt;=2500,"High Value","Standard")</f>
        <v>High Value</v>
      </c>
      <c r="Q259" t="str">
        <f>VLOOKUP(G259,Merchants!A:C,3,TRUE)</f>
        <v>Electronics</v>
      </c>
    </row>
    <row r="260" spans="1:17" x14ac:dyDescent="0.3">
      <c r="A260" t="s">
        <v>668</v>
      </c>
      <c r="B260" s="2">
        <v>45705.156400462962</v>
      </c>
      <c r="C260" s="2" t="str">
        <f t="shared" si="8"/>
        <v>Feb-2025</v>
      </c>
      <c r="D260" t="s">
        <v>466</v>
      </c>
      <c r="E260" t="str">
        <f>VLOOKUP(D260,Customers!A:H,7,0)</f>
        <v>Salaried</v>
      </c>
      <c r="F260" t="s">
        <v>533</v>
      </c>
      <c r="G260" t="s">
        <v>263</v>
      </c>
      <c r="H260" t="str">
        <f>IFERROR(VLOOKUP(Transactions!G260,Merchants!A:B,2,FALSE),"Not Found")</f>
        <v>Urban Retail</v>
      </c>
      <c r="I260" s="9">
        <v>31282.6</v>
      </c>
      <c r="J260" s="3">
        <v>156.41</v>
      </c>
      <c r="K260" t="s">
        <v>90</v>
      </c>
      <c r="L260" t="s">
        <v>80</v>
      </c>
      <c r="M260" t="s">
        <v>60</v>
      </c>
      <c r="N260" t="s">
        <v>67</v>
      </c>
      <c r="O260" t="s">
        <v>62</v>
      </c>
      <c r="P260" t="str">
        <f t="shared" si="9"/>
        <v>High Value</v>
      </c>
      <c r="Q260" t="str">
        <f>VLOOKUP(G260,Merchants!A:C,3,TRUE)</f>
        <v>Grocery</v>
      </c>
    </row>
    <row r="261" spans="1:17" x14ac:dyDescent="0.3">
      <c r="A261" t="s">
        <v>669</v>
      </c>
      <c r="B261" s="2">
        <v>45951.419687499998</v>
      </c>
      <c r="C261" s="2" t="str">
        <f t="shared" si="8"/>
        <v>Oct-2025</v>
      </c>
      <c r="D261" t="s">
        <v>364</v>
      </c>
      <c r="E261" t="str">
        <f>VLOOKUP(D261,Customers!A:H,7,0)</f>
        <v>Self-employed</v>
      </c>
      <c r="F261" t="s">
        <v>670</v>
      </c>
      <c r="G261" t="s">
        <v>95</v>
      </c>
      <c r="H261" t="str">
        <f>IFERROR(VLOOKUP(Transactions!G261,Merchants!A:B,2,FALSE),"Not Found")</f>
        <v>Quick Pay</v>
      </c>
      <c r="I261" s="9">
        <v>31983.32</v>
      </c>
      <c r="J261" s="3">
        <v>63.97</v>
      </c>
      <c r="K261" t="s">
        <v>72</v>
      </c>
      <c r="L261" t="s">
        <v>80</v>
      </c>
      <c r="M261" t="s">
        <v>86</v>
      </c>
      <c r="N261" t="s">
        <v>67</v>
      </c>
      <c r="O261" t="s">
        <v>91</v>
      </c>
      <c r="P261" t="str">
        <f t="shared" si="9"/>
        <v>High Value</v>
      </c>
      <c r="Q261" t="str">
        <f>VLOOKUP(G261,Merchants!A:C,3,TRUE)</f>
        <v>Healthcare</v>
      </c>
    </row>
    <row r="262" spans="1:17" x14ac:dyDescent="0.3">
      <c r="A262" t="s">
        <v>671</v>
      </c>
      <c r="B262" s="2">
        <v>45869.82303240741</v>
      </c>
      <c r="C262" s="2" t="str">
        <f t="shared" si="8"/>
        <v>Jul-2025</v>
      </c>
      <c r="D262" t="s">
        <v>481</v>
      </c>
      <c r="E262" t="str">
        <f>VLOOKUP(D262,Customers!A:H,7,0)</f>
        <v>Student</v>
      </c>
      <c r="F262" t="s">
        <v>672</v>
      </c>
      <c r="G262" t="s">
        <v>192</v>
      </c>
      <c r="H262" t="str">
        <f>IFERROR(VLOOKUP(Transactions!G262,Merchants!A:B,2,FALSE),"Not Found")</f>
        <v>Blue Foods</v>
      </c>
      <c r="I262" s="9">
        <v>21084.06</v>
      </c>
      <c r="J262" s="3">
        <v>63.25</v>
      </c>
      <c r="K262" t="s">
        <v>90</v>
      </c>
      <c r="L262" t="s">
        <v>59</v>
      </c>
      <c r="M262" t="s">
        <v>86</v>
      </c>
      <c r="N262" t="s">
        <v>61</v>
      </c>
      <c r="O262" t="s">
        <v>81</v>
      </c>
      <c r="P262" t="str">
        <f t="shared" si="9"/>
        <v>High Value</v>
      </c>
      <c r="Q262" t="str">
        <f>VLOOKUP(G262,Merchants!A:C,3,TRUE)</f>
        <v>Travel</v>
      </c>
    </row>
    <row r="263" spans="1:17" x14ac:dyDescent="0.3">
      <c r="A263" t="s">
        <v>673</v>
      </c>
      <c r="B263" s="2">
        <v>46211.673020833332</v>
      </c>
      <c r="C263" s="2" t="str">
        <f t="shared" si="8"/>
        <v>Jul-2026</v>
      </c>
      <c r="D263" t="s">
        <v>287</v>
      </c>
      <c r="E263" t="str">
        <f>VLOOKUP(D263,Customers!A:H,7,0)</f>
        <v>Self-employed</v>
      </c>
      <c r="F263" t="s">
        <v>123</v>
      </c>
      <c r="G263" t="s">
        <v>607</v>
      </c>
      <c r="H263" t="str">
        <f>IFERROR(VLOOKUP(Transactions!G263,Merchants!A:B,2,FALSE),"Not Found")</f>
        <v>Daily Digital</v>
      </c>
      <c r="I263" s="9">
        <v>3138.5</v>
      </c>
      <c r="J263" s="3">
        <v>6.28</v>
      </c>
      <c r="K263" t="s">
        <v>58</v>
      </c>
      <c r="L263" t="s">
        <v>59</v>
      </c>
      <c r="M263" t="s">
        <v>74</v>
      </c>
      <c r="N263" t="s">
        <v>61</v>
      </c>
      <c r="O263" t="s">
        <v>62</v>
      </c>
      <c r="P263" t="str">
        <f t="shared" si="9"/>
        <v>High Value</v>
      </c>
      <c r="Q263" t="str">
        <f>VLOOKUP(G263,Merchants!A:C,3,TRUE)</f>
        <v>Healthcare</v>
      </c>
    </row>
    <row r="264" spans="1:17" x14ac:dyDescent="0.3">
      <c r="A264" t="s">
        <v>674</v>
      </c>
      <c r="B264" s="2">
        <v>46268.899224537039</v>
      </c>
      <c r="C264" s="2" t="str">
        <f t="shared" si="8"/>
        <v>Sep-2026</v>
      </c>
      <c r="D264" t="s">
        <v>206</v>
      </c>
      <c r="E264" t="str">
        <f>VLOOKUP(D264,Customers!A:H,7,0)</f>
        <v>Business Owner</v>
      </c>
      <c r="F264" t="s">
        <v>362</v>
      </c>
      <c r="G264" t="s">
        <v>263</v>
      </c>
      <c r="H264" t="str">
        <f>IFERROR(VLOOKUP(Transactions!G264,Merchants!A:B,2,FALSE),"Not Found")</f>
        <v>Urban Retail</v>
      </c>
      <c r="I264" s="9">
        <v>37805.29</v>
      </c>
      <c r="J264" s="3">
        <v>378.05</v>
      </c>
      <c r="K264" t="s">
        <v>72</v>
      </c>
      <c r="L264" t="s">
        <v>80</v>
      </c>
      <c r="M264" t="s">
        <v>111</v>
      </c>
      <c r="N264" t="s">
        <v>67</v>
      </c>
      <c r="O264" t="s">
        <v>75</v>
      </c>
      <c r="P264" t="str">
        <f t="shared" si="9"/>
        <v>High Value</v>
      </c>
      <c r="Q264" t="str">
        <f>VLOOKUP(G264,Merchants!A:C,3,TRUE)</f>
        <v>Grocery</v>
      </c>
    </row>
    <row r="265" spans="1:17" x14ac:dyDescent="0.3">
      <c r="A265" t="s">
        <v>675</v>
      </c>
      <c r="B265" s="2">
        <v>46239.199930555558</v>
      </c>
      <c r="C265" s="2" t="str">
        <f t="shared" si="8"/>
        <v>Aug-2026</v>
      </c>
      <c r="D265" t="s">
        <v>425</v>
      </c>
      <c r="E265" t="str">
        <f>VLOOKUP(D265,Customers!A:H,7,0)</f>
        <v>Salaried</v>
      </c>
      <c r="F265" t="s">
        <v>149</v>
      </c>
      <c r="G265" t="s">
        <v>263</v>
      </c>
      <c r="H265" t="str">
        <f>IFERROR(VLOOKUP(Transactions!G265,Merchants!A:B,2,FALSE),"Not Found")</f>
        <v>Urban Retail</v>
      </c>
      <c r="I265" s="9">
        <v>5665.68</v>
      </c>
      <c r="J265" s="3">
        <v>56.66</v>
      </c>
      <c r="K265" t="s">
        <v>96</v>
      </c>
      <c r="L265" t="s">
        <v>73</v>
      </c>
      <c r="M265" t="s">
        <v>74</v>
      </c>
      <c r="N265" t="s">
        <v>67</v>
      </c>
      <c r="O265" t="s">
        <v>62</v>
      </c>
      <c r="P265" t="str">
        <f t="shared" si="9"/>
        <v>High Value</v>
      </c>
      <c r="Q265" t="str">
        <f>VLOOKUP(G265,Merchants!A:C,3,TRUE)</f>
        <v>Grocery</v>
      </c>
    </row>
    <row r="266" spans="1:17" x14ac:dyDescent="0.3">
      <c r="A266" t="s">
        <v>676</v>
      </c>
      <c r="B266" s="2">
        <v>45805.935914351852</v>
      </c>
      <c r="C266" s="2" t="str">
        <f t="shared" si="8"/>
        <v>May-2025</v>
      </c>
      <c r="D266" t="s">
        <v>180</v>
      </c>
      <c r="E266" t="str">
        <f>VLOOKUP(D266,Customers!A:H,7,0)</f>
        <v>Student</v>
      </c>
      <c r="F266" t="s">
        <v>677</v>
      </c>
      <c r="G266" t="s">
        <v>85</v>
      </c>
      <c r="H266" t="str">
        <f>IFERROR(VLOOKUP(Transactions!G266,Merchants!A:B,2,FALSE),"Not Found")</f>
        <v>Metro Pay</v>
      </c>
      <c r="I266" s="9">
        <v>15557.36</v>
      </c>
      <c r="J266" s="3">
        <v>46.67</v>
      </c>
      <c r="K266" t="s">
        <v>72</v>
      </c>
      <c r="L266" t="s">
        <v>59</v>
      </c>
      <c r="M266" t="s">
        <v>60</v>
      </c>
      <c r="N266" t="s">
        <v>61</v>
      </c>
      <c r="O266" t="s">
        <v>75</v>
      </c>
      <c r="P266" t="str">
        <f t="shared" si="9"/>
        <v>High Value</v>
      </c>
      <c r="Q266" t="str">
        <f>VLOOKUP(G266,Merchants!A:C,3,TRUE)</f>
        <v>Travel</v>
      </c>
    </row>
    <row r="267" spans="1:17" x14ac:dyDescent="0.3">
      <c r="A267" t="s">
        <v>678</v>
      </c>
      <c r="B267" s="2">
        <v>45688.09915509259</v>
      </c>
      <c r="C267" s="2" t="str">
        <f t="shared" si="8"/>
        <v>Jan-2025</v>
      </c>
      <c r="D267" t="s">
        <v>448</v>
      </c>
      <c r="E267" t="str">
        <f>VLOOKUP(D267,Customers!A:H,7,0)</f>
        <v>Business Owner</v>
      </c>
      <c r="F267" t="s">
        <v>262</v>
      </c>
      <c r="G267" t="s">
        <v>421</v>
      </c>
      <c r="H267" t="str">
        <f>IFERROR(VLOOKUP(Transactions!G267,Merchants!A:B,2,FALSE),"Not Found")</f>
        <v>Smart Pay</v>
      </c>
      <c r="I267" s="9">
        <v>28572.53</v>
      </c>
      <c r="J267" s="3">
        <v>285.73</v>
      </c>
      <c r="K267" t="s">
        <v>133</v>
      </c>
      <c r="L267" t="s">
        <v>59</v>
      </c>
      <c r="M267" t="s">
        <v>111</v>
      </c>
      <c r="N267" t="s">
        <v>67</v>
      </c>
      <c r="O267" t="s">
        <v>75</v>
      </c>
      <c r="P267" t="str">
        <f t="shared" si="9"/>
        <v>High Value</v>
      </c>
      <c r="Q267" t="str">
        <f>VLOOKUP(G267,Merchants!A:C,3,TRUE)</f>
        <v>Entertainment</v>
      </c>
    </row>
    <row r="268" spans="1:17" x14ac:dyDescent="0.3">
      <c r="A268" t="s">
        <v>679</v>
      </c>
      <c r="B268" s="2">
        <v>45767.494351851848</v>
      </c>
      <c r="C268" s="2" t="str">
        <f t="shared" si="8"/>
        <v>Apr-2025</v>
      </c>
      <c r="D268" t="s">
        <v>680</v>
      </c>
      <c r="E268" t="str">
        <f>VLOOKUP(D268,Customers!A:H,7,0)</f>
        <v>Self-employed</v>
      </c>
      <c r="F268" t="s">
        <v>188</v>
      </c>
      <c r="G268" t="s">
        <v>198</v>
      </c>
      <c r="H268" t="str">
        <f>IFERROR(VLOOKUP(Transactions!G268,Merchants!A:B,2,FALSE),"Not Found")</f>
        <v>Metro Services</v>
      </c>
      <c r="I268" s="9">
        <v>33413.379999999997</v>
      </c>
      <c r="J268" s="3">
        <v>167.07</v>
      </c>
      <c r="K268" t="s">
        <v>133</v>
      </c>
      <c r="L268" t="s">
        <v>59</v>
      </c>
      <c r="M268" t="s">
        <v>74</v>
      </c>
      <c r="N268" t="s">
        <v>67</v>
      </c>
      <c r="O268" t="s">
        <v>62</v>
      </c>
      <c r="P268" t="str">
        <f t="shared" si="9"/>
        <v>High Value</v>
      </c>
      <c r="Q268" t="str">
        <f>VLOOKUP(G268,Merchants!A:C,3,TRUE)</f>
        <v>Travel</v>
      </c>
    </row>
    <row r="269" spans="1:17" x14ac:dyDescent="0.3">
      <c r="A269" t="s">
        <v>681</v>
      </c>
      <c r="B269" s="2">
        <v>46219.241238425922</v>
      </c>
      <c r="C269" s="2" t="str">
        <f t="shared" si="8"/>
        <v>Jul-2026</v>
      </c>
      <c r="D269" t="s">
        <v>609</v>
      </c>
      <c r="E269" t="str">
        <f>VLOOKUP(D269,Customers!A:H,7,0)</f>
        <v>Self-employed</v>
      </c>
      <c r="F269" t="s">
        <v>56</v>
      </c>
      <c r="G269" t="s">
        <v>107</v>
      </c>
      <c r="H269" t="str">
        <f>IFERROR(VLOOKUP(Transactions!G269,Merchants!A:B,2,FALSE),"Not Found")</f>
        <v>Blue Services</v>
      </c>
      <c r="I269" s="9">
        <v>58436.11</v>
      </c>
      <c r="J269" s="3">
        <v>292.18</v>
      </c>
      <c r="K269" t="s">
        <v>133</v>
      </c>
      <c r="L269" t="s">
        <v>59</v>
      </c>
      <c r="M269" t="s">
        <v>74</v>
      </c>
      <c r="N269" t="s">
        <v>61</v>
      </c>
      <c r="O269" t="s">
        <v>81</v>
      </c>
      <c r="P269" t="str">
        <f t="shared" si="9"/>
        <v>High Value</v>
      </c>
      <c r="Q269" t="str">
        <f>VLOOKUP(G269,Merchants!A:C,3,TRUE)</f>
        <v>Travel</v>
      </c>
    </row>
    <row r="270" spans="1:17" x14ac:dyDescent="0.3">
      <c r="A270" t="s">
        <v>682</v>
      </c>
      <c r="B270" s="2">
        <v>46215.358252314807</v>
      </c>
      <c r="C270" s="2" t="str">
        <f t="shared" si="8"/>
        <v>Jul-2026</v>
      </c>
      <c r="D270" t="s">
        <v>419</v>
      </c>
      <c r="E270" t="str">
        <f>VLOOKUP(D270,Customers!A:H,7,0)</f>
        <v>Student</v>
      </c>
      <c r="F270" t="s">
        <v>178</v>
      </c>
      <c r="G270" t="s">
        <v>382</v>
      </c>
      <c r="H270" t="str">
        <f>IFERROR(VLOOKUP(Transactions!G270,Merchants!A:B,2,FALSE),"Not Found")</f>
        <v>Fresh Foods</v>
      </c>
      <c r="I270" s="9">
        <v>10467.82</v>
      </c>
      <c r="J270" s="3">
        <v>104.68</v>
      </c>
      <c r="K270" t="s">
        <v>96</v>
      </c>
      <c r="L270" t="s">
        <v>80</v>
      </c>
      <c r="M270" t="s">
        <v>60</v>
      </c>
      <c r="N270" t="s">
        <v>67</v>
      </c>
      <c r="O270" t="s">
        <v>75</v>
      </c>
      <c r="P270" t="str">
        <f t="shared" si="9"/>
        <v>High Value</v>
      </c>
      <c r="Q270" t="str">
        <f>VLOOKUP(G270,Merchants!A:C,3,TRUE)</f>
        <v>Healthcare</v>
      </c>
    </row>
    <row r="271" spans="1:17" x14ac:dyDescent="0.3">
      <c r="A271" t="s">
        <v>683</v>
      </c>
      <c r="B271" s="2">
        <v>45838.467291666668</v>
      </c>
      <c r="C271" s="2" t="str">
        <f t="shared" si="8"/>
        <v>Jun-2025</v>
      </c>
      <c r="D271" t="s">
        <v>684</v>
      </c>
      <c r="E271" t="str">
        <f>VLOOKUP(D271,Customers!A:H,7,0)</f>
        <v>Student</v>
      </c>
      <c r="F271" t="s">
        <v>56</v>
      </c>
      <c r="G271" t="s">
        <v>382</v>
      </c>
      <c r="H271" t="str">
        <f>IFERROR(VLOOKUP(Transactions!G271,Merchants!A:B,2,FALSE),"Not Found")</f>
        <v>Fresh Foods</v>
      </c>
      <c r="I271" s="9">
        <v>57357.42</v>
      </c>
      <c r="J271" s="3">
        <v>114.71</v>
      </c>
      <c r="K271" t="s">
        <v>96</v>
      </c>
      <c r="L271" t="s">
        <v>59</v>
      </c>
      <c r="M271" t="s">
        <v>60</v>
      </c>
      <c r="N271" t="s">
        <v>61</v>
      </c>
      <c r="O271" t="s">
        <v>91</v>
      </c>
      <c r="P271" t="str">
        <f t="shared" si="9"/>
        <v>High Value</v>
      </c>
      <c r="Q271" t="str">
        <f>VLOOKUP(G271,Merchants!A:C,3,TRUE)</f>
        <v>Healthcare</v>
      </c>
    </row>
    <row r="272" spans="1:17" x14ac:dyDescent="0.3">
      <c r="A272" t="s">
        <v>685</v>
      </c>
      <c r="B272" s="2">
        <v>45750.33011574074</v>
      </c>
      <c r="C272" s="2" t="str">
        <f t="shared" si="8"/>
        <v>Apr-2025</v>
      </c>
      <c r="D272" t="s">
        <v>524</v>
      </c>
      <c r="E272" t="str">
        <f>VLOOKUP(D272,Customers!A:H,7,0)</f>
        <v>Salaried</v>
      </c>
      <c r="F272" t="s">
        <v>649</v>
      </c>
      <c r="G272" t="s">
        <v>413</v>
      </c>
      <c r="H272" t="str">
        <f>IFERROR(VLOOKUP(Transactions!G272,Merchants!A:B,2,FALSE),"Not Found")</f>
        <v>Blue Hub</v>
      </c>
      <c r="I272" s="9">
        <v>49040.31</v>
      </c>
      <c r="J272" s="3">
        <v>98.08</v>
      </c>
      <c r="K272" t="s">
        <v>96</v>
      </c>
      <c r="L272" t="s">
        <v>73</v>
      </c>
      <c r="M272" t="s">
        <v>60</v>
      </c>
      <c r="N272" t="s">
        <v>61</v>
      </c>
      <c r="O272" t="s">
        <v>75</v>
      </c>
      <c r="P272" t="str">
        <f t="shared" si="9"/>
        <v>High Value</v>
      </c>
      <c r="Q272" t="str">
        <f>VLOOKUP(G272,Merchants!A:C,3,TRUE)</f>
        <v>Utilities</v>
      </c>
    </row>
    <row r="273" spans="1:17" x14ac:dyDescent="0.3">
      <c r="A273" t="s">
        <v>686</v>
      </c>
      <c r="B273" s="2">
        <v>45858.311990740738</v>
      </c>
      <c r="C273" s="2" t="str">
        <f t="shared" si="8"/>
        <v>Jul-2025</v>
      </c>
      <c r="D273" t="s">
        <v>235</v>
      </c>
      <c r="E273" t="str">
        <f>VLOOKUP(D273,Customers!A:H,7,0)</f>
        <v>Student</v>
      </c>
      <c r="F273" t="s">
        <v>687</v>
      </c>
      <c r="G273" t="s">
        <v>421</v>
      </c>
      <c r="H273" t="str">
        <f>IFERROR(VLOOKUP(Transactions!G273,Merchants!A:B,2,FALSE),"Not Found")</f>
        <v>Smart Pay</v>
      </c>
      <c r="I273" s="9">
        <v>40922.86</v>
      </c>
      <c r="J273" s="3">
        <v>204.61</v>
      </c>
      <c r="K273" t="s">
        <v>58</v>
      </c>
      <c r="L273" t="s">
        <v>59</v>
      </c>
      <c r="M273" t="s">
        <v>86</v>
      </c>
      <c r="N273" t="s">
        <v>61</v>
      </c>
      <c r="O273" t="s">
        <v>62</v>
      </c>
      <c r="P273" t="str">
        <f t="shared" si="9"/>
        <v>High Value</v>
      </c>
      <c r="Q273" t="str">
        <f>VLOOKUP(G273,Merchants!A:C,3,TRUE)</f>
        <v>Entertainment</v>
      </c>
    </row>
    <row r="274" spans="1:17" x14ac:dyDescent="0.3">
      <c r="A274" t="s">
        <v>688</v>
      </c>
      <c r="B274" s="2">
        <v>45959.094675925917</v>
      </c>
      <c r="C274" s="2" t="str">
        <f t="shared" si="8"/>
        <v>Oct-2025</v>
      </c>
      <c r="D274" t="s">
        <v>265</v>
      </c>
      <c r="E274" t="str">
        <f>VLOOKUP(D274,Customers!A:H,7,0)</f>
        <v>Salaried</v>
      </c>
      <c r="F274" t="s">
        <v>459</v>
      </c>
      <c r="G274" t="s">
        <v>164</v>
      </c>
      <c r="H274" t="str">
        <f>IFERROR(VLOOKUP(Transactions!G274,Merchants!A:B,2,FALSE),"Not Found")</f>
        <v>Green Foods</v>
      </c>
      <c r="I274" s="9">
        <v>22216.45</v>
      </c>
      <c r="J274" s="3">
        <v>44.43</v>
      </c>
      <c r="K274" t="s">
        <v>72</v>
      </c>
      <c r="L274" t="s">
        <v>59</v>
      </c>
      <c r="M274" t="s">
        <v>86</v>
      </c>
      <c r="N274" t="s">
        <v>61</v>
      </c>
      <c r="O274" t="s">
        <v>91</v>
      </c>
      <c r="P274" t="str">
        <f t="shared" si="9"/>
        <v>High Value</v>
      </c>
      <c r="Q274" t="str">
        <f>VLOOKUP(G274,Merchants!A:C,3,TRUE)</f>
        <v>Grocery</v>
      </c>
    </row>
    <row r="275" spans="1:17" x14ac:dyDescent="0.3">
      <c r="A275" t="s">
        <v>689</v>
      </c>
      <c r="B275" s="2">
        <v>45898.654918981483</v>
      </c>
      <c r="C275" s="2" t="str">
        <f t="shared" si="8"/>
        <v>Aug-2025</v>
      </c>
      <c r="D275" t="s">
        <v>270</v>
      </c>
      <c r="E275" t="str">
        <f>VLOOKUP(D275,Customers!A:H,7,0)</f>
        <v>Business Owner</v>
      </c>
      <c r="F275" t="s">
        <v>690</v>
      </c>
      <c r="G275" t="s">
        <v>366</v>
      </c>
      <c r="H275" t="str">
        <f>IFERROR(VLOOKUP(Transactions!G275,Merchants!A:B,2,FALSE),"Not Found")</f>
        <v>Smart Pay</v>
      </c>
      <c r="I275" s="9">
        <v>42163.09</v>
      </c>
      <c r="J275" s="3">
        <v>210.82</v>
      </c>
      <c r="K275" t="s">
        <v>96</v>
      </c>
      <c r="L275" t="s">
        <v>59</v>
      </c>
      <c r="M275" t="s">
        <v>111</v>
      </c>
      <c r="N275" t="s">
        <v>67</v>
      </c>
      <c r="O275" t="s">
        <v>75</v>
      </c>
      <c r="P275" t="str">
        <f t="shared" si="9"/>
        <v>High Value</v>
      </c>
      <c r="Q275" t="str">
        <f>VLOOKUP(G275,Merchants!A:C,3,TRUE)</f>
        <v>Fashion</v>
      </c>
    </row>
    <row r="276" spans="1:17" x14ac:dyDescent="0.3">
      <c r="A276" t="s">
        <v>691</v>
      </c>
      <c r="B276" s="2">
        <v>45800.285543981481</v>
      </c>
      <c r="C276" s="2" t="str">
        <f t="shared" si="8"/>
        <v>May-2025</v>
      </c>
      <c r="D276" t="s">
        <v>368</v>
      </c>
      <c r="E276" t="str">
        <f>VLOOKUP(D276,Customers!A:H,7,0)</f>
        <v>Student</v>
      </c>
      <c r="F276" t="s">
        <v>692</v>
      </c>
      <c r="G276" t="s">
        <v>132</v>
      </c>
      <c r="H276" t="str">
        <f>IFERROR(VLOOKUP(Transactions!G276,Merchants!A:B,2,FALSE),"Not Found")</f>
        <v>Metro Retail</v>
      </c>
      <c r="I276" s="9">
        <v>33369.75</v>
      </c>
      <c r="J276" s="3">
        <v>166.85</v>
      </c>
      <c r="K276" t="s">
        <v>90</v>
      </c>
      <c r="L276" t="s">
        <v>73</v>
      </c>
      <c r="M276" t="s">
        <v>111</v>
      </c>
      <c r="N276" t="s">
        <v>67</v>
      </c>
      <c r="O276" t="s">
        <v>91</v>
      </c>
      <c r="P276" t="str">
        <f t="shared" si="9"/>
        <v>High Value</v>
      </c>
      <c r="Q276" t="str">
        <f>VLOOKUP(G276,Merchants!A:C,3,TRUE)</f>
        <v>Entertainment</v>
      </c>
    </row>
    <row r="277" spans="1:17" x14ac:dyDescent="0.3">
      <c r="A277" t="s">
        <v>693</v>
      </c>
      <c r="B277" s="2">
        <v>45674.2184375</v>
      </c>
      <c r="C277" s="2" t="str">
        <f t="shared" si="8"/>
        <v>Jan-2025</v>
      </c>
      <c r="D277" t="s">
        <v>64</v>
      </c>
      <c r="E277" t="str">
        <f>VLOOKUP(D277,Customers!A:H,7,0)</f>
        <v>Student</v>
      </c>
      <c r="F277" t="s">
        <v>694</v>
      </c>
      <c r="G277" t="s">
        <v>146</v>
      </c>
      <c r="H277" t="str">
        <f>IFERROR(VLOOKUP(Transactions!G277,Merchants!A:B,2,FALSE),"Not Found")</f>
        <v>Prime Mart</v>
      </c>
      <c r="I277" s="9">
        <v>43308.22</v>
      </c>
      <c r="J277" s="3">
        <v>433.08</v>
      </c>
      <c r="K277" t="s">
        <v>96</v>
      </c>
      <c r="L277" t="s">
        <v>59</v>
      </c>
      <c r="M277" t="s">
        <v>74</v>
      </c>
      <c r="N277" t="s">
        <v>61</v>
      </c>
      <c r="O277" t="s">
        <v>62</v>
      </c>
      <c r="P277" t="str">
        <f t="shared" si="9"/>
        <v>High Value</v>
      </c>
      <c r="Q277" t="str">
        <f>VLOOKUP(G277,Merchants!A:C,3,TRUE)</f>
        <v>Food &amp; Dining</v>
      </c>
    </row>
    <row r="278" spans="1:17" x14ac:dyDescent="0.3">
      <c r="A278" t="s">
        <v>695</v>
      </c>
      <c r="B278" s="2">
        <v>46123.772800925923</v>
      </c>
      <c r="C278" s="2" t="str">
        <f t="shared" si="8"/>
        <v>Apr-2026</v>
      </c>
      <c r="D278" t="s">
        <v>220</v>
      </c>
      <c r="E278" t="str">
        <f>VLOOKUP(D278,Customers!A:H,7,0)</f>
        <v>Student</v>
      </c>
      <c r="F278" t="s">
        <v>696</v>
      </c>
      <c r="G278" t="s">
        <v>215</v>
      </c>
      <c r="H278" t="str">
        <f>IFERROR(VLOOKUP(Transactions!G278,Merchants!A:B,2,FALSE),"Not Found")</f>
        <v>Daily Hub</v>
      </c>
      <c r="I278" s="9">
        <v>25505.07</v>
      </c>
      <c r="J278" s="3">
        <v>255.05</v>
      </c>
      <c r="K278" t="s">
        <v>96</v>
      </c>
      <c r="L278" t="s">
        <v>73</v>
      </c>
      <c r="M278" t="s">
        <v>86</v>
      </c>
      <c r="N278" t="s">
        <v>61</v>
      </c>
      <c r="O278" t="s">
        <v>62</v>
      </c>
      <c r="P278" t="str">
        <f t="shared" si="9"/>
        <v>High Value</v>
      </c>
      <c r="Q278" t="str">
        <f>VLOOKUP(G278,Merchants!A:C,3,TRUE)</f>
        <v>Fashion</v>
      </c>
    </row>
    <row r="279" spans="1:17" x14ac:dyDescent="0.3">
      <c r="A279" t="s">
        <v>697</v>
      </c>
      <c r="B279" s="2">
        <v>46171.408460648148</v>
      </c>
      <c r="C279" s="2" t="str">
        <f t="shared" si="8"/>
        <v>May-2026</v>
      </c>
      <c r="D279" t="s">
        <v>664</v>
      </c>
      <c r="E279" t="str">
        <f>VLOOKUP(D279,Customers!A:H,7,0)</f>
        <v>Self-employed</v>
      </c>
      <c r="F279" t="s">
        <v>698</v>
      </c>
      <c r="G279" t="s">
        <v>71</v>
      </c>
      <c r="H279" t="str">
        <f>IFERROR(VLOOKUP(Transactions!G279,Merchants!A:B,2,FALSE),"Not Found")</f>
        <v>Metro Pay</v>
      </c>
      <c r="I279" s="9">
        <v>24709.19</v>
      </c>
      <c r="J279" s="3">
        <v>123.55</v>
      </c>
      <c r="K279" t="s">
        <v>96</v>
      </c>
      <c r="L279" t="s">
        <v>59</v>
      </c>
      <c r="M279" t="s">
        <v>60</v>
      </c>
      <c r="N279" t="s">
        <v>67</v>
      </c>
      <c r="O279" t="s">
        <v>75</v>
      </c>
      <c r="P279" t="str">
        <f t="shared" si="9"/>
        <v>High Value</v>
      </c>
      <c r="Q279" t="str">
        <f>VLOOKUP(G279,Merchants!A:C,3,TRUE)</f>
        <v>Fashion</v>
      </c>
    </row>
    <row r="280" spans="1:17" x14ac:dyDescent="0.3">
      <c r="A280" t="s">
        <v>699</v>
      </c>
      <c r="B280" s="2">
        <v>45739.215543981481</v>
      </c>
      <c r="C280" s="2" t="str">
        <f t="shared" si="8"/>
        <v>Mar-2025</v>
      </c>
      <c r="D280" t="s">
        <v>411</v>
      </c>
      <c r="E280" t="str">
        <f>VLOOKUP(D280,Customers!A:H,7,0)</f>
        <v>Student</v>
      </c>
      <c r="F280" t="s">
        <v>700</v>
      </c>
      <c r="G280" t="s">
        <v>103</v>
      </c>
      <c r="H280" t="str">
        <f>IFERROR(VLOOKUP(Transactions!G280,Merchants!A:B,2,FALSE),"Not Found")</f>
        <v>Nova Pay</v>
      </c>
      <c r="I280" s="9">
        <v>43838.11</v>
      </c>
      <c r="J280" s="3">
        <v>219.19</v>
      </c>
      <c r="K280" t="s">
        <v>133</v>
      </c>
      <c r="L280" t="s">
        <v>59</v>
      </c>
      <c r="M280" t="s">
        <v>86</v>
      </c>
      <c r="N280" t="s">
        <v>67</v>
      </c>
      <c r="O280" t="s">
        <v>75</v>
      </c>
      <c r="P280" t="str">
        <f t="shared" si="9"/>
        <v>High Value</v>
      </c>
      <c r="Q280" t="str">
        <f>VLOOKUP(G280,Merchants!A:C,3,TRUE)</f>
        <v>Fashion</v>
      </c>
    </row>
    <row r="281" spans="1:17" x14ac:dyDescent="0.3">
      <c r="A281" t="s">
        <v>701</v>
      </c>
      <c r="B281" s="2">
        <v>45737.961319444446</v>
      </c>
      <c r="C281" s="2" t="str">
        <f t="shared" si="8"/>
        <v>Mar-2025</v>
      </c>
      <c r="D281" t="s">
        <v>320</v>
      </c>
      <c r="E281" t="str">
        <f>VLOOKUP(D281,Customers!A:H,7,0)</f>
        <v>Student</v>
      </c>
      <c r="F281" t="s">
        <v>702</v>
      </c>
      <c r="G281" t="s">
        <v>229</v>
      </c>
      <c r="H281" t="str">
        <f>IFERROR(VLOOKUP(Transactions!G281,Merchants!A:B,2,FALSE),"Not Found")</f>
        <v>Urban Services</v>
      </c>
      <c r="I281" s="9">
        <v>32397.91</v>
      </c>
      <c r="J281" s="3">
        <v>64.8</v>
      </c>
      <c r="K281" t="s">
        <v>96</v>
      </c>
      <c r="L281" t="s">
        <v>59</v>
      </c>
      <c r="M281" t="s">
        <v>74</v>
      </c>
      <c r="N281" t="s">
        <v>61</v>
      </c>
      <c r="O281" t="s">
        <v>81</v>
      </c>
      <c r="P281" t="str">
        <f t="shared" si="9"/>
        <v>High Value</v>
      </c>
      <c r="Q281" t="str">
        <f>VLOOKUP(G281,Merchants!A:C,3,TRUE)</f>
        <v>Fashion</v>
      </c>
    </row>
    <row r="282" spans="1:17" x14ac:dyDescent="0.3">
      <c r="A282" t="s">
        <v>703</v>
      </c>
      <c r="B282" s="2">
        <v>46089.535381944443</v>
      </c>
      <c r="C282" s="2" t="str">
        <f t="shared" si="8"/>
        <v>Mar-2026</v>
      </c>
      <c r="D282" t="s">
        <v>144</v>
      </c>
      <c r="E282" t="str">
        <f>VLOOKUP(D282,Customers!A:H,7,0)</f>
        <v>Self-employed</v>
      </c>
      <c r="F282" t="s">
        <v>698</v>
      </c>
      <c r="G282" t="s">
        <v>107</v>
      </c>
      <c r="H282" t="str">
        <f>IFERROR(VLOOKUP(Transactions!G282,Merchants!A:B,2,FALSE),"Not Found")</f>
        <v>Blue Services</v>
      </c>
      <c r="I282" s="9">
        <v>57638.82</v>
      </c>
      <c r="J282" s="3">
        <v>288.19</v>
      </c>
      <c r="K282" t="s">
        <v>133</v>
      </c>
      <c r="L282" t="s">
        <v>73</v>
      </c>
      <c r="M282" t="s">
        <v>60</v>
      </c>
      <c r="N282" t="s">
        <v>61</v>
      </c>
      <c r="O282" t="s">
        <v>91</v>
      </c>
      <c r="P282" t="str">
        <f t="shared" si="9"/>
        <v>High Value</v>
      </c>
      <c r="Q282" t="str">
        <f>VLOOKUP(G282,Merchants!A:C,3,TRUE)</f>
        <v>Travel</v>
      </c>
    </row>
    <row r="283" spans="1:17" x14ac:dyDescent="0.3">
      <c r="A283" t="s">
        <v>704</v>
      </c>
      <c r="B283" s="2">
        <v>46142.877060185187</v>
      </c>
      <c r="C283" s="2" t="str">
        <f t="shared" si="8"/>
        <v>Apr-2026</v>
      </c>
      <c r="D283" t="s">
        <v>350</v>
      </c>
      <c r="E283" t="str">
        <f>VLOOKUP(D283,Customers!A:H,7,0)</f>
        <v>Business Owner</v>
      </c>
      <c r="F283" t="s">
        <v>120</v>
      </c>
      <c r="G283" t="s">
        <v>132</v>
      </c>
      <c r="H283" t="str">
        <f>IFERROR(VLOOKUP(Transactions!G283,Merchants!A:B,2,FALSE),"Not Found")</f>
        <v>Metro Retail</v>
      </c>
      <c r="I283" s="9">
        <v>10227.85</v>
      </c>
      <c r="J283" s="3">
        <v>51.14</v>
      </c>
      <c r="K283" t="s">
        <v>96</v>
      </c>
      <c r="L283" t="s">
        <v>59</v>
      </c>
      <c r="M283" t="s">
        <v>86</v>
      </c>
      <c r="N283" t="s">
        <v>67</v>
      </c>
      <c r="O283" t="s">
        <v>91</v>
      </c>
      <c r="P283" t="str">
        <f t="shared" si="9"/>
        <v>High Value</v>
      </c>
      <c r="Q283" t="str">
        <f>VLOOKUP(G283,Merchants!A:C,3,TRUE)</f>
        <v>Entertainment</v>
      </c>
    </row>
    <row r="284" spans="1:17" x14ac:dyDescent="0.3">
      <c r="A284" t="s">
        <v>705</v>
      </c>
      <c r="B284" s="2">
        <v>45942.382361111107</v>
      </c>
      <c r="C284" s="2" t="str">
        <f t="shared" si="8"/>
        <v>Oct-2025</v>
      </c>
      <c r="D284" t="s">
        <v>338</v>
      </c>
      <c r="E284" t="str">
        <f>VLOOKUP(D284,Customers!A:H,7,0)</f>
        <v>Student</v>
      </c>
      <c r="F284" t="s">
        <v>142</v>
      </c>
      <c r="G284" t="s">
        <v>124</v>
      </c>
      <c r="H284" t="str">
        <f>IFERROR(VLOOKUP(Transactions!G284,Merchants!A:B,2,FALSE),"Not Found")</f>
        <v>Daily Services</v>
      </c>
      <c r="I284" s="9">
        <v>8039.07</v>
      </c>
      <c r="J284" s="3">
        <v>40.200000000000003</v>
      </c>
      <c r="K284" t="s">
        <v>133</v>
      </c>
      <c r="L284" t="s">
        <v>59</v>
      </c>
      <c r="M284" t="s">
        <v>111</v>
      </c>
      <c r="N284" t="s">
        <v>67</v>
      </c>
      <c r="O284" t="s">
        <v>75</v>
      </c>
      <c r="P284" t="str">
        <f t="shared" si="9"/>
        <v>High Value</v>
      </c>
      <c r="Q284" t="str">
        <f>VLOOKUP(G284,Merchants!A:C,3,TRUE)</f>
        <v>Food &amp; Dining</v>
      </c>
    </row>
    <row r="285" spans="1:17" x14ac:dyDescent="0.3">
      <c r="A285" t="s">
        <v>706</v>
      </c>
      <c r="B285" s="2">
        <v>46036.266076388893</v>
      </c>
      <c r="C285" s="2" t="str">
        <f t="shared" si="8"/>
        <v>Jan-2026</v>
      </c>
      <c r="D285" t="s">
        <v>556</v>
      </c>
      <c r="E285" t="str">
        <f>VLOOKUP(D285,Customers!A:H,7,0)</f>
        <v>Business Owner</v>
      </c>
      <c r="F285" t="s">
        <v>525</v>
      </c>
      <c r="G285" t="s">
        <v>233</v>
      </c>
      <c r="H285" t="str">
        <f>IFERROR(VLOOKUP(Transactions!G285,Merchants!A:B,2,FALSE),"Not Found")</f>
        <v>Urban Retail</v>
      </c>
      <c r="I285" s="9">
        <v>15749.03</v>
      </c>
      <c r="J285" s="3">
        <v>157.49</v>
      </c>
      <c r="K285" t="s">
        <v>58</v>
      </c>
      <c r="L285" t="s">
        <v>80</v>
      </c>
      <c r="M285" t="s">
        <v>60</v>
      </c>
      <c r="N285" t="s">
        <v>67</v>
      </c>
      <c r="O285" t="s">
        <v>62</v>
      </c>
      <c r="P285" t="str">
        <f t="shared" si="9"/>
        <v>High Value</v>
      </c>
      <c r="Q285" t="str">
        <f>VLOOKUP(G285,Merchants!A:C,3,TRUE)</f>
        <v>Utilities</v>
      </c>
    </row>
    <row r="286" spans="1:17" x14ac:dyDescent="0.3">
      <c r="A286" t="s">
        <v>707</v>
      </c>
      <c r="B286" s="2">
        <v>46267.233842592592</v>
      </c>
      <c r="C286" s="2" t="str">
        <f t="shared" si="8"/>
        <v>Sep-2026</v>
      </c>
      <c r="D286" t="s">
        <v>708</v>
      </c>
      <c r="E286" t="str">
        <f>VLOOKUP(D286,Customers!A:H,7,0)</f>
        <v>Student</v>
      </c>
      <c r="F286" t="s">
        <v>354</v>
      </c>
      <c r="G286" t="s">
        <v>85</v>
      </c>
      <c r="H286" t="str">
        <f>IFERROR(VLOOKUP(Transactions!G286,Merchants!A:B,2,FALSE),"Not Found")</f>
        <v>Metro Pay</v>
      </c>
      <c r="I286" s="9">
        <v>50273.09</v>
      </c>
      <c r="J286" s="3">
        <v>502.73</v>
      </c>
      <c r="K286" t="s">
        <v>96</v>
      </c>
      <c r="L286" t="s">
        <v>80</v>
      </c>
      <c r="M286" t="s">
        <v>111</v>
      </c>
      <c r="N286" t="s">
        <v>67</v>
      </c>
      <c r="O286" t="s">
        <v>81</v>
      </c>
      <c r="P286" t="str">
        <f t="shared" si="9"/>
        <v>High Value</v>
      </c>
      <c r="Q286" t="str">
        <f>VLOOKUP(G286,Merchants!A:C,3,TRUE)</f>
        <v>Travel</v>
      </c>
    </row>
    <row r="287" spans="1:17" x14ac:dyDescent="0.3">
      <c r="A287" t="s">
        <v>709</v>
      </c>
      <c r="B287" s="2">
        <v>45713.974328703713</v>
      </c>
      <c r="C287" s="2" t="str">
        <f t="shared" si="8"/>
        <v>Feb-2025</v>
      </c>
      <c r="D287" t="s">
        <v>144</v>
      </c>
      <c r="E287" t="str">
        <f>VLOOKUP(D287,Customers!A:H,7,0)</f>
        <v>Self-employed</v>
      </c>
      <c r="F287" t="s">
        <v>188</v>
      </c>
      <c r="G287" t="s">
        <v>198</v>
      </c>
      <c r="H287" t="str">
        <f>IFERROR(VLOOKUP(Transactions!G287,Merchants!A:B,2,FALSE),"Not Found")</f>
        <v>Metro Services</v>
      </c>
      <c r="I287" s="9">
        <v>15937.29</v>
      </c>
      <c r="J287" s="3">
        <v>31.87</v>
      </c>
      <c r="K287" t="s">
        <v>96</v>
      </c>
      <c r="L287" t="s">
        <v>73</v>
      </c>
      <c r="M287" t="s">
        <v>60</v>
      </c>
      <c r="N287" t="s">
        <v>61</v>
      </c>
      <c r="O287" t="s">
        <v>62</v>
      </c>
      <c r="P287" t="str">
        <f t="shared" si="9"/>
        <v>High Value</v>
      </c>
      <c r="Q287" t="str">
        <f>VLOOKUP(G287,Merchants!A:C,3,TRUE)</f>
        <v>Travel</v>
      </c>
    </row>
    <row r="288" spans="1:17" x14ac:dyDescent="0.3">
      <c r="A288" t="s">
        <v>710</v>
      </c>
      <c r="B288" s="2">
        <v>46046.591747685183</v>
      </c>
      <c r="C288" s="2" t="str">
        <f t="shared" si="8"/>
        <v>Jan-2026</v>
      </c>
      <c r="D288" t="s">
        <v>338</v>
      </c>
      <c r="E288" t="str">
        <f>VLOOKUP(D288,Customers!A:H,7,0)</f>
        <v>Student</v>
      </c>
      <c r="F288" t="s">
        <v>711</v>
      </c>
      <c r="G288" t="s">
        <v>250</v>
      </c>
      <c r="H288" t="str">
        <f>IFERROR(VLOOKUP(Transactions!G288,Merchants!A:B,2,FALSE),"Not Found")</f>
        <v>Fresh Hub</v>
      </c>
      <c r="I288" s="9">
        <v>28527.919999999998</v>
      </c>
      <c r="J288" s="3">
        <v>285.27999999999997</v>
      </c>
      <c r="K288" t="s">
        <v>96</v>
      </c>
      <c r="L288" t="s">
        <v>59</v>
      </c>
      <c r="M288" t="s">
        <v>60</v>
      </c>
      <c r="N288" t="s">
        <v>67</v>
      </c>
      <c r="O288" t="s">
        <v>91</v>
      </c>
      <c r="P288" t="str">
        <f t="shared" si="9"/>
        <v>High Value</v>
      </c>
      <c r="Q288" t="str">
        <f>VLOOKUP(G288,Merchants!A:C,3,TRUE)</f>
        <v>Healthcare</v>
      </c>
    </row>
    <row r="289" spans="1:17" x14ac:dyDescent="0.3">
      <c r="A289" t="s">
        <v>712</v>
      </c>
      <c r="B289" s="2">
        <v>46202.966990740737</v>
      </c>
      <c r="C289" s="2" t="str">
        <f t="shared" si="8"/>
        <v>Jun-2026</v>
      </c>
      <c r="D289" t="s">
        <v>170</v>
      </c>
      <c r="E289" t="str">
        <f>VLOOKUP(D289,Customers!A:H,7,0)</f>
        <v>Self-employed</v>
      </c>
      <c r="F289" t="s">
        <v>214</v>
      </c>
      <c r="G289" t="s">
        <v>79</v>
      </c>
      <c r="H289" t="str">
        <f>IFERROR(VLOOKUP(Transactions!G289,Merchants!A:B,2,FALSE),"Not Found")</f>
        <v>Nova Retail</v>
      </c>
      <c r="I289" s="9">
        <v>21294.3</v>
      </c>
      <c r="J289" s="3">
        <v>106.47</v>
      </c>
      <c r="K289" t="s">
        <v>58</v>
      </c>
      <c r="L289" t="s">
        <v>73</v>
      </c>
      <c r="M289" t="s">
        <v>60</v>
      </c>
      <c r="N289" t="s">
        <v>61</v>
      </c>
      <c r="O289" t="s">
        <v>75</v>
      </c>
      <c r="P289" t="str">
        <f t="shared" si="9"/>
        <v>High Value</v>
      </c>
      <c r="Q289" t="str">
        <f>VLOOKUP(G289,Merchants!A:C,3,TRUE)</f>
        <v>Grocery</v>
      </c>
    </row>
    <row r="290" spans="1:17" x14ac:dyDescent="0.3">
      <c r="A290" t="s">
        <v>713</v>
      </c>
      <c r="B290" s="2">
        <v>45905.893113425933</v>
      </c>
      <c r="C290" s="2" t="str">
        <f t="shared" si="8"/>
        <v>Sep-2025</v>
      </c>
      <c r="D290" t="s">
        <v>714</v>
      </c>
      <c r="E290" t="str">
        <f>VLOOKUP(D290,Customers!A:H,7,0)</f>
        <v>Salaried</v>
      </c>
      <c r="F290" t="s">
        <v>89</v>
      </c>
      <c r="G290" t="s">
        <v>229</v>
      </c>
      <c r="H290" t="str">
        <f>IFERROR(VLOOKUP(Transactions!G290,Merchants!A:B,2,FALSE),"Not Found")</f>
        <v>Urban Services</v>
      </c>
      <c r="I290" s="9">
        <v>46252.79</v>
      </c>
      <c r="J290" s="3">
        <v>138.76</v>
      </c>
      <c r="K290" t="s">
        <v>58</v>
      </c>
      <c r="L290" t="s">
        <v>59</v>
      </c>
      <c r="M290" t="s">
        <v>86</v>
      </c>
      <c r="N290" t="s">
        <v>67</v>
      </c>
      <c r="O290" t="s">
        <v>75</v>
      </c>
      <c r="P290" t="str">
        <f t="shared" si="9"/>
        <v>High Value</v>
      </c>
      <c r="Q290" t="str">
        <f>VLOOKUP(G290,Merchants!A:C,3,TRUE)</f>
        <v>Fashion</v>
      </c>
    </row>
    <row r="291" spans="1:17" x14ac:dyDescent="0.3">
      <c r="A291" t="s">
        <v>715</v>
      </c>
      <c r="B291" s="2">
        <v>45758.796840277777</v>
      </c>
      <c r="C291" s="2" t="str">
        <f t="shared" si="8"/>
        <v>Apr-2025</v>
      </c>
      <c r="D291" t="s">
        <v>481</v>
      </c>
      <c r="E291" t="str">
        <f>VLOOKUP(D291,Customers!A:H,7,0)</f>
        <v>Student</v>
      </c>
      <c r="F291" t="s">
        <v>462</v>
      </c>
      <c r="G291" t="s">
        <v>225</v>
      </c>
      <c r="H291" t="str">
        <f>IFERROR(VLOOKUP(Transactions!G291,Merchants!A:B,2,FALSE),"Not Found")</f>
        <v>Quick Retail</v>
      </c>
      <c r="I291" s="9">
        <v>6324.05</v>
      </c>
      <c r="J291" s="3">
        <v>18.97</v>
      </c>
      <c r="K291" t="s">
        <v>58</v>
      </c>
      <c r="L291" t="s">
        <v>59</v>
      </c>
      <c r="M291" t="s">
        <v>86</v>
      </c>
      <c r="N291" t="s">
        <v>67</v>
      </c>
      <c r="O291" t="s">
        <v>91</v>
      </c>
      <c r="P291" t="str">
        <f t="shared" si="9"/>
        <v>High Value</v>
      </c>
      <c r="Q291" t="str">
        <f>VLOOKUP(G291,Merchants!A:C,3,TRUE)</f>
        <v>Grocery</v>
      </c>
    </row>
    <row r="292" spans="1:17" x14ac:dyDescent="0.3">
      <c r="A292" t="s">
        <v>716</v>
      </c>
      <c r="B292" s="2">
        <v>46266.996087962973</v>
      </c>
      <c r="C292" s="2" t="str">
        <f t="shared" si="8"/>
        <v>Sep-2026</v>
      </c>
      <c r="D292" t="s">
        <v>159</v>
      </c>
      <c r="E292" t="str">
        <f>VLOOKUP(D292,Customers!A:H,7,0)</f>
        <v>Business Owner</v>
      </c>
      <c r="F292" t="s">
        <v>163</v>
      </c>
      <c r="G292" t="s">
        <v>382</v>
      </c>
      <c r="H292" t="str">
        <f>IFERROR(VLOOKUP(Transactions!G292,Merchants!A:B,2,FALSE),"Not Found")</f>
        <v>Fresh Foods</v>
      </c>
      <c r="I292" s="9">
        <v>53648.62</v>
      </c>
      <c r="J292" s="3">
        <v>107.3</v>
      </c>
      <c r="K292" t="s">
        <v>90</v>
      </c>
      <c r="L292" t="s">
        <v>59</v>
      </c>
      <c r="M292" t="s">
        <v>74</v>
      </c>
      <c r="N292" t="s">
        <v>67</v>
      </c>
      <c r="O292" t="s">
        <v>91</v>
      </c>
      <c r="P292" t="str">
        <f t="shared" si="9"/>
        <v>High Value</v>
      </c>
      <c r="Q292" t="str">
        <f>VLOOKUP(G292,Merchants!A:C,3,TRUE)</f>
        <v>Healthcare</v>
      </c>
    </row>
    <row r="293" spans="1:17" x14ac:dyDescent="0.3">
      <c r="A293" t="s">
        <v>717</v>
      </c>
      <c r="B293" s="2">
        <v>45846.384317129632</v>
      </c>
      <c r="C293" s="2" t="str">
        <f t="shared" si="8"/>
        <v>Jul-2025</v>
      </c>
      <c r="D293" t="s">
        <v>242</v>
      </c>
      <c r="E293" t="str">
        <f>VLOOKUP(D293,Customers!A:H,7,0)</f>
        <v>Salaried</v>
      </c>
      <c r="F293" t="s">
        <v>149</v>
      </c>
      <c r="G293" t="s">
        <v>79</v>
      </c>
      <c r="H293" t="str">
        <f>IFERROR(VLOOKUP(Transactions!G293,Merchants!A:B,2,FALSE),"Not Found")</f>
        <v>Nova Retail</v>
      </c>
      <c r="I293" s="9">
        <v>17744.66</v>
      </c>
      <c r="J293" s="3">
        <v>35.49</v>
      </c>
      <c r="K293" t="s">
        <v>96</v>
      </c>
      <c r="L293" t="s">
        <v>80</v>
      </c>
      <c r="M293" t="s">
        <v>60</v>
      </c>
      <c r="N293" t="s">
        <v>61</v>
      </c>
      <c r="O293" t="s">
        <v>62</v>
      </c>
      <c r="P293" t="str">
        <f t="shared" si="9"/>
        <v>High Value</v>
      </c>
      <c r="Q293" t="str">
        <f>VLOOKUP(G293,Merchants!A:C,3,TRUE)</f>
        <v>Grocery</v>
      </c>
    </row>
    <row r="294" spans="1:17" x14ac:dyDescent="0.3">
      <c r="A294" t="s">
        <v>718</v>
      </c>
      <c r="B294" s="2">
        <v>45733.420648148152</v>
      </c>
      <c r="C294" s="2" t="str">
        <f t="shared" si="8"/>
        <v>Mar-2025</v>
      </c>
      <c r="D294" t="s">
        <v>564</v>
      </c>
      <c r="E294" t="str">
        <f>VLOOKUP(D294,Customers!A:H,7,0)</f>
        <v>Student</v>
      </c>
      <c r="F294" t="s">
        <v>315</v>
      </c>
      <c r="G294" t="s">
        <v>189</v>
      </c>
      <c r="H294" t="str">
        <f>IFERROR(VLOOKUP(Transactions!G294,Merchants!A:B,2,FALSE),"Not Found")</f>
        <v>Quick Services</v>
      </c>
      <c r="I294" s="9">
        <v>46648.65</v>
      </c>
      <c r="J294" s="3">
        <v>233.24</v>
      </c>
      <c r="K294" t="s">
        <v>90</v>
      </c>
      <c r="L294" t="s">
        <v>59</v>
      </c>
      <c r="M294" t="s">
        <v>74</v>
      </c>
      <c r="N294" t="s">
        <v>67</v>
      </c>
      <c r="O294" t="s">
        <v>75</v>
      </c>
      <c r="P294" t="str">
        <f t="shared" si="9"/>
        <v>High Value</v>
      </c>
      <c r="Q294" t="str">
        <f>VLOOKUP(G294,Merchants!A:C,3,TRUE)</f>
        <v>Food &amp; Dining</v>
      </c>
    </row>
    <row r="295" spans="1:17" x14ac:dyDescent="0.3">
      <c r="A295" t="s">
        <v>719</v>
      </c>
      <c r="B295" s="2">
        <v>45863.925844907397</v>
      </c>
      <c r="C295" s="2" t="str">
        <f t="shared" si="8"/>
        <v>Jul-2025</v>
      </c>
      <c r="D295" t="s">
        <v>720</v>
      </c>
      <c r="E295" t="str">
        <f>VLOOKUP(D295,Customers!A:H,7,0)</f>
        <v>Business Owner</v>
      </c>
      <c r="F295" t="s">
        <v>423</v>
      </c>
      <c r="G295" t="s">
        <v>117</v>
      </c>
      <c r="H295" t="str">
        <f>IFERROR(VLOOKUP(Transactions!G295,Merchants!A:B,2,FALSE),"Not Found")</f>
        <v>Prime Pay</v>
      </c>
      <c r="I295" s="9">
        <v>23618.799999999999</v>
      </c>
      <c r="J295" s="3">
        <v>47.24</v>
      </c>
      <c r="K295" t="s">
        <v>90</v>
      </c>
      <c r="L295" t="s">
        <v>80</v>
      </c>
      <c r="M295" t="s">
        <v>86</v>
      </c>
      <c r="N295" t="s">
        <v>61</v>
      </c>
      <c r="O295" t="s">
        <v>81</v>
      </c>
      <c r="P295" t="str">
        <f t="shared" si="9"/>
        <v>High Value</v>
      </c>
      <c r="Q295" t="str">
        <f>VLOOKUP(G295,Merchants!A:C,3,TRUE)</f>
        <v>Travel</v>
      </c>
    </row>
    <row r="296" spans="1:17" x14ac:dyDescent="0.3">
      <c r="A296" t="s">
        <v>721</v>
      </c>
      <c r="B296" s="2">
        <v>45763.052881944437</v>
      </c>
      <c r="C296" s="2" t="str">
        <f t="shared" si="8"/>
        <v>Apr-2025</v>
      </c>
      <c r="D296" t="s">
        <v>590</v>
      </c>
      <c r="E296" t="str">
        <f>VLOOKUP(D296,Customers!A:H,7,0)</f>
        <v>Self-employed</v>
      </c>
      <c r="F296" t="s">
        <v>722</v>
      </c>
      <c r="G296" t="s">
        <v>318</v>
      </c>
      <c r="H296" t="str">
        <f>IFERROR(VLOOKUP(Transactions!G296,Merchants!A:B,2,FALSE),"Not Found")</f>
        <v>Urban Digital</v>
      </c>
      <c r="I296" s="9">
        <v>4467.88</v>
      </c>
      <c r="J296" s="3">
        <v>22.34</v>
      </c>
      <c r="K296" t="s">
        <v>90</v>
      </c>
      <c r="L296" t="s">
        <v>59</v>
      </c>
      <c r="M296" t="s">
        <v>86</v>
      </c>
      <c r="N296" t="s">
        <v>67</v>
      </c>
      <c r="O296" t="s">
        <v>75</v>
      </c>
      <c r="P296" t="str">
        <f t="shared" si="9"/>
        <v>High Value</v>
      </c>
      <c r="Q296" t="str">
        <f>VLOOKUP(G296,Merchants!A:C,3,TRUE)</f>
        <v>Utilities</v>
      </c>
    </row>
    <row r="297" spans="1:17" x14ac:dyDescent="0.3">
      <c r="A297" t="s">
        <v>723</v>
      </c>
      <c r="B297" s="2">
        <v>45930.229988425926</v>
      </c>
      <c r="C297" s="2" t="str">
        <f t="shared" si="8"/>
        <v>Sep-2025</v>
      </c>
      <c r="D297" t="s">
        <v>77</v>
      </c>
      <c r="E297" t="str">
        <f>VLOOKUP(D297,Customers!A:H,7,0)</f>
        <v>Student</v>
      </c>
      <c r="F297" t="s">
        <v>412</v>
      </c>
      <c r="G297" t="s">
        <v>318</v>
      </c>
      <c r="H297" t="str">
        <f>IFERROR(VLOOKUP(Transactions!G297,Merchants!A:B,2,FALSE),"Not Found")</f>
        <v>Urban Digital</v>
      </c>
      <c r="I297" s="9">
        <v>42033.31</v>
      </c>
      <c r="J297" s="3">
        <v>84.07</v>
      </c>
      <c r="K297" t="s">
        <v>96</v>
      </c>
      <c r="L297" t="s">
        <v>157</v>
      </c>
      <c r="M297" t="s">
        <v>74</v>
      </c>
      <c r="N297" t="s">
        <v>61</v>
      </c>
      <c r="O297" t="s">
        <v>91</v>
      </c>
      <c r="P297" t="str">
        <f t="shared" si="9"/>
        <v>High Value</v>
      </c>
      <c r="Q297" t="str">
        <f>VLOOKUP(G297,Merchants!A:C,3,TRUE)</f>
        <v>Utilities</v>
      </c>
    </row>
    <row r="298" spans="1:17" x14ac:dyDescent="0.3">
      <c r="A298" t="s">
        <v>724</v>
      </c>
      <c r="B298" s="2">
        <v>46211.342615740738</v>
      </c>
      <c r="C298" s="2" t="str">
        <f t="shared" si="8"/>
        <v>Jul-2026</v>
      </c>
      <c r="D298" t="s">
        <v>93</v>
      </c>
      <c r="E298" t="str">
        <f>VLOOKUP(D298,Customers!A:H,7,0)</f>
        <v>Student</v>
      </c>
      <c r="F298" t="s">
        <v>627</v>
      </c>
      <c r="G298" t="s">
        <v>347</v>
      </c>
      <c r="H298" t="str">
        <f>IFERROR(VLOOKUP(Transactions!G298,Merchants!A:B,2,FALSE),"Not Found")</f>
        <v>Nova Hub</v>
      </c>
      <c r="I298" s="9">
        <v>298.11</v>
      </c>
      <c r="J298" s="3">
        <v>2.98</v>
      </c>
      <c r="K298" t="s">
        <v>72</v>
      </c>
      <c r="L298" t="s">
        <v>157</v>
      </c>
      <c r="M298" t="s">
        <v>60</v>
      </c>
      <c r="N298" t="s">
        <v>61</v>
      </c>
      <c r="O298" t="s">
        <v>75</v>
      </c>
      <c r="P298" t="str">
        <f t="shared" si="9"/>
        <v>Standard</v>
      </c>
      <c r="Q298" t="str">
        <f>VLOOKUP(G298,Merchants!A:C,3,TRUE)</f>
        <v>Fuel</v>
      </c>
    </row>
    <row r="299" spans="1:17" x14ac:dyDescent="0.3">
      <c r="A299" t="s">
        <v>725</v>
      </c>
      <c r="B299" s="2">
        <v>45714.959178240737</v>
      </c>
      <c r="C299" s="2" t="str">
        <f t="shared" si="8"/>
        <v>Feb-2025</v>
      </c>
      <c r="D299" t="s">
        <v>680</v>
      </c>
      <c r="E299" t="str">
        <f>VLOOKUP(D299,Customers!A:H,7,0)</f>
        <v>Self-employed</v>
      </c>
      <c r="F299" t="s">
        <v>726</v>
      </c>
      <c r="G299" t="s">
        <v>201</v>
      </c>
      <c r="H299" t="str">
        <f>IFERROR(VLOOKUP(Transactions!G299,Merchants!A:B,2,FALSE),"Not Found")</f>
        <v>Urban Stores</v>
      </c>
      <c r="I299" s="9">
        <v>59821.25</v>
      </c>
      <c r="J299" s="3">
        <v>299.11</v>
      </c>
      <c r="K299" t="s">
        <v>58</v>
      </c>
      <c r="L299" t="s">
        <v>80</v>
      </c>
      <c r="M299" t="s">
        <v>74</v>
      </c>
      <c r="N299" t="s">
        <v>61</v>
      </c>
      <c r="O299" t="s">
        <v>62</v>
      </c>
      <c r="P299" t="str">
        <f t="shared" si="9"/>
        <v>High Value</v>
      </c>
      <c r="Q299" t="str">
        <f>VLOOKUP(G299,Merchants!A:C,3,TRUE)</f>
        <v>Entertainment</v>
      </c>
    </row>
    <row r="300" spans="1:17" x14ac:dyDescent="0.3">
      <c r="A300" t="s">
        <v>727</v>
      </c>
      <c r="B300" s="2">
        <v>45838.841157407413</v>
      </c>
      <c r="C300" s="2" t="str">
        <f t="shared" si="8"/>
        <v>Jun-2025</v>
      </c>
      <c r="D300" t="s">
        <v>728</v>
      </c>
      <c r="E300" t="str">
        <f>VLOOKUP(D300,Customers!A:H,7,0)</f>
        <v>Salaried</v>
      </c>
      <c r="F300" t="s">
        <v>139</v>
      </c>
      <c r="G300" t="s">
        <v>366</v>
      </c>
      <c r="H300" t="str">
        <f>IFERROR(VLOOKUP(Transactions!G300,Merchants!A:B,2,FALSE),"Not Found")</f>
        <v>Smart Pay</v>
      </c>
      <c r="I300" s="9">
        <v>2455.94</v>
      </c>
      <c r="J300" s="3">
        <v>7.37</v>
      </c>
      <c r="K300" t="s">
        <v>58</v>
      </c>
      <c r="L300" t="s">
        <v>59</v>
      </c>
      <c r="M300" t="s">
        <v>60</v>
      </c>
      <c r="N300" t="s">
        <v>61</v>
      </c>
      <c r="O300" t="s">
        <v>91</v>
      </c>
      <c r="P300" t="str">
        <f t="shared" si="9"/>
        <v>Standard</v>
      </c>
      <c r="Q300" t="str">
        <f>VLOOKUP(G300,Merchants!A:C,3,TRUE)</f>
        <v>Fashion</v>
      </c>
    </row>
    <row r="301" spans="1:17" x14ac:dyDescent="0.3">
      <c r="A301" t="s">
        <v>729</v>
      </c>
      <c r="B301" s="2">
        <v>46106.287418981483</v>
      </c>
      <c r="C301" s="2" t="str">
        <f t="shared" si="8"/>
        <v>Mar-2026</v>
      </c>
      <c r="D301" t="s">
        <v>69</v>
      </c>
      <c r="E301" t="str">
        <f>VLOOKUP(D301,Customers!A:H,7,0)</f>
        <v>Self-employed</v>
      </c>
      <c r="F301" t="s">
        <v>730</v>
      </c>
      <c r="G301" t="s">
        <v>430</v>
      </c>
      <c r="H301" t="str">
        <f>IFERROR(VLOOKUP(Transactions!G301,Merchants!A:B,2,FALSE),"Not Found")</f>
        <v>Prime Foods</v>
      </c>
      <c r="I301" s="9">
        <v>8482.58</v>
      </c>
      <c r="J301" s="3">
        <v>25.45</v>
      </c>
      <c r="K301" t="s">
        <v>133</v>
      </c>
      <c r="L301" t="s">
        <v>59</v>
      </c>
      <c r="M301" t="s">
        <v>60</v>
      </c>
      <c r="N301" t="s">
        <v>61</v>
      </c>
      <c r="O301" t="s">
        <v>75</v>
      </c>
      <c r="P301" t="str">
        <f t="shared" si="9"/>
        <v>High Value</v>
      </c>
      <c r="Q301" t="str">
        <f>VLOOKUP(G301,Merchants!A:C,3,TRUE)</f>
        <v>Entertainment</v>
      </c>
    </row>
    <row r="302" spans="1:17" x14ac:dyDescent="0.3">
      <c r="A302" t="s">
        <v>731</v>
      </c>
      <c r="B302" s="2">
        <v>45674.056192129632</v>
      </c>
      <c r="C302" s="2" t="str">
        <f t="shared" si="8"/>
        <v>Jan-2025</v>
      </c>
      <c r="D302" t="s">
        <v>732</v>
      </c>
      <c r="E302" t="str">
        <f>VLOOKUP(D302,Customers!A:H,7,0)</f>
        <v>Self-employed</v>
      </c>
      <c r="F302" t="s">
        <v>409</v>
      </c>
      <c r="G302" t="s">
        <v>57</v>
      </c>
      <c r="H302" t="str">
        <f>IFERROR(VLOOKUP(Transactions!G302,Merchants!A:B,2,FALSE),"Not Found")</f>
        <v>Daily Stores</v>
      </c>
      <c r="I302" s="9">
        <v>20423.18</v>
      </c>
      <c r="J302" s="3">
        <v>40.85</v>
      </c>
      <c r="K302" t="s">
        <v>133</v>
      </c>
      <c r="L302" t="s">
        <v>59</v>
      </c>
      <c r="M302" t="s">
        <v>74</v>
      </c>
      <c r="N302" t="s">
        <v>67</v>
      </c>
      <c r="O302" t="s">
        <v>62</v>
      </c>
      <c r="P302" t="str">
        <f t="shared" si="9"/>
        <v>High Value</v>
      </c>
      <c r="Q302" t="str">
        <f>VLOOKUP(G302,Merchants!A:C,3,TRUE)</f>
        <v>Travel</v>
      </c>
    </row>
    <row r="303" spans="1:17" x14ac:dyDescent="0.3">
      <c r="A303" t="s">
        <v>733</v>
      </c>
      <c r="B303" s="2">
        <v>45731.055937500001</v>
      </c>
      <c r="C303" s="2" t="str">
        <f t="shared" si="8"/>
        <v>Mar-2025</v>
      </c>
      <c r="D303" t="s">
        <v>324</v>
      </c>
      <c r="E303" t="str">
        <f>VLOOKUP(D303,Customers!A:H,7,0)</f>
        <v>Business Owner</v>
      </c>
      <c r="F303" t="s">
        <v>734</v>
      </c>
      <c r="G303" t="s">
        <v>208</v>
      </c>
      <c r="H303" t="str">
        <f>IFERROR(VLOOKUP(Transactions!G303,Merchants!A:B,2,FALSE),"Not Found")</f>
        <v>Blue Retail</v>
      </c>
      <c r="I303" s="9">
        <v>44154.04</v>
      </c>
      <c r="J303" s="3">
        <v>88.31</v>
      </c>
      <c r="K303" t="s">
        <v>58</v>
      </c>
      <c r="L303" t="s">
        <v>59</v>
      </c>
      <c r="M303" t="s">
        <v>111</v>
      </c>
      <c r="N303" t="s">
        <v>67</v>
      </c>
      <c r="O303" t="s">
        <v>91</v>
      </c>
      <c r="P303" t="str">
        <f t="shared" si="9"/>
        <v>High Value</v>
      </c>
      <c r="Q303" t="str">
        <f>VLOOKUP(G303,Merchants!A:C,3,TRUE)</f>
        <v>Healthcare</v>
      </c>
    </row>
    <row r="304" spans="1:17" x14ac:dyDescent="0.3">
      <c r="A304" t="s">
        <v>735</v>
      </c>
      <c r="B304" s="2">
        <v>45834.959768518522</v>
      </c>
      <c r="C304" s="2" t="str">
        <f t="shared" si="8"/>
        <v>Jun-2025</v>
      </c>
      <c r="D304" t="s">
        <v>736</v>
      </c>
      <c r="E304" t="str">
        <f>VLOOKUP(D304,Customers!A:H,7,0)</f>
        <v>Student</v>
      </c>
      <c r="F304" t="s">
        <v>737</v>
      </c>
      <c r="G304" t="s">
        <v>95</v>
      </c>
      <c r="H304" t="str">
        <f>IFERROR(VLOOKUP(Transactions!G304,Merchants!A:B,2,FALSE),"Not Found")</f>
        <v>Quick Pay</v>
      </c>
      <c r="I304" s="9">
        <v>3092.48</v>
      </c>
      <c r="J304" s="3">
        <v>6.18</v>
      </c>
      <c r="K304" t="s">
        <v>133</v>
      </c>
      <c r="L304" t="s">
        <v>59</v>
      </c>
      <c r="M304" t="s">
        <v>86</v>
      </c>
      <c r="N304" t="s">
        <v>67</v>
      </c>
      <c r="O304" t="s">
        <v>91</v>
      </c>
      <c r="P304" t="str">
        <f t="shared" si="9"/>
        <v>High Value</v>
      </c>
      <c r="Q304" t="str">
        <f>VLOOKUP(G304,Merchants!A:C,3,TRUE)</f>
        <v>Healthcare</v>
      </c>
    </row>
    <row r="305" spans="1:17" x14ac:dyDescent="0.3">
      <c r="A305" t="s">
        <v>738</v>
      </c>
      <c r="B305" s="2">
        <v>46167.902592592603</v>
      </c>
      <c r="C305" s="2" t="str">
        <f t="shared" si="8"/>
        <v>May-2026</v>
      </c>
      <c r="D305" t="s">
        <v>102</v>
      </c>
      <c r="E305" t="str">
        <f>VLOOKUP(D305,Customers!A:H,7,0)</f>
        <v>Business Owner</v>
      </c>
      <c r="F305" t="s">
        <v>739</v>
      </c>
      <c r="G305" t="s">
        <v>128</v>
      </c>
      <c r="H305" t="str">
        <f>IFERROR(VLOOKUP(Transactions!G305,Merchants!A:B,2,FALSE),"Not Found")</f>
        <v>Blue Foods</v>
      </c>
      <c r="I305" s="9">
        <v>47970.6</v>
      </c>
      <c r="J305" s="3">
        <v>143.91</v>
      </c>
      <c r="K305" t="s">
        <v>96</v>
      </c>
      <c r="L305" t="s">
        <v>59</v>
      </c>
      <c r="M305" t="s">
        <v>60</v>
      </c>
      <c r="N305" t="s">
        <v>67</v>
      </c>
      <c r="O305" t="s">
        <v>62</v>
      </c>
      <c r="P305" t="str">
        <f t="shared" si="9"/>
        <v>High Value</v>
      </c>
      <c r="Q305" t="str">
        <f>VLOOKUP(G305,Merchants!A:C,3,TRUE)</f>
        <v>Food &amp; Dining</v>
      </c>
    </row>
    <row r="306" spans="1:17" x14ac:dyDescent="0.3">
      <c r="A306" t="s">
        <v>740</v>
      </c>
      <c r="B306" s="2">
        <v>45987.323472222219</v>
      </c>
      <c r="C306" s="2" t="str">
        <f t="shared" si="8"/>
        <v>Nov-2025</v>
      </c>
      <c r="D306" t="s">
        <v>741</v>
      </c>
      <c r="E306" t="str">
        <f>VLOOKUP(D306,Customers!A:H,7,0)</f>
        <v>Salaried</v>
      </c>
      <c r="F306" t="s">
        <v>409</v>
      </c>
      <c r="G306" t="s">
        <v>79</v>
      </c>
      <c r="H306" t="str">
        <f>IFERROR(VLOOKUP(Transactions!G306,Merchants!A:B,2,FALSE),"Not Found")</f>
        <v>Nova Retail</v>
      </c>
      <c r="I306" s="9">
        <v>45877.25</v>
      </c>
      <c r="J306" s="3">
        <v>229.39</v>
      </c>
      <c r="K306" t="s">
        <v>90</v>
      </c>
      <c r="L306" t="s">
        <v>59</v>
      </c>
      <c r="M306" t="s">
        <v>74</v>
      </c>
      <c r="N306" t="s">
        <v>67</v>
      </c>
      <c r="O306" t="s">
        <v>81</v>
      </c>
      <c r="P306" t="str">
        <f t="shared" si="9"/>
        <v>High Value</v>
      </c>
      <c r="Q306" t="str">
        <f>VLOOKUP(G306,Merchants!A:C,3,TRUE)</f>
        <v>Grocery</v>
      </c>
    </row>
    <row r="307" spans="1:17" x14ac:dyDescent="0.3">
      <c r="A307" t="s">
        <v>742</v>
      </c>
      <c r="B307" s="2">
        <v>46224.2503125</v>
      </c>
      <c r="C307" s="2" t="str">
        <f t="shared" si="8"/>
        <v>Jul-2026</v>
      </c>
      <c r="D307" t="s">
        <v>64</v>
      </c>
      <c r="E307" t="str">
        <f>VLOOKUP(D307,Customers!A:H,7,0)</f>
        <v>Student</v>
      </c>
      <c r="F307" t="s">
        <v>443</v>
      </c>
      <c r="G307" t="s">
        <v>237</v>
      </c>
      <c r="H307" t="str">
        <f>IFERROR(VLOOKUP(Transactions!G307,Merchants!A:B,2,FALSE),"Not Found")</f>
        <v>Metro Pay</v>
      </c>
      <c r="I307" s="9">
        <v>26375.81</v>
      </c>
      <c r="J307" s="3">
        <v>52.75</v>
      </c>
      <c r="K307" t="s">
        <v>133</v>
      </c>
      <c r="L307" t="s">
        <v>157</v>
      </c>
      <c r="M307" t="s">
        <v>74</v>
      </c>
      <c r="N307" t="s">
        <v>67</v>
      </c>
      <c r="O307" t="s">
        <v>91</v>
      </c>
      <c r="P307" t="str">
        <f t="shared" si="9"/>
        <v>High Value</v>
      </c>
      <c r="Q307" t="str">
        <f>VLOOKUP(G307,Merchants!A:C,3,TRUE)</f>
        <v>Healthcare</v>
      </c>
    </row>
    <row r="308" spans="1:17" x14ac:dyDescent="0.3">
      <c r="A308" t="s">
        <v>743</v>
      </c>
      <c r="B308" s="2">
        <v>46156.122453703712</v>
      </c>
      <c r="C308" s="2" t="str">
        <f t="shared" si="8"/>
        <v>May-2026</v>
      </c>
      <c r="D308" t="s">
        <v>398</v>
      </c>
      <c r="E308" t="str">
        <f>VLOOKUP(D308,Customers!A:H,7,0)</f>
        <v>Salaried</v>
      </c>
      <c r="F308" t="s">
        <v>178</v>
      </c>
      <c r="G308" t="s">
        <v>132</v>
      </c>
      <c r="H308" t="str">
        <f>IFERROR(VLOOKUP(Transactions!G308,Merchants!A:B,2,FALSE),"Not Found")</f>
        <v>Metro Retail</v>
      </c>
      <c r="I308" s="9">
        <v>480.34</v>
      </c>
      <c r="J308" s="3">
        <v>0.96</v>
      </c>
      <c r="K308" t="s">
        <v>96</v>
      </c>
      <c r="L308" t="s">
        <v>59</v>
      </c>
      <c r="M308" t="s">
        <v>74</v>
      </c>
      <c r="N308" t="s">
        <v>67</v>
      </c>
      <c r="O308" t="s">
        <v>62</v>
      </c>
      <c r="P308" t="str">
        <f t="shared" si="9"/>
        <v>Standard</v>
      </c>
      <c r="Q308" t="str">
        <f>VLOOKUP(G308,Merchants!A:C,3,TRUE)</f>
        <v>Entertainment</v>
      </c>
    </row>
    <row r="309" spans="1:17" x14ac:dyDescent="0.3">
      <c r="A309" t="s">
        <v>744</v>
      </c>
      <c r="B309" s="2">
        <v>45804.970636574071</v>
      </c>
      <c r="C309" s="2" t="str">
        <f t="shared" si="8"/>
        <v>May-2025</v>
      </c>
      <c r="D309" t="s">
        <v>289</v>
      </c>
      <c r="E309" t="str">
        <f>VLOOKUP(D309,Customers!A:H,7,0)</f>
        <v>Business Owner</v>
      </c>
      <c r="F309" t="s">
        <v>737</v>
      </c>
      <c r="G309" t="s">
        <v>107</v>
      </c>
      <c r="H309" t="str">
        <f>IFERROR(VLOOKUP(Transactions!G309,Merchants!A:B,2,FALSE),"Not Found")</f>
        <v>Blue Services</v>
      </c>
      <c r="I309" s="9">
        <v>16329.89</v>
      </c>
      <c r="J309" s="3">
        <v>48.99</v>
      </c>
      <c r="K309" t="s">
        <v>58</v>
      </c>
      <c r="L309" t="s">
        <v>59</v>
      </c>
      <c r="M309" t="s">
        <v>111</v>
      </c>
      <c r="N309" t="s">
        <v>61</v>
      </c>
      <c r="O309" t="s">
        <v>91</v>
      </c>
      <c r="P309" t="str">
        <f t="shared" si="9"/>
        <v>High Value</v>
      </c>
      <c r="Q309" t="str">
        <f>VLOOKUP(G309,Merchants!A:C,3,TRUE)</f>
        <v>Travel</v>
      </c>
    </row>
    <row r="310" spans="1:17" x14ac:dyDescent="0.3">
      <c r="A310" t="s">
        <v>745</v>
      </c>
      <c r="B310" s="2">
        <v>45966.527696759258</v>
      </c>
      <c r="C310" s="2" t="str">
        <f t="shared" si="8"/>
        <v>Nov-2025</v>
      </c>
      <c r="D310" t="s">
        <v>159</v>
      </c>
      <c r="E310" t="str">
        <f>VLOOKUP(D310,Customers!A:H,7,0)</f>
        <v>Business Owner</v>
      </c>
      <c r="F310" t="s">
        <v>571</v>
      </c>
      <c r="G310" t="s">
        <v>244</v>
      </c>
      <c r="H310" t="str">
        <f>IFERROR(VLOOKUP(Transactions!G310,Merchants!A:B,2,FALSE),"Not Found")</f>
        <v>Blue Hub</v>
      </c>
      <c r="I310" s="9">
        <v>25185.27</v>
      </c>
      <c r="J310" s="3">
        <v>75.56</v>
      </c>
      <c r="K310" t="s">
        <v>133</v>
      </c>
      <c r="L310" t="s">
        <v>59</v>
      </c>
      <c r="M310" t="s">
        <v>60</v>
      </c>
      <c r="N310" t="s">
        <v>67</v>
      </c>
      <c r="O310" t="s">
        <v>75</v>
      </c>
      <c r="P310" t="str">
        <f t="shared" si="9"/>
        <v>High Value</v>
      </c>
      <c r="Q310" t="str">
        <f>VLOOKUP(G310,Merchants!A:C,3,TRUE)</f>
        <v>Healthcare</v>
      </c>
    </row>
    <row r="311" spans="1:17" x14ac:dyDescent="0.3">
      <c r="A311" t="s">
        <v>746</v>
      </c>
      <c r="B311" s="2">
        <v>45871.419340277767</v>
      </c>
      <c r="C311" s="2" t="str">
        <f t="shared" si="8"/>
        <v>Aug-2025</v>
      </c>
      <c r="D311" t="s">
        <v>684</v>
      </c>
      <c r="E311" t="str">
        <f>VLOOKUP(D311,Customers!A:H,7,0)</f>
        <v>Student</v>
      </c>
      <c r="F311" t="s">
        <v>232</v>
      </c>
      <c r="G311" t="s">
        <v>277</v>
      </c>
      <c r="H311" t="str">
        <f>IFERROR(VLOOKUP(Transactions!G311,Merchants!A:B,2,FALSE),"Not Found")</f>
        <v>Daily Digital</v>
      </c>
      <c r="I311" s="9">
        <v>3278.83</v>
      </c>
      <c r="J311" s="3">
        <v>9.84</v>
      </c>
      <c r="K311" t="s">
        <v>96</v>
      </c>
      <c r="L311" t="s">
        <v>59</v>
      </c>
      <c r="M311" t="s">
        <v>111</v>
      </c>
      <c r="N311" t="s">
        <v>67</v>
      </c>
      <c r="O311" t="s">
        <v>91</v>
      </c>
      <c r="P311" t="str">
        <f t="shared" si="9"/>
        <v>High Value</v>
      </c>
      <c r="Q311" t="str">
        <f>VLOOKUP(G311,Merchants!A:C,3,TRUE)</f>
        <v>Grocery</v>
      </c>
    </row>
    <row r="312" spans="1:17" x14ac:dyDescent="0.3">
      <c r="A312" t="s">
        <v>747</v>
      </c>
      <c r="B312" s="2">
        <v>45713.978275462963</v>
      </c>
      <c r="C312" s="2" t="str">
        <f t="shared" si="8"/>
        <v>Feb-2025</v>
      </c>
      <c r="D312" t="s">
        <v>170</v>
      </c>
      <c r="E312" t="str">
        <f>VLOOKUP(D312,Customers!A:H,7,0)</f>
        <v>Self-employed</v>
      </c>
      <c r="F312" t="s">
        <v>336</v>
      </c>
      <c r="G312" t="s">
        <v>554</v>
      </c>
      <c r="H312" t="str">
        <f>IFERROR(VLOOKUP(Transactions!G312,Merchants!A:B,2,FALSE),"Not Found")</f>
        <v>Green Pay</v>
      </c>
      <c r="I312" s="9">
        <v>21915.16</v>
      </c>
      <c r="J312" s="3">
        <v>109.58</v>
      </c>
      <c r="K312" t="s">
        <v>58</v>
      </c>
      <c r="L312" t="s">
        <v>59</v>
      </c>
      <c r="M312" t="s">
        <v>86</v>
      </c>
      <c r="N312" t="s">
        <v>67</v>
      </c>
      <c r="O312" t="s">
        <v>62</v>
      </c>
      <c r="P312" t="str">
        <f t="shared" si="9"/>
        <v>High Value</v>
      </c>
      <c r="Q312" t="str">
        <f>VLOOKUP(G312,Merchants!A:C,3,TRUE)</f>
        <v>Utilities</v>
      </c>
    </row>
    <row r="313" spans="1:17" x14ac:dyDescent="0.3">
      <c r="A313" t="s">
        <v>748</v>
      </c>
      <c r="B313" s="2">
        <v>45819.044085648151</v>
      </c>
      <c r="C313" s="2" t="str">
        <f t="shared" si="8"/>
        <v>Jun-2025</v>
      </c>
      <c r="D313" t="s">
        <v>749</v>
      </c>
      <c r="E313" t="str">
        <f>VLOOKUP(D313,Customers!A:H,7,0)</f>
        <v>Self-employed</v>
      </c>
      <c r="F313" t="s">
        <v>178</v>
      </c>
      <c r="G313" t="s">
        <v>168</v>
      </c>
      <c r="H313" t="str">
        <f>IFERROR(VLOOKUP(Transactions!G313,Merchants!A:B,2,FALSE),"Not Found")</f>
        <v>Quick Hub</v>
      </c>
      <c r="I313" s="9">
        <v>29155.18</v>
      </c>
      <c r="J313" s="3">
        <v>87.47</v>
      </c>
      <c r="K313" t="s">
        <v>72</v>
      </c>
      <c r="L313" t="s">
        <v>59</v>
      </c>
      <c r="M313" t="s">
        <v>74</v>
      </c>
      <c r="N313" t="s">
        <v>67</v>
      </c>
      <c r="O313" t="s">
        <v>81</v>
      </c>
      <c r="P313" t="str">
        <f t="shared" si="9"/>
        <v>High Value</v>
      </c>
      <c r="Q313" t="str">
        <f>VLOOKUP(G313,Merchants!A:C,3,TRUE)</f>
        <v>Utilities</v>
      </c>
    </row>
    <row r="314" spans="1:17" x14ac:dyDescent="0.3">
      <c r="A314" t="s">
        <v>750</v>
      </c>
      <c r="B314" s="2">
        <v>45893.167071759257</v>
      </c>
      <c r="C314" s="2" t="str">
        <f t="shared" si="8"/>
        <v>Aug-2025</v>
      </c>
      <c r="D314" t="s">
        <v>281</v>
      </c>
      <c r="E314" t="str">
        <f>VLOOKUP(D314,Customers!A:H,7,0)</f>
        <v>Salaried</v>
      </c>
      <c r="F314" t="s">
        <v>472</v>
      </c>
      <c r="G314" t="s">
        <v>322</v>
      </c>
      <c r="H314" t="str">
        <f>IFERROR(VLOOKUP(Transactions!G314,Merchants!A:B,2,FALSE),"Not Found")</f>
        <v>Metro Pay</v>
      </c>
      <c r="I314" s="9">
        <v>19635.32</v>
      </c>
      <c r="J314" s="3">
        <v>196.35</v>
      </c>
      <c r="K314" t="s">
        <v>58</v>
      </c>
      <c r="L314" t="s">
        <v>59</v>
      </c>
      <c r="M314" t="s">
        <v>74</v>
      </c>
      <c r="N314" t="s">
        <v>61</v>
      </c>
      <c r="O314" t="s">
        <v>91</v>
      </c>
      <c r="P314" t="str">
        <f t="shared" si="9"/>
        <v>High Value</v>
      </c>
      <c r="Q314" t="str">
        <f>VLOOKUP(G314,Merchants!A:C,3,TRUE)</f>
        <v>Grocery</v>
      </c>
    </row>
    <row r="315" spans="1:17" x14ac:dyDescent="0.3">
      <c r="A315" t="s">
        <v>751</v>
      </c>
      <c r="B315" s="2">
        <v>46104.219872685193</v>
      </c>
      <c r="C315" s="2" t="str">
        <f t="shared" si="8"/>
        <v>Mar-2026</v>
      </c>
      <c r="D315" t="s">
        <v>213</v>
      </c>
      <c r="E315" t="str">
        <f>VLOOKUP(D315,Customers!A:H,7,0)</f>
        <v>Student</v>
      </c>
      <c r="F315" t="s">
        <v>145</v>
      </c>
      <c r="G315" t="s">
        <v>146</v>
      </c>
      <c r="H315" t="str">
        <f>IFERROR(VLOOKUP(Transactions!G315,Merchants!A:B,2,FALSE),"Not Found")</f>
        <v>Prime Mart</v>
      </c>
      <c r="I315" s="9">
        <v>13048.29</v>
      </c>
      <c r="J315" s="3">
        <v>39.14</v>
      </c>
      <c r="K315" t="s">
        <v>96</v>
      </c>
      <c r="L315" t="s">
        <v>59</v>
      </c>
      <c r="M315" t="s">
        <v>111</v>
      </c>
      <c r="N315" t="s">
        <v>61</v>
      </c>
      <c r="O315" t="s">
        <v>81</v>
      </c>
      <c r="P315" t="str">
        <f t="shared" si="9"/>
        <v>High Value</v>
      </c>
      <c r="Q315" t="str">
        <f>VLOOKUP(G315,Merchants!A:C,3,TRUE)</f>
        <v>Food &amp; Dining</v>
      </c>
    </row>
    <row r="316" spans="1:17" x14ac:dyDescent="0.3">
      <c r="A316" t="s">
        <v>752</v>
      </c>
      <c r="B316" s="2">
        <v>45865.509548611109</v>
      </c>
      <c r="C316" s="2" t="str">
        <f t="shared" si="8"/>
        <v>Jul-2025</v>
      </c>
      <c r="D316" t="s">
        <v>173</v>
      </c>
      <c r="E316" t="str">
        <f>VLOOKUP(D316,Customers!A:H,7,0)</f>
        <v>Self-employed</v>
      </c>
      <c r="F316" t="s">
        <v>753</v>
      </c>
      <c r="G316" t="s">
        <v>124</v>
      </c>
      <c r="H316" t="str">
        <f>IFERROR(VLOOKUP(Transactions!G316,Merchants!A:B,2,FALSE),"Not Found")</f>
        <v>Daily Services</v>
      </c>
      <c r="I316" s="9">
        <v>7719.98</v>
      </c>
      <c r="J316" s="3">
        <v>15.44</v>
      </c>
      <c r="K316" t="s">
        <v>96</v>
      </c>
      <c r="L316" t="s">
        <v>80</v>
      </c>
      <c r="M316" t="s">
        <v>74</v>
      </c>
      <c r="N316" t="s">
        <v>61</v>
      </c>
      <c r="O316" t="s">
        <v>62</v>
      </c>
      <c r="P316" t="str">
        <f t="shared" si="9"/>
        <v>High Value</v>
      </c>
      <c r="Q316" t="str">
        <f>VLOOKUP(G316,Merchants!A:C,3,TRUE)</f>
        <v>Food &amp; Dining</v>
      </c>
    </row>
    <row r="317" spans="1:17" x14ac:dyDescent="0.3">
      <c r="A317" t="s">
        <v>754</v>
      </c>
      <c r="B317" s="2">
        <v>46009.333518518521</v>
      </c>
      <c r="C317" s="2" t="str">
        <f t="shared" si="8"/>
        <v>Dec-2025</v>
      </c>
      <c r="D317" t="s">
        <v>252</v>
      </c>
      <c r="E317" t="str">
        <f>VLOOKUP(D317,Customers!A:H,7,0)</f>
        <v>Business Owner</v>
      </c>
      <c r="F317" t="s">
        <v>377</v>
      </c>
      <c r="G317" t="s">
        <v>164</v>
      </c>
      <c r="H317" t="str">
        <f>IFERROR(VLOOKUP(Transactions!G317,Merchants!A:B,2,FALSE),"Not Found")</f>
        <v>Green Foods</v>
      </c>
      <c r="I317" s="9">
        <v>53195.9</v>
      </c>
      <c r="J317" s="3">
        <v>159.59</v>
      </c>
      <c r="K317" t="s">
        <v>90</v>
      </c>
      <c r="L317" t="s">
        <v>59</v>
      </c>
      <c r="M317" t="s">
        <v>86</v>
      </c>
      <c r="N317" t="s">
        <v>61</v>
      </c>
      <c r="O317" t="s">
        <v>75</v>
      </c>
      <c r="P317" t="str">
        <f t="shared" si="9"/>
        <v>High Value</v>
      </c>
      <c r="Q317" t="str">
        <f>VLOOKUP(G317,Merchants!A:C,3,TRUE)</f>
        <v>Grocery</v>
      </c>
    </row>
    <row r="318" spans="1:17" x14ac:dyDescent="0.3">
      <c r="A318" t="s">
        <v>755</v>
      </c>
      <c r="B318" s="2">
        <v>45879.89744212963</v>
      </c>
      <c r="C318" s="2" t="str">
        <f t="shared" si="8"/>
        <v>Aug-2025</v>
      </c>
      <c r="D318" t="s">
        <v>102</v>
      </c>
      <c r="E318" t="str">
        <f>VLOOKUP(D318,Customers!A:H,7,0)</f>
        <v>Business Owner</v>
      </c>
      <c r="F318" t="s">
        <v>509</v>
      </c>
      <c r="G318" t="s">
        <v>192</v>
      </c>
      <c r="H318" t="str">
        <f>IFERROR(VLOOKUP(Transactions!G318,Merchants!A:B,2,FALSE),"Not Found")</f>
        <v>Blue Foods</v>
      </c>
      <c r="I318" s="9">
        <v>28461.99</v>
      </c>
      <c r="J318" s="3">
        <v>56.92</v>
      </c>
      <c r="K318" t="s">
        <v>90</v>
      </c>
      <c r="L318" t="s">
        <v>59</v>
      </c>
      <c r="M318" t="s">
        <v>60</v>
      </c>
      <c r="N318" t="s">
        <v>61</v>
      </c>
      <c r="O318" t="s">
        <v>62</v>
      </c>
      <c r="P318" t="str">
        <f t="shared" si="9"/>
        <v>High Value</v>
      </c>
      <c r="Q318" t="str">
        <f>VLOOKUP(G318,Merchants!A:C,3,TRUE)</f>
        <v>Travel</v>
      </c>
    </row>
    <row r="319" spans="1:17" x14ac:dyDescent="0.3">
      <c r="A319" t="s">
        <v>756</v>
      </c>
      <c r="B319" s="2">
        <v>46263.225983796299</v>
      </c>
      <c r="C319" s="2" t="str">
        <f t="shared" si="8"/>
        <v>Aug-2026</v>
      </c>
      <c r="D319" t="s">
        <v>639</v>
      </c>
      <c r="E319" t="str">
        <f>VLOOKUP(D319,Customers!A:H,7,0)</f>
        <v>Self-employed</v>
      </c>
      <c r="F319" t="s">
        <v>757</v>
      </c>
      <c r="G319" t="s">
        <v>277</v>
      </c>
      <c r="H319" t="str">
        <f>IFERROR(VLOOKUP(Transactions!G319,Merchants!A:B,2,FALSE),"Not Found")</f>
        <v>Daily Digital</v>
      </c>
      <c r="I319" s="9">
        <v>54833.91</v>
      </c>
      <c r="J319" s="3">
        <v>548.34</v>
      </c>
      <c r="K319" t="s">
        <v>133</v>
      </c>
      <c r="L319" t="s">
        <v>73</v>
      </c>
      <c r="M319" t="s">
        <v>86</v>
      </c>
      <c r="N319" t="s">
        <v>61</v>
      </c>
      <c r="O319" t="s">
        <v>75</v>
      </c>
      <c r="P319" t="str">
        <f t="shared" si="9"/>
        <v>High Value</v>
      </c>
      <c r="Q319" t="str">
        <f>VLOOKUP(G319,Merchants!A:C,3,TRUE)</f>
        <v>Grocery</v>
      </c>
    </row>
    <row r="320" spans="1:17" x14ac:dyDescent="0.3">
      <c r="A320" t="s">
        <v>758</v>
      </c>
      <c r="B320" s="2">
        <v>46148.148657407408</v>
      </c>
      <c r="C320" s="2" t="str">
        <f t="shared" si="8"/>
        <v>May-2026</v>
      </c>
      <c r="D320" t="s">
        <v>759</v>
      </c>
      <c r="E320" t="str">
        <f>VLOOKUP(D320,Customers!A:H,7,0)</f>
        <v>Business Owner</v>
      </c>
      <c r="F320" t="s">
        <v>566</v>
      </c>
      <c r="G320" t="s">
        <v>66</v>
      </c>
      <c r="H320" t="str">
        <f>IFERROR(VLOOKUP(Transactions!G320,Merchants!A:B,2,FALSE),"Not Found")</f>
        <v>Prime Digital</v>
      </c>
      <c r="I320" s="9">
        <v>27201.24</v>
      </c>
      <c r="J320" s="3">
        <v>54.4</v>
      </c>
      <c r="K320" t="s">
        <v>90</v>
      </c>
      <c r="L320" t="s">
        <v>59</v>
      </c>
      <c r="M320" t="s">
        <v>111</v>
      </c>
      <c r="N320" t="s">
        <v>61</v>
      </c>
      <c r="O320" t="s">
        <v>81</v>
      </c>
      <c r="P320" t="str">
        <f t="shared" si="9"/>
        <v>High Value</v>
      </c>
      <c r="Q320" t="str">
        <f>VLOOKUP(G320,Merchants!A:C,3,TRUE)</f>
        <v>Fuel</v>
      </c>
    </row>
    <row r="321" spans="1:17" x14ac:dyDescent="0.3">
      <c r="A321" t="s">
        <v>760</v>
      </c>
      <c r="B321" s="2">
        <v>45902.982488425929</v>
      </c>
      <c r="C321" s="2" t="str">
        <f t="shared" si="8"/>
        <v>Sep-2025</v>
      </c>
      <c r="D321" t="s">
        <v>761</v>
      </c>
      <c r="E321" t="str">
        <f>VLOOKUP(D321,Customers!A:H,7,0)</f>
        <v>Salaried</v>
      </c>
      <c r="F321" t="s">
        <v>459</v>
      </c>
      <c r="G321" t="s">
        <v>554</v>
      </c>
      <c r="H321" t="str">
        <f>IFERROR(VLOOKUP(Transactions!G321,Merchants!A:B,2,FALSE),"Not Found")</f>
        <v>Green Pay</v>
      </c>
      <c r="I321" s="9">
        <v>59937.2</v>
      </c>
      <c r="J321" s="3">
        <v>299.69</v>
      </c>
      <c r="K321" t="s">
        <v>133</v>
      </c>
      <c r="L321" t="s">
        <v>59</v>
      </c>
      <c r="M321" t="s">
        <v>86</v>
      </c>
      <c r="N321" t="s">
        <v>61</v>
      </c>
      <c r="O321" t="s">
        <v>75</v>
      </c>
      <c r="P321" t="str">
        <f t="shared" si="9"/>
        <v>High Value</v>
      </c>
      <c r="Q321" t="str">
        <f>VLOOKUP(G321,Merchants!A:C,3,TRUE)</f>
        <v>Utilities</v>
      </c>
    </row>
    <row r="322" spans="1:17" x14ac:dyDescent="0.3">
      <c r="A322" t="s">
        <v>762</v>
      </c>
      <c r="B322" s="2">
        <v>45799.614942129629</v>
      </c>
      <c r="C322" s="2" t="str">
        <f t="shared" si="8"/>
        <v>May-2025</v>
      </c>
      <c r="D322" t="s">
        <v>333</v>
      </c>
      <c r="E322" t="str">
        <f>VLOOKUP(D322,Customers!A:H,7,0)</f>
        <v>Student</v>
      </c>
      <c r="F322" t="s">
        <v>171</v>
      </c>
      <c r="G322" t="s">
        <v>237</v>
      </c>
      <c r="H322" t="str">
        <f>IFERROR(VLOOKUP(Transactions!G322,Merchants!A:B,2,FALSE),"Not Found")</f>
        <v>Metro Pay</v>
      </c>
      <c r="I322" s="9">
        <v>11178.25</v>
      </c>
      <c r="J322" s="3">
        <v>111.78</v>
      </c>
      <c r="K322" t="s">
        <v>58</v>
      </c>
      <c r="L322" t="s">
        <v>73</v>
      </c>
      <c r="M322" t="s">
        <v>74</v>
      </c>
      <c r="N322" t="s">
        <v>61</v>
      </c>
      <c r="O322" t="s">
        <v>91</v>
      </c>
      <c r="P322" t="str">
        <f t="shared" si="9"/>
        <v>High Value</v>
      </c>
      <c r="Q322" t="str">
        <f>VLOOKUP(G322,Merchants!A:C,3,TRUE)</f>
        <v>Healthcare</v>
      </c>
    </row>
    <row r="323" spans="1:17" x14ac:dyDescent="0.3">
      <c r="A323" t="s">
        <v>763</v>
      </c>
      <c r="B323" s="2">
        <v>45961.646099537043</v>
      </c>
      <c r="C323" s="2" t="str">
        <f t="shared" ref="C323:C386" si="10">TEXT(B323,"mmm-yyyy")</f>
        <v>Oct-2025</v>
      </c>
      <c r="D323" t="s">
        <v>684</v>
      </c>
      <c r="E323" t="str">
        <f>VLOOKUP(D323,Customers!A:H,7,0)</f>
        <v>Student</v>
      </c>
      <c r="F323" t="s">
        <v>764</v>
      </c>
      <c r="G323" t="s">
        <v>208</v>
      </c>
      <c r="H323" t="str">
        <f>IFERROR(VLOOKUP(Transactions!G323,Merchants!A:B,2,FALSE),"Not Found")</f>
        <v>Blue Retail</v>
      </c>
      <c r="I323" s="9">
        <v>45197.99</v>
      </c>
      <c r="J323" s="3">
        <v>135.59</v>
      </c>
      <c r="K323" t="s">
        <v>72</v>
      </c>
      <c r="L323" t="s">
        <v>80</v>
      </c>
      <c r="M323" t="s">
        <v>86</v>
      </c>
      <c r="N323" t="s">
        <v>61</v>
      </c>
      <c r="O323" t="s">
        <v>91</v>
      </c>
      <c r="P323" t="str">
        <f t="shared" ref="P323:P386" si="11">IF(I323&gt;=2500,"High Value","Standard")</f>
        <v>High Value</v>
      </c>
      <c r="Q323" t="str">
        <f>VLOOKUP(G323,Merchants!A:C,3,TRUE)</f>
        <v>Healthcare</v>
      </c>
    </row>
    <row r="324" spans="1:17" x14ac:dyDescent="0.3">
      <c r="A324" t="s">
        <v>765</v>
      </c>
      <c r="B324" s="2">
        <v>45771.580949074072</v>
      </c>
      <c r="C324" s="2" t="str">
        <f t="shared" si="10"/>
        <v>Apr-2025</v>
      </c>
      <c r="D324" t="s">
        <v>126</v>
      </c>
      <c r="E324" t="str">
        <f>VLOOKUP(D324,Customers!A:H,7,0)</f>
        <v>Student</v>
      </c>
      <c r="F324" t="s">
        <v>766</v>
      </c>
      <c r="G324" t="s">
        <v>156</v>
      </c>
      <c r="H324" t="str">
        <f>IFERROR(VLOOKUP(Transactions!G324,Merchants!A:B,2,FALSE),"Not Found")</f>
        <v>Blue Digital</v>
      </c>
      <c r="I324" s="9">
        <v>21998.89</v>
      </c>
      <c r="J324" s="3">
        <v>109.99</v>
      </c>
      <c r="K324" t="s">
        <v>133</v>
      </c>
      <c r="L324" t="s">
        <v>59</v>
      </c>
      <c r="M324" t="s">
        <v>86</v>
      </c>
      <c r="N324" t="s">
        <v>67</v>
      </c>
      <c r="O324" t="s">
        <v>62</v>
      </c>
      <c r="P324" t="str">
        <f t="shared" si="11"/>
        <v>High Value</v>
      </c>
      <c r="Q324" t="str">
        <f>VLOOKUP(G324,Merchants!A:C,3,TRUE)</f>
        <v>Electronics</v>
      </c>
    </row>
    <row r="325" spans="1:17" x14ac:dyDescent="0.3">
      <c r="A325" t="s">
        <v>767</v>
      </c>
      <c r="B325" s="2">
        <v>46000.362013888887</v>
      </c>
      <c r="C325" s="2" t="str">
        <f t="shared" si="10"/>
        <v>Dec-2025</v>
      </c>
      <c r="D325" t="s">
        <v>407</v>
      </c>
      <c r="E325" t="str">
        <f>VLOOKUP(D325,Customers!A:H,7,0)</f>
        <v>Salaried</v>
      </c>
      <c r="F325" t="s">
        <v>768</v>
      </c>
      <c r="G325" t="s">
        <v>421</v>
      </c>
      <c r="H325" t="str">
        <f>IFERROR(VLOOKUP(Transactions!G325,Merchants!A:B,2,FALSE),"Not Found")</f>
        <v>Smart Pay</v>
      </c>
      <c r="I325" s="9">
        <v>32424.07</v>
      </c>
      <c r="J325" s="3">
        <v>97.27</v>
      </c>
      <c r="K325" t="s">
        <v>72</v>
      </c>
      <c r="L325" t="s">
        <v>80</v>
      </c>
      <c r="M325" t="s">
        <v>74</v>
      </c>
      <c r="N325" t="s">
        <v>61</v>
      </c>
      <c r="O325" t="s">
        <v>91</v>
      </c>
      <c r="P325" t="str">
        <f t="shared" si="11"/>
        <v>High Value</v>
      </c>
      <c r="Q325" t="str">
        <f>VLOOKUP(G325,Merchants!A:C,3,TRUE)</f>
        <v>Entertainment</v>
      </c>
    </row>
    <row r="326" spans="1:17" x14ac:dyDescent="0.3">
      <c r="A326" t="s">
        <v>769</v>
      </c>
      <c r="B326" s="2">
        <v>45722.565567129634</v>
      </c>
      <c r="C326" s="2" t="str">
        <f t="shared" si="10"/>
        <v>Mar-2025</v>
      </c>
      <c r="D326" t="s">
        <v>324</v>
      </c>
      <c r="E326" t="str">
        <f>VLOOKUP(D326,Customers!A:H,7,0)</f>
        <v>Business Owner</v>
      </c>
      <c r="F326" t="s">
        <v>412</v>
      </c>
      <c r="G326" t="s">
        <v>347</v>
      </c>
      <c r="H326" t="str">
        <f>IFERROR(VLOOKUP(Transactions!G326,Merchants!A:B,2,FALSE),"Not Found")</f>
        <v>Nova Hub</v>
      </c>
      <c r="I326" s="9">
        <v>20779.07</v>
      </c>
      <c r="J326" s="3">
        <v>41.56</v>
      </c>
      <c r="K326" t="s">
        <v>133</v>
      </c>
      <c r="L326" t="s">
        <v>59</v>
      </c>
      <c r="M326" t="s">
        <v>60</v>
      </c>
      <c r="N326" t="s">
        <v>61</v>
      </c>
      <c r="O326" t="s">
        <v>81</v>
      </c>
      <c r="P326" t="str">
        <f t="shared" si="11"/>
        <v>High Value</v>
      </c>
      <c r="Q326" t="str">
        <f>VLOOKUP(G326,Merchants!A:C,3,TRUE)</f>
        <v>Fuel</v>
      </c>
    </row>
    <row r="327" spans="1:17" x14ac:dyDescent="0.3">
      <c r="A327" t="s">
        <v>770</v>
      </c>
      <c r="B327" s="2">
        <v>45725.285729166673</v>
      </c>
      <c r="C327" s="2" t="str">
        <f t="shared" si="10"/>
        <v>Mar-2025</v>
      </c>
      <c r="D327" t="s">
        <v>771</v>
      </c>
      <c r="E327" t="str">
        <f>VLOOKUP(D327,Customers!A:H,7,0)</f>
        <v>Salaried</v>
      </c>
      <c r="F327" t="s">
        <v>513</v>
      </c>
      <c r="G327" t="s">
        <v>215</v>
      </c>
      <c r="H327" t="str">
        <f>IFERROR(VLOOKUP(Transactions!G327,Merchants!A:B,2,FALSE),"Not Found")</f>
        <v>Daily Hub</v>
      </c>
      <c r="I327" s="9">
        <v>53525</v>
      </c>
      <c r="J327" s="3">
        <v>107.05</v>
      </c>
      <c r="K327" t="s">
        <v>72</v>
      </c>
      <c r="L327" t="s">
        <v>59</v>
      </c>
      <c r="M327" t="s">
        <v>86</v>
      </c>
      <c r="N327" t="s">
        <v>67</v>
      </c>
      <c r="O327" t="s">
        <v>62</v>
      </c>
      <c r="P327" t="str">
        <f t="shared" si="11"/>
        <v>High Value</v>
      </c>
      <c r="Q327" t="str">
        <f>VLOOKUP(G327,Merchants!A:C,3,TRUE)</f>
        <v>Fashion</v>
      </c>
    </row>
    <row r="328" spans="1:17" x14ac:dyDescent="0.3">
      <c r="A328" t="s">
        <v>772</v>
      </c>
      <c r="B328" s="2">
        <v>45940.169942129629</v>
      </c>
      <c r="C328" s="2" t="str">
        <f t="shared" si="10"/>
        <v>Oct-2025</v>
      </c>
      <c r="D328" t="s">
        <v>284</v>
      </c>
      <c r="E328" t="str">
        <f>VLOOKUP(D328,Customers!A:H,7,0)</f>
        <v>Student</v>
      </c>
      <c r="F328" t="s">
        <v>279</v>
      </c>
      <c r="G328" t="s">
        <v>237</v>
      </c>
      <c r="H328" t="str">
        <f>IFERROR(VLOOKUP(Transactions!G328,Merchants!A:B,2,FALSE),"Not Found")</f>
        <v>Metro Pay</v>
      </c>
      <c r="I328" s="9">
        <v>41855.22</v>
      </c>
      <c r="J328" s="3">
        <v>125.57</v>
      </c>
      <c r="K328" t="s">
        <v>58</v>
      </c>
      <c r="L328" t="s">
        <v>59</v>
      </c>
      <c r="M328" t="s">
        <v>60</v>
      </c>
      <c r="N328" t="s">
        <v>61</v>
      </c>
      <c r="O328" t="s">
        <v>62</v>
      </c>
      <c r="P328" t="str">
        <f t="shared" si="11"/>
        <v>High Value</v>
      </c>
      <c r="Q328" t="str">
        <f>VLOOKUP(G328,Merchants!A:C,3,TRUE)</f>
        <v>Healthcare</v>
      </c>
    </row>
    <row r="329" spans="1:17" x14ac:dyDescent="0.3">
      <c r="A329" t="s">
        <v>773</v>
      </c>
      <c r="B329" s="2">
        <v>46143.525949074072</v>
      </c>
      <c r="C329" s="2" t="str">
        <f t="shared" si="10"/>
        <v>May-2026</v>
      </c>
      <c r="D329" t="s">
        <v>599</v>
      </c>
      <c r="E329" t="str">
        <f>VLOOKUP(D329,Customers!A:H,7,0)</f>
        <v>Student</v>
      </c>
      <c r="F329" t="s">
        <v>774</v>
      </c>
      <c r="G329" t="s">
        <v>430</v>
      </c>
      <c r="H329" t="str">
        <f>IFERROR(VLOOKUP(Transactions!G329,Merchants!A:B,2,FALSE),"Not Found")</f>
        <v>Prime Foods</v>
      </c>
      <c r="I329" s="9">
        <v>25265.79</v>
      </c>
      <c r="J329" s="3">
        <v>50.53</v>
      </c>
      <c r="K329" t="s">
        <v>58</v>
      </c>
      <c r="L329" t="s">
        <v>80</v>
      </c>
      <c r="M329" t="s">
        <v>111</v>
      </c>
      <c r="N329" t="s">
        <v>61</v>
      </c>
      <c r="O329" t="s">
        <v>75</v>
      </c>
      <c r="P329" t="str">
        <f t="shared" si="11"/>
        <v>High Value</v>
      </c>
      <c r="Q329" t="str">
        <f>VLOOKUP(G329,Merchants!A:C,3,TRUE)</f>
        <v>Entertainment</v>
      </c>
    </row>
    <row r="330" spans="1:17" x14ac:dyDescent="0.3">
      <c r="A330" t="s">
        <v>775</v>
      </c>
      <c r="B330" s="2">
        <v>46250.52002314815</v>
      </c>
      <c r="C330" s="2" t="str">
        <f t="shared" si="10"/>
        <v>Aug-2026</v>
      </c>
      <c r="D330" t="s">
        <v>776</v>
      </c>
      <c r="E330" t="str">
        <f>VLOOKUP(D330,Customers!A:H,7,0)</f>
        <v>Student</v>
      </c>
      <c r="F330" t="s">
        <v>777</v>
      </c>
      <c r="G330" t="s">
        <v>107</v>
      </c>
      <c r="H330" t="str">
        <f>IFERROR(VLOOKUP(Transactions!G330,Merchants!A:B,2,FALSE),"Not Found")</f>
        <v>Blue Services</v>
      </c>
      <c r="I330" s="9">
        <v>39380.050000000003</v>
      </c>
      <c r="J330" s="3">
        <v>393.8</v>
      </c>
      <c r="K330" t="s">
        <v>133</v>
      </c>
      <c r="L330" t="s">
        <v>73</v>
      </c>
      <c r="M330" t="s">
        <v>74</v>
      </c>
      <c r="N330" t="s">
        <v>61</v>
      </c>
      <c r="O330" t="s">
        <v>81</v>
      </c>
      <c r="P330" t="str">
        <f t="shared" si="11"/>
        <v>High Value</v>
      </c>
      <c r="Q330" t="str">
        <f>VLOOKUP(G330,Merchants!A:C,3,TRUE)</f>
        <v>Travel</v>
      </c>
    </row>
    <row r="331" spans="1:17" x14ac:dyDescent="0.3">
      <c r="A331" t="s">
        <v>778</v>
      </c>
      <c r="B331" s="2">
        <v>46238.200173611112</v>
      </c>
      <c r="C331" s="2" t="str">
        <f t="shared" si="10"/>
        <v>Aug-2026</v>
      </c>
      <c r="D331" t="s">
        <v>152</v>
      </c>
      <c r="E331" t="str">
        <f>VLOOKUP(D331,Customers!A:H,7,0)</f>
        <v>Salaried</v>
      </c>
      <c r="F331" t="s">
        <v>505</v>
      </c>
      <c r="G331" t="s">
        <v>100</v>
      </c>
      <c r="H331" t="str">
        <f>IFERROR(VLOOKUP(Transactions!G331,Merchants!A:B,2,FALSE),"Not Found")</f>
        <v>Metro Stores</v>
      </c>
      <c r="I331" s="9">
        <v>53907.09</v>
      </c>
      <c r="J331" s="3">
        <v>269.54000000000002</v>
      </c>
      <c r="K331" t="s">
        <v>72</v>
      </c>
      <c r="L331" t="s">
        <v>59</v>
      </c>
      <c r="M331" t="s">
        <v>86</v>
      </c>
      <c r="N331" t="s">
        <v>67</v>
      </c>
      <c r="O331" t="s">
        <v>81</v>
      </c>
      <c r="P331" t="str">
        <f t="shared" si="11"/>
        <v>High Value</v>
      </c>
      <c r="Q331" t="str">
        <f>VLOOKUP(G331,Merchants!A:C,3,TRUE)</f>
        <v>Healthcare</v>
      </c>
    </row>
    <row r="332" spans="1:17" x14ac:dyDescent="0.3">
      <c r="A332" t="s">
        <v>779</v>
      </c>
      <c r="B332" s="2">
        <v>45949.691655092603</v>
      </c>
      <c r="C332" s="2" t="str">
        <f t="shared" si="10"/>
        <v>Oct-2025</v>
      </c>
      <c r="D332" t="s">
        <v>275</v>
      </c>
      <c r="E332" t="str">
        <f>VLOOKUP(D332,Customers!A:H,7,0)</f>
        <v>Student</v>
      </c>
      <c r="F332" t="s">
        <v>711</v>
      </c>
      <c r="G332" t="s">
        <v>215</v>
      </c>
      <c r="H332" t="str">
        <f>IFERROR(VLOOKUP(Transactions!G332,Merchants!A:B,2,FALSE),"Not Found")</f>
        <v>Daily Hub</v>
      </c>
      <c r="I332" s="9">
        <v>57377.21</v>
      </c>
      <c r="J332" s="3">
        <v>172.13</v>
      </c>
      <c r="K332" t="s">
        <v>90</v>
      </c>
      <c r="L332" t="s">
        <v>59</v>
      </c>
      <c r="M332" t="s">
        <v>111</v>
      </c>
      <c r="N332" t="s">
        <v>67</v>
      </c>
      <c r="O332" t="s">
        <v>62</v>
      </c>
      <c r="P332" t="str">
        <f t="shared" si="11"/>
        <v>High Value</v>
      </c>
      <c r="Q332" t="str">
        <f>VLOOKUP(G332,Merchants!A:C,3,TRUE)</f>
        <v>Fashion</v>
      </c>
    </row>
    <row r="333" spans="1:17" x14ac:dyDescent="0.3">
      <c r="A333" t="s">
        <v>780</v>
      </c>
      <c r="B333" s="2">
        <v>45777.062418981477</v>
      </c>
      <c r="C333" s="2" t="str">
        <f t="shared" si="10"/>
        <v>Apr-2025</v>
      </c>
      <c r="D333" t="s">
        <v>781</v>
      </c>
      <c r="E333" t="str">
        <f>VLOOKUP(D333,Customers!A:H,7,0)</f>
        <v>Self-employed</v>
      </c>
      <c r="F333" t="s">
        <v>167</v>
      </c>
      <c r="G333" t="s">
        <v>215</v>
      </c>
      <c r="H333" t="str">
        <f>IFERROR(VLOOKUP(Transactions!G333,Merchants!A:B,2,FALSE),"Not Found")</f>
        <v>Daily Hub</v>
      </c>
      <c r="I333" s="9">
        <v>59627</v>
      </c>
      <c r="J333" s="3">
        <v>596.27</v>
      </c>
      <c r="K333" t="s">
        <v>90</v>
      </c>
      <c r="L333" t="s">
        <v>59</v>
      </c>
      <c r="M333" t="s">
        <v>86</v>
      </c>
      <c r="N333" t="s">
        <v>61</v>
      </c>
      <c r="O333" t="s">
        <v>81</v>
      </c>
      <c r="P333" t="str">
        <f t="shared" si="11"/>
        <v>High Value</v>
      </c>
      <c r="Q333" t="str">
        <f>VLOOKUP(G333,Merchants!A:C,3,TRUE)</f>
        <v>Fashion</v>
      </c>
    </row>
    <row r="334" spans="1:17" x14ac:dyDescent="0.3">
      <c r="A334" t="s">
        <v>782</v>
      </c>
      <c r="B334" s="2">
        <v>45809.565717592603</v>
      </c>
      <c r="C334" s="2" t="str">
        <f t="shared" si="10"/>
        <v>Jun-2025</v>
      </c>
      <c r="D334" t="s">
        <v>93</v>
      </c>
      <c r="E334" t="str">
        <f>VLOOKUP(D334,Customers!A:H,7,0)</f>
        <v>Student</v>
      </c>
      <c r="F334" t="s">
        <v>372</v>
      </c>
      <c r="G334" t="s">
        <v>783</v>
      </c>
      <c r="H334" t="str">
        <f>IFERROR(VLOOKUP(Transactions!G334,Merchants!A:B,2,FALSE),"Not Found")</f>
        <v>Daily Stores</v>
      </c>
      <c r="I334" s="9">
        <v>26960.9</v>
      </c>
      <c r="J334" s="3">
        <v>134.80000000000001</v>
      </c>
      <c r="K334" t="s">
        <v>96</v>
      </c>
      <c r="L334" t="s">
        <v>157</v>
      </c>
      <c r="M334" t="s">
        <v>74</v>
      </c>
      <c r="N334" t="s">
        <v>67</v>
      </c>
      <c r="O334" t="s">
        <v>75</v>
      </c>
      <c r="P334" t="str">
        <f t="shared" si="11"/>
        <v>High Value</v>
      </c>
      <c r="Q334" t="str">
        <f>VLOOKUP(G334,Merchants!A:C,3,TRUE)</f>
        <v>Entertainment</v>
      </c>
    </row>
    <row r="335" spans="1:17" x14ac:dyDescent="0.3">
      <c r="A335" t="s">
        <v>784</v>
      </c>
      <c r="B335" s="2">
        <v>45985.23673611111</v>
      </c>
      <c r="C335" s="2" t="str">
        <f t="shared" si="10"/>
        <v>Nov-2025</v>
      </c>
      <c r="D335" t="s">
        <v>428</v>
      </c>
      <c r="E335" t="str">
        <f>VLOOKUP(D335,Customers!A:H,7,0)</f>
        <v>Business Owner</v>
      </c>
      <c r="F335" t="s">
        <v>459</v>
      </c>
      <c r="G335" t="s">
        <v>132</v>
      </c>
      <c r="H335" t="str">
        <f>IFERROR(VLOOKUP(Transactions!G335,Merchants!A:B,2,FALSE),"Not Found")</f>
        <v>Metro Retail</v>
      </c>
      <c r="I335" s="9">
        <v>357.23</v>
      </c>
      <c r="J335" s="3">
        <v>1.79</v>
      </c>
      <c r="K335" t="s">
        <v>96</v>
      </c>
      <c r="L335" t="s">
        <v>80</v>
      </c>
      <c r="M335" t="s">
        <v>60</v>
      </c>
      <c r="N335" t="s">
        <v>67</v>
      </c>
      <c r="O335" t="s">
        <v>75</v>
      </c>
      <c r="P335" t="str">
        <f t="shared" si="11"/>
        <v>Standard</v>
      </c>
      <c r="Q335" t="str">
        <f>VLOOKUP(G335,Merchants!A:C,3,TRUE)</f>
        <v>Entertainment</v>
      </c>
    </row>
    <row r="336" spans="1:17" x14ac:dyDescent="0.3">
      <c r="A336" t="s">
        <v>785</v>
      </c>
      <c r="B336" s="2">
        <v>46004.170381944437</v>
      </c>
      <c r="C336" s="2" t="str">
        <f t="shared" si="10"/>
        <v>Dec-2025</v>
      </c>
      <c r="D336" t="s">
        <v>477</v>
      </c>
      <c r="E336" t="str">
        <f>VLOOKUP(D336,Customers!A:H,7,0)</f>
        <v>Student</v>
      </c>
      <c r="F336" t="s">
        <v>155</v>
      </c>
      <c r="G336" t="s">
        <v>124</v>
      </c>
      <c r="H336" t="str">
        <f>IFERROR(VLOOKUP(Transactions!G336,Merchants!A:B,2,FALSE),"Not Found")</f>
        <v>Daily Services</v>
      </c>
      <c r="I336" s="9">
        <v>43925.27</v>
      </c>
      <c r="J336" s="3">
        <v>131.78</v>
      </c>
      <c r="K336" t="s">
        <v>72</v>
      </c>
      <c r="L336" t="s">
        <v>157</v>
      </c>
      <c r="M336" t="s">
        <v>86</v>
      </c>
      <c r="N336" t="s">
        <v>61</v>
      </c>
      <c r="O336" t="s">
        <v>62</v>
      </c>
      <c r="P336" t="str">
        <f t="shared" si="11"/>
        <v>High Value</v>
      </c>
      <c r="Q336" t="str">
        <f>VLOOKUP(G336,Merchants!A:C,3,TRUE)</f>
        <v>Food &amp; Dining</v>
      </c>
    </row>
    <row r="337" spans="1:17" x14ac:dyDescent="0.3">
      <c r="A337" t="s">
        <v>786</v>
      </c>
      <c r="B337" s="2">
        <v>46114.542175925933</v>
      </c>
      <c r="C337" s="2" t="str">
        <f t="shared" si="10"/>
        <v>Apr-2026</v>
      </c>
      <c r="D337" t="s">
        <v>217</v>
      </c>
      <c r="E337" t="str">
        <f>VLOOKUP(D337,Customers!A:H,7,0)</f>
        <v>Self-employed</v>
      </c>
      <c r="F337" t="s">
        <v>787</v>
      </c>
      <c r="G337" t="s">
        <v>322</v>
      </c>
      <c r="H337" t="str">
        <f>IFERROR(VLOOKUP(Transactions!G337,Merchants!A:B,2,FALSE),"Not Found")</f>
        <v>Metro Pay</v>
      </c>
      <c r="I337" s="9">
        <v>5639.62</v>
      </c>
      <c r="J337" s="3">
        <v>16.920000000000002</v>
      </c>
      <c r="K337" t="s">
        <v>72</v>
      </c>
      <c r="L337" t="s">
        <v>59</v>
      </c>
      <c r="M337" t="s">
        <v>111</v>
      </c>
      <c r="N337" t="s">
        <v>67</v>
      </c>
      <c r="O337" t="s">
        <v>91</v>
      </c>
      <c r="P337" t="str">
        <f t="shared" si="11"/>
        <v>High Value</v>
      </c>
      <c r="Q337" t="str">
        <f>VLOOKUP(G337,Merchants!A:C,3,TRUE)</f>
        <v>Grocery</v>
      </c>
    </row>
    <row r="338" spans="1:17" x14ac:dyDescent="0.3">
      <c r="A338" t="s">
        <v>788</v>
      </c>
      <c r="B338" s="2">
        <v>46209.675775462973</v>
      </c>
      <c r="C338" s="2" t="str">
        <f t="shared" si="10"/>
        <v>Jul-2026</v>
      </c>
      <c r="D338" t="s">
        <v>445</v>
      </c>
      <c r="E338" t="str">
        <f>VLOOKUP(D338,Customers!A:H,7,0)</f>
        <v>Self-employed</v>
      </c>
      <c r="F338" t="s">
        <v>579</v>
      </c>
      <c r="G338" t="s">
        <v>182</v>
      </c>
      <c r="H338" t="str">
        <f>IFERROR(VLOOKUP(Transactions!G338,Merchants!A:B,2,FALSE),"Not Found")</f>
        <v>Fresh Hub</v>
      </c>
      <c r="I338" s="9">
        <v>40656.1</v>
      </c>
      <c r="J338" s="3">
        <v>406.56</v>
      </c>
      <c r="K338" t="s">
        <v>133</v>
      </c>
      <c r="L338" t="s">
        <v>157</v>
      </c>
      <c r="M338" t="s">
        <v>86</v>
      </c>
      <c r="N338" t="s">
        <v>61</v>
      </c>
      <c r="O338" t="s">
        <v>75</v>
      </c>
      <c r="P338" t="str">
        <f t="shared" si="11"/>
        <v>High Value</v>
      </c>
      <c r="Q338" t="str">
        <f>VLOOKUP(G338,Merchants!A:C,3,TRUE)</f>
        <v>Healthcare</v>
      </c>
    </row>
    <row r="339" spans="1:17" x14ac:dyDescent="0.3">
      <c r="A339" t="s">
        <v>789</v>
      </c>
      <c r="B339" s="2">
        <v>45809.648738425924</v>
      </c>
      <c r="C339" s="2" t="str">
        <f t="shared" si="10"/>
        <v>Jun-2025</v>
      </c>
      <c r="D339" t="s">
        <v>501</v>
      </c>
      <c r="E339" t="str">
        <f>VLOOKUP(D339,Customers!A:H,7,0)</f>
        <v>Salaried</v>
      </c>
      <c r="F339" t="s">
        <v>114</v>
      </c>
      <c r="G339" t="s">
        <v>263</v>
      </c>
      <c r="H339" t="str">
        <f>IFERROR(VLOOKUP(Transactions!G339,Merchants!A:B,2,FALSE),"Not Found")</f>
        <v>Urban Retail</v>
      </c>
      <c r="I339" s="9">
        <v>22240.84</v>
      </c>
      <c r="J339" s="3">
        <v>111.2</v>
      </c>
      <c r="K339" t="s">
        <v>96</v>
      </c>
      <c r="L339" t="s">
        <v>59</v>
      </c>
      <c r="M339" t="s">
        <v>86</v>
      </c>
      <c r="N339" t="s">
        <v>67</v>
      </c>
      <c r="O339" t="s">
        <v>75</v>
      </c>
      <c r="P339" t="str">
        <f t="shared" si="11"/>
        <v>High Value</v>
      </c>
      <c r="Q339" t="str">
        <f>VLOOKUP(G339,Merchants!A:C,3,TRUE)</f>
        <v>Grocery</v>
      </c>
    </row>
    <row r="340" spans="1:17" x14ac:dyDescent="0.3">
      <c r="A340" t="s">
        <v>790</v>
      </c>
      <c r="B340" s="2">
        <v>46083.671284722222</v>
      </c>
      <c r="C340" s="2" t="str">
        <f t="shared" si="10"/>
        <v>Mar-2026</v>
      </c>
      <c r="D340" t="s">
        <v>368</v>
      </c>
      <c r="E340" t="str">
        <f>VLOOKUP(D340,Customers!A:H,7,0)</f>
        <v>Student</v>
      </c>
      <c r="F340" t="s">
        <v>456</v>
      </c>
      <c r="G340" t="s">
        <v>168</v>
      </c>
      <c r="H340" t="str">
        <f>IFERROR(VLOOKUP(Transactions!G340,Merchants!A:B,2,FALSE),"Not Found")</f>
        <v>Quick Hub</v>
      </c>
      <c r="I340" s="9">
        <v>17389.18</v>
      </c>
      <c r="J340" s="3">
        <v>173.89</v>
      </c>
      <c r="K340" t="s">
        <v>133</v>
      </c>
      <c r="L340" t="s">
        <v>73</v>
      </c>
      <c r="M340" t="s">
        <v>86</v>
      </c>
      <c r="N340" t="s">
        <v>67</v>
      </c>
      <c r="O340" t="s">
        <v>62</v>
      </c>
      <c r="P340" t="str">
        <f t="shared" si="11"/>
        <v>High Value</v>
      </c>
      <c r="Q340" t="str">
        <f>VLOOKUP(G340,Merchants!A:C,3,TRUE)</f>
        <v>Utilities</v>
      </c>
    </row>
    <row r="341" spans="1:17" x14ac:dyDescent="0.3">
      <c r="A341" t="s">
        <v>791</v>
      </c>
      <c r="B341" s="2">
        <v>45968.72</v>
      </c>
      <c r="C341" s="2" t="str">
        <f t="shared" si="10"/>
        <v>Nov-2025</v>
      </c>
      <c r="D341" t="s">
        <v>741</v>
      </c>
      <c r="E341" t="str">
        <f>VLOOKUP(D341,Customers!A:H,7,0)</f>
        <v>Salaried</v>
      </c>
      <c r="F341" t="s">
        <v>623</v>
      </c>
      <c r="G341" t="s">
        <v>168</v>
      </c>
      <c r="H341" t="str">
        <f>IFERROR(VLOOKUP(Transactions!G341,Merchants!A:B,2,FALSE),"Not Found")</f>
        <v>Quick Hub</v>
      </c>
      <c r="I341" s="9">
        <v>59304.11</v>
      </c>
      <c r="J341" s="3">
        <v>296.52</v>
      </c>
      <c r="K341" t="s">
        <v>96</v>
      </c>
      <c r="L341" t="s">
        <v>59</v>
      </c>
      <c r="M341" t="s">
        <v>86</v>
      </c>
      <c r="N341" t="s">
        <v>67</v>
      </c>
      <c r="O341" t="s">
        <v>75</v>
      </c>
      <c r="P341" t="str">
        <f t="shared" si="11"/>
        <v>High Value</v>
      </c>
      <c r="Q341" t="str">
        <f>VLOOKUP(G341,Merchants!A:C,3,TRUE)</f>
        <v>Utilities</v>
      </c>
    </row>
    <row r="342" spans="1:17" x14ac:dyDescent="0.3">
      <c r="A342" t="s">
        <v>792</v>
      </c>
      <c r="B342" s="2">
        <v>45937.628831018519</v>
      </c>
      <c r="C342" s="2" t="str">
        <f t="shared" si="10"/>
        <v>Oct-2025</v>
      </c>
      <c r="D342" t="s">
        <v>281</v>
      </c>
      <c r="E342" t="str">
        <f>VLOOKUP(D342,Customers!A:H,7,0)</f>
        <v>Salaried</v>
      </c>
      <c r="F342" t="s">
        <v>793</v>
      </c>
      <c r="G342" t="s">
        <v>366</v>
      </c>
      <c r="H342" t="str">
        <f>IFERROR(VLOOKUP(Transactions!G342,Merchants!A:B,2,FALSE),"Not Found")</f>
        <v>Smart Pay</v>
      </c>
      <c r="I342" s="9">
        <v>10576.09</v>
      </c>
      <c r="J342" s="3">
        <v>31.73</v>
      </c>
      <c r="K342" t="s">
        <v>72</v>
      </c>
      <c r="L342" t="s">
        <v>59</v>
      </c>
      <c r="M342" t="s">
        <v>74</v>
      </c>
      <c r="N342" t="s">
        <v>67</v>
      </c>
      <c r="O342" t="s">
        <v>81</v>
      </c>
      <c r="P342" t="str">
        <f t="shared" si="11"/>
        <v>High Value</v>
      </c>
      <c r="Q342" t="str">
        <f>VLOOKUP(G342,Merchants!A:C,3,TRUE)</f>
        <v>Fashion</v>
      </c>
    </row>
    <row r="343" spans="1:17" x14ac:dyDescent="0.3">
      <c r="A343" t="s">
        <v>794</v>
      </c>
      <c r="B343" s="2">
        <v>46257.461041666669</v>
      </c>
      <c r="C343" s="2" t="str">
        <f t="shared" si="10"/>
        <v>Aug-2026</v>
      </c>
      <c r="D343" t="s">
        <v>317</v>
      </c>
      <c r="E343" t="str">
        <f>VLOOKUP(D343,Customers!A:H,7,0)</f>
        <v>Salaried</v>
      </c>
      <c r="F343" t="s">
        <v>236</v>
      </c>
      <c r="G343" t="s">
        <v>229</v>
      </c>
      <c r="H343" t="str">
        <f>IFERROR(VLOOKUP(Transactions!G343,Merchants!A:B,2,FALSE),"Not Found")</f>
        <v>Urban Services</v>
      </c>
      <c r="I343" s="9">
        <v>29696.62</v>
      </c>
      <c r="J343" s="3">
        <v>89.09</v>
      </c>
      <c r="K343" t="s">
        <v>90</v>
      </c>
      <c r="L343" t="s">
        <v>80</v>
      </c>
      <c r="M343" t="s">
        <v>60</v>
      </c>
      <c r="N343" t="s">
        <v>61</v>
      </c>
      <c r="O343" t="s">
        <v>75</v>
      </c>
      <c r="P343" t="str">
        <f t="shared" si="11"/>
        <v>High Value</v>
      </c>
      <c r="Q343" t="str">
        <f>VLOOKUP(G343,Merchants!A:C,3,TRUE)</f>
        <v>Fashion</v>
      </c>
    </row>
    <row r="344" spans="1:17" x14ac:dyDescent="0.3">
      <c r="A344" t="s">
        <v>795</v>
      </c>
      <c r="B344" s="2">
        <v>45785.991851851853</v>
      </c>
      <c r="C344" s="2" t="str">
        <f t="shared" si="10"/>
        <v>May-2025</v>
      </c>
      <c r="D344" t="s">
        <v>69</v>
      </c>
      <c r="E344" t="str">
        <f>VLOOKUP(D344,Customers!A:H,7,0)</f>
        <v>Self-employed</v>
      </c>
      <c r="F344" t="s">
        <v>734</v>
      </c>
      <c r="G344" t="s">
        <v>107</v>
      </c>
      <c r="H344" t="str">
        <f>IFERROR(VLOOKUP(Transactions!G344,Merchants!A:B,2,FALSE),"Not Found")</f>
        <v>Blue Services</v>
      </c>
      <c r="I344" s="9">
        <v>39988.22</v>
      </c>
      <c r="J344" s="3">
        <v>119.96</v>
      </c>
      <c r="K344" t="s">
        <v>90</v>
      </c>
      <c r="L344" t="s">
        <v>59</v>
      </c>
      <c r="M344" t="s">
        <v>86</v>
      </c>
      <c r="N344" t="s">
        <v>67</v>
      </c>
      <c r="O344" t="s">
        <v>81</v>
      </c>
      <c r="P344" t="str">
        <f t="shared" si="11"/>
        <v>High Value</v>
      </c>
      <c r="Q344" t="str">
        <f>VLOOKUP(G344,Merchants!A:C,3,TRUE)</f>
        <v>Travel</v>
      </c>
    </row>
    <row r="345" spans="1:17" x14ac:dyDescent="0.3">
      <c r="A345" t="s">
        <v>796</v>
      </c>
      <c r="B345" s="2">
        <v>46162.101215277777</v>
      </c>
      <c r="C345" s="2" t="str">
        <f t="shared" si="10"/>
        <v>May-2026</v>
      </c>
      <c r="D345" t="s">
        <v>223</v>
      </c>
      <c r="E345" t="str">
        <f>VLOOKUP(D345,Customers!A:H,7,0)</f>
        <v>Business Owner</v>
      </c>
      <c r="F345" t="s">
        <v>797</v>
      </c>
      <c r="G345" t="s">
        <v>189</v>
      </c>
      <c r="H345" t="str">
        <f>IFERROR(VLOOKUP(Transactions!G345,Merchants!A:B,2,FALSE),"Not Found")</f>
        <v>Quick Services</v>
      </c>
      <c r="I345" s="9">
        <v>35973.589999999997</v>
      </c>
      <c r="J345" s="3">
        <v>359.74</v>
      </c>
      <c r="K345" t="s">
        <v>96</v>
      </c>
      <c r="L345" t="s">
        <v>59</v>
      </c>
      <c r="M345" t="s">
        <v>86</v>
      </c>
      <c r="N345" t="s">
        <v>61</v>
      </c>
      <c r="O345" t="s">
        <v>91</v>
      </c>
      <c r="P345" t="str">
        <f t="shared" si="11"/>
        <v>High Value</v>
      </c>
      <c r="Q345" t="str">
        <f>VLOOKUP(G345,Merchants!A:C,3,TRUE)</f>
        <v>Food &amp; Dining</v>
      </c>
    </row>
    <row r="346" spans="1:17" x14ac:dyDescent="0.3">
      <c r="A346" t="s">
        <v>798</v>
      </c>
      <c r="B346" s="2">
        <v>45923.247037037043</v>
      </c>
      <c r="C346" s="2" t="str">
        <f t="shared" si="10"/>
        <v>Sep-2025</v>
      </c>
      <c r="D346" t="s">
        <v>759</v>
      </c>
      <c r="E346" t="str">
        <f>VLOOKUP(D346,Customers!A:H,7,0)</f>
        <v>Business Owner</v>
      </c>
      <c r="F346" t="s">
        <v>753</v>
      </c>
      <c r="G346" t="s">
        <v>421</v>
      </c>
      <c r="H346" t="str">
        <f>IFERROR(VLOOKUP(Transactions!G346,Merchants!A:B,2,FALSE),"Not Found")</f>
        <v>Smart Pay</v>
      </c>
      <c r="I346" s="9">
        <v>34941.1</v>
      </c>
      <c r="J346" s="3">
        <v>349.41</v>
      </c>
      <c r="K346" t="s">
        <v>90</v>
      </c>
      <c r="L346" t="s">
        <v>59</v>
      </c>
      <c r="M346" t="s">
        <v>86</v>
      </c>
      <c r="N346" t="s">
        <v>61</v>
      </c>
      <c r="O346" t="s">
        <v>81</v>
      </c>
      <c r="P346" t="str">
        <f t="shared" si="11"/>
        <v>High Value</v>
      </c>
      <c r="Q346" t="str">
        <f>VLOOKUP(G346,Merchants!A:C,3,TRUE)</f>
        <v>Entertainment</v>
      </c>
    </row>
    <row r="347" spans="1:17" x14ac:dyDescent="0.3">
      <c r="A347" t="s">
        <v>799</v>
      </c>
      <c r="B347" s="2">
        <v>46087.965208333328</v>
      </c>
      <c r="C347" s="2" t="str">
        <f t="shared" si="10"/>
        <v>Mar-2026</v>
      </c>
      <c r="D347" t="s">
        <v>599</v>
      </c>
      <c r="E347" t="str">
        <f>VLOOKUP(D347,Customers!A:H,7,0)</f>
        <v>Student</v>
      </c>
      <c r="F347" t="s">
        <v>571</v>
      </c>
      <c r="G347" t="s">
        <v>237</v>
      </c>
      <c r="H347" t="str">
        <f>IFERROR(VLOOKUP(Transactions!G347,Merchants!A:B,2,FALSE),"Not Found")</f>
        <v>Metro Pay</v>
      </c>
      <c r="I347" s="9">
        <v>54735.07</v>
      </c>
      <c r="J347" s="3">
        <v>273.68</v>
      </c>
      <c r="K347" t="s">
        <v>58</v>
      </c>
      <c r="L347" t="s">
        <v>59</v>
      </c>
      <c r="M347" t="s">
        <v>111</v>
      </c>
      <c r="N347" t="s">
        <v>67</v>
      </c>
      <c r="O347" t="s">
        <v>91</v>
      </c>
      <c r="P347" t="str">
        <f t="shared" si="11"/>
        <v>High Value</v>
      </c>
      <c r="Q347" t="str">
        <f>VLOOKUP(G347,Merchants!A:C,3,TRUE)</f>
        <v>Healthcare</v>
      </c>
    </row>
    <row r="348" spans="1:17" x14ac:dyDescent="0.3">
      <c r="A348" t="s">
        <v>800</v>
      </c>
      <c r="B348" s="2">
        <v>46271.253541666672</v>
      </c>
      <c r="C348" s="2" t="str">
        <f t="shared" si="10"/>
        <v>Sep-2026</v>
      </c>
      <c r="D348" t="s">
        <v>364</v>
      </c>
      <c r="E348" t="str">
        <f>VLOOKUP(D348,Customers!A:H,7,0)</f>
        <v>Self-employed</v>
      </c>
      <c r="F348" t="s">
        <v>276</v>
      </c>
      <c r="G348" t="s">
        <v>107</v>
      </c>
      <c r="H348" t="str">
        <f>IFERROR(VLOOKUP(Transactions!G348,Merchants!A:B,2,FALSE),"Not Found")</f>
        <v>Blue Services</v>
      </c>
      <c r="I348" s="9">
        <v>32668.37</v>
      </c>
      <c r="J348" s="3">
        <v>163.34</v>
      </c>
      <c r="K348" t="s">
        <v>72</v>
      </c>
      <c r="L348" t="s">
        <v>73</v>
      </c>
      <c r="M348" t="s">
        <v>86</v>
      </c>
      <c r="N348" t="s">
        <v>61</v>
      </c>
      <c r="O348" t="s">
        <v>62</v>
      </c>
      <c r="P348" t="str">
        <f t="shared" si="11"/>
        <v>High Value</v>
      </c>
      <c r="Q348" t="str">
        <f>VLOOKUP(G348,Merchants!A:C,3,TRUE)</f>
        <v>Travel</v>
      </c>
    </row>
    <row r="349" spans="1:17" x14ac:dyDescent="0.3">
      <c r="A349" t="s">
        <v>801</v>
      </c>
      <c r="B349" s="2">
        <v>45671.207754629628</v>
      </c>
      <c r="C349" s="2" t="str">
        <f t="shared" si="10"/>
        <v>Jan-2025</v>
      </c>
      <c r="D349" t="s">
        <v>547</v>
      </c>
      <c r="E349" t="str">
        <f>VLOOKUP(D349,Customers!A:H,7,0)</f>
        <v>Business Owner</v>
      </c>
      <c r="F349" t="s">
        <v>256</v>
      </c>
      <c r="G349" t="s">
        <v>95</v>
      </c>
      <c r="H349" t="str">
        <f>IFERROR(VLOOKUP(Transactions!G349,Merchants!A:B,2,FALSE),"Not Found")</f>
        <v>Quick Pay</v>
      </c>
      <c r="I349" s="9">
        <v>31138.43</v>
      </c>
      <c r="J349" s="3">
        <v>311.38</v>
      </c>
      <c r="K349" t="s">
        <v>58</v>
      </c>
      <c r="L349" t="s">
        <v>59</v>
      </c>
      <c r="M349" t="s">
        <v>111</v>
      </c>
      <c r="N349" t="s">
        <v>67</v>
      </c>
      <c r="O349" t="s">
        <v>62</v>
      </c>
      <c r="P349" t="str">
        <f t="shared" si="11"/>
        <v>High Value</v>
      </c>
      <c r="Q349" t="str">
        <f>VLOOKUP(G349,Merchants!A:C,3,TRUE)</f>
        <v>Healthcare</v>
      </c>
    </row>
    <row r="350" spans="1:17" x14ac:dyDescent="0.3">
      <c r="A350" t="s">
        <v>802</v>
      </c>
      <c r="B350" s="2">
        <v>45850.847500000003</v>
      </c>
      <c r="C350" s="2" t="str">
        <f t="shared" si="10"/>
        <v>Jul-2025</v>
      </c>
      <c r="D350" t="s">
        <v>368</v>
      </c>
      <c r="E350" t="str">
        <f>VLOOKUP(D350,Customers!A:H,7,0)</f>
        <v>Student</v>
      </c>
      <c r="F350" t="s">
        <v>285</v>
      </c>
      <c r="G350" t="s">
        <v>430</v>
      </c>
      <c r="H350" t="str">
        <f>IFERROR(VLOOKUP(Transactions!G350,Merchants!A:B,2,FALSE),"Not Found")</f>
        <v>Prime Foods</v>
      </c>
      <c r="I350" s="9">
        <v>36844.36</v>
      </c>
      <c r="J350" s="3">
        <v>73.69</v>
      </c>
      <c r="K350" t="s">
        <v>58</v>
      </c>
      <c r="L350" t="s">
        <v>73</v>
      </c>
      <c r="M350" t="s">
        <v>111</v>
      </c>
      <c r="N350" t="s">
        <v>67</v>
      </c>
      <c r="O350" t="s">
        <v>75</v>
      </c>
      <c r="P350" t="str">
        <f t="shared" si="11"/>
        <v>High Value</v>
      </c>
      <c r="Q350" t="str">
        <f>VLOOKUP(G350,Merchants!A:C,3,TRUE)</f>
        <v>Entertainment</v>
      </c>
    </row>
    <row r="351" spans="1:17" x14ac:dyDescent="0.3">
      <c r="A351" t="s">
        <v>803</v>
      </c>
      <c r="B351" s="2">
        <v>46014.472662037027</v>
      </c>
      <c r="C351" s="2" t="str">
        <f t="shared" si="10"/>
        <v>Dec-2025</v>
      </c>
      <c r="D351" t="s">
        <v>804</v>
      </c>
      <c r="E351" t="str">
        <f>VLOOKUP(D351,Customers!A:H,7,0)</f>
        <v>Business Owner</v>
      </c>
      <c r="F351" t="s">
        <v>805</v>
      </c>
      <c r="G351" t="s">
        <v>201</v>
      </c>
      <c r="H351" t="str">
        <f>IFERROR(VLOOKUP(Transactions!G351,Merchants!A:B,2,FALSE),"Not Found")</f>
        <v>Urban Stores</v>
      </c>
      <c r="I351" s="9">
        <v>41493.94</v>
      </c>
      <c r="J351" s="3">
        <v>414.94</v>
      </c>
      <c r="K351" t="s">
        <v>90</v>
      </c>
      <c r="L351" t="s">
        <v>59</v>
      </c>
      <c r="M351" t="s">
        <v>60</v>
      </c>
      <c r="N351" t="s">
        <v>67</v>
      </c>
      <c r="O351" t="s">
        <v>91</v>
      </c>
      <c r="P351" t="str">
        <f t="shared" si="11"/>
        <v>High Value</v>
      </c>
      <c r="Q351" t="str">
        <f>VLOOKUP(G351,Merchants!A:C,3,TRUE)</f>
        <v>Entertainment</v>
      </c>
    </row>
    <row r="352" spans="1:17" x14ac:dyDescent="0.3">
      <c r="A352" t="s">
        <v>806</v>
      </c>
      <c r="B352" s="2">
        <v>45885.195254629631</v>
      </c>
      <c r="C352" s="2" t="str">
        <f t="shared" si="10"/>
        <v>Aug-2025</v>
      </c>
      <c r="D352" t="s">
        <v>187</v>
      </c>
      <c r="E352" t="str">
        <f>VLOOKUP(D352,Customers!A:H,7,0)</f>
        <v>Business Owner</v>
      </c>
      <c r="F352" t="s">
        <v>325</v>
      </c>
      <c r="G352" t="s">
        <v>57</v>
      </c>
      <c r="H352" t="str">
        <f>IFERROR(VLOOKUP(Transactions!G352,Merchants!A:B,2,FALSE),"Not Found")</f>
        <v>Daily Stores</v>
      </c>
      <c r="I352" s="9">
        <v>51423.23</v>
      </c>
      <c r="J352" s="3">
        <v>154.27000000000001</v>
      </c>
      <c r="K352" t="s">
        <v>90</v>
      </c>
      <c r="L352" t="s">
        <v>59</v>
      </c>
      <c r="M352" t="s">
        <v>86</v>
      </c>
      <c r="N352" t="s">
        <v>61</v>
      </c>
      <c r="O352" t="s">
        <v>91</v>
      </c>
      <c r="P352" t="str">
        <f t="shared" si="11"/>
        <v>High Value</v>
      </c>
      <c r="Q352" t="str">
        <f>VLOOKUP(G352,Merchants!A:C,3,TRUE)</f>
        <v>Travel</v>
      </c>
    </row>
    <row r="353" spans="1:17" x14ac:dyDescent="0.3">
      <c r="A353" t="s">
        <v>807</v>
      </c>
      <c r="B353" s="2">
        <v>45737.02851851852</v>
      </c>
      <c r="C353" s="2" t="str">
        <f t="shared" si="10"/>
        <v>Mar-2025</v>
      </c>
      <c r="D353" t="s">
        <v>808</v>
      </c>
      <c r="E353" t="str">
        <f>VLOOKUP(D353,Customers!A:H,7,0)</f>
        <v>Salaried</v>
      </c>
      <c r="F353" t="s">
        <v>185</v>
      </c>
      <c r="G353" t="s">
        <v>175</v>
      </c>
      <c r="H353" t="str">
        <f>IFERROR(VLOOKUP(Transactions!G353,Merchants!A:B,2,FALSE),"Not Found")</f>
        <v>Fresh Mart</v>
      </c>
      <c r="I353" s="9">
        <v>46504.07</v>
      </c>
      <c r="J353" s="3">
        <v>93.01</v>
      </c>
      <c r="K353" t="s">
        <v>133</v>
      </c>
      <c r="L353" t="s">
        <v>80</v>
      </c>
      <c r="M353" t="s">
        <v>86</v>
      </c>
      <c r="N353" t="s">
        <v>61</v>
      </c>
      <c r="O353" t="s">
        <v>91</v>
      </c>
      <c r="P353" t="str">
        <f t="shared" si="11"/>
        <v>High Value</v>
      </c>
      <c r="Q353" t="str">
        <f>VLOOKUP(G353,Merchants!A:C,3,TRUE)</f>
        <v>Electronics</v>
      </c>
    </row>
    <row r="354" spans="1:17" x14ac:dyDescent="0.3">
      <c r="A354" t="s">
        <v>809</v>
      </c>
      <c r="B354" s="2">
        <v>45917.065648148149</v>
      </c>
      <c r="C354" s="2" t="str">
        <f t="shared" si="10"/>
        <v>Sep-2025</v>
      </c>
      <c r="D354" t="s">
        <v>93</v>
      </c>
      <c r="E354" t="str">
        <f>VLOOKUP(D354,Customers!A:H,7,0)</f>
        <v>Student</v>
      </c>
      <c r="F354" t="s">
        <v>372</v>
      </c>
      <c r="G354" t="s">
        <v>382</v>
      </c>
      <c r="H354" t="str">
        <f>IFERROR(VLOOKUP(Transactions!G354,Merchants!A:B,2,FALSE),"Not Found")</f>
        <v>Fresh Foods</v>
      </c>
      <c r="I354" s="9">
        <v>4068.22</v>
      </c>
      <c r="J354" s="3">
        <v>8.14</v>
      </c>
      <c r="K354" t="s">
        <v>90</v>
      </c>
      <c r="L354" t="s">
        <v>80</v>
      </c>
      <c r="M354" t="s">
        <v>111</v>
      </c>
      <c r="N354" t="s">
        <v>67</v>
      </c>
      <c r="O354" t="s">
        <v>81</v>
      </c>
      <c r="P354" t="str">
        <f t="shared" si="11"/>
        <v>High Value</v>
      </c>
      <c r="Q354" t="str">
        <f>VLOOKUP(G354,Merchants!A:C,3,TRUE)</f>
        <v>Healthcare</v>
      </c>
    </row>
    <row r="355" spans="1:17" x14ac:dyDescent="0.3">
      <c r="A355" t="s">
        <v>810</v>
      </c>
      <c r="B355" s="2">
        <v>45687.137708333343</v>
      </c>
      <c r="C355" s="2" t="str">
        <f t="shared" si="10"/>
        <v>Jan-2025</v>
      </c>
      <c r="D355" t="s">
        <v>811</v>
      </c>
      <c r="E355" t="str">
        <f>VLOOKUP(D355,Customers!A:H,7,0)</f>
        <v>Salaried</v>
      </c>
      <c r="F355" t="s">
        <v>114</v>
      </c>
      <c r="G355" t="s">
        <v>421</v>
      </c>
      <c r="H355" t="str">
        <f>IFERROR(VLOOKUP(Transactions!G355,Merchants!A:B,2,FALSE),"Not Found")</f>
        <v>Smart Pay</v>
      </c>
      <c r="I355" s="9">
        <v>8818.86</v>
      </c>
      <c r="J355" s="3">
        <v>44.09</v>
      </c>
      <c r="K355" t="s">
        <v>90</v>
      </c>
      <c r="L355" t="s">
        <v>80</v>
      </c>
      <c r="M355" t="s">
        <v>111</v>
      </c>
      <c r="N355" t="s">
        <v>67</v>
      </c>
      <c r="O355" t="s">
        <v>91</v>
      </c>
      <c r="P355" t="str">
        <f t="shared" si="11"/>
        <v>High Value</v>
      </c>
      <c r="Q355" t="str">
        <f>VLOOKUP(G355,Merchants!A:C,3,TRUE)</f>
        <v>Entertainment</v>
      </c>
    </row>
    <row r="356" spans="1:17" x14ac:dyDescent="0.3">
      <c r="A356" t="s">
        <v>812</v>
      </c>
      <c r="B356" s="2">
        <v>46250.021203703713</v>
      </c>
      <c r="C356" s="2" t="str">
        <f t="shared" si="10"/>
        <v>Aug-2026</v>
      </c>
      <c r="D356" t="s">
        <v>448</v>
      </c>
      <c r="E356" t="str">
        <f>VLOOKUP(D356,Customers!A:H,7,0)</f>
        <v>Business Owner</v>
      </c>
      <c r="F356" t="s">
        <v>813</v>
      </c>
      <c r="G356" t="s">
        <v>347</v>
      </c>
      <c r="H356" t="str">
        <f>IFERROR(VLOOKUP(Transactions!G356,Merchants!A:B,2,FALSE),"Not Found")</f>
        <v>Nova Hub</v>
      </c>
      <c r="I356" s="9">
        <v>31777.439999999999</v>
      </c>
      <c r="J356" s="3">
        <v>158.88999999999999</v>
      </c>
      <c r="K356" t="s">
        <v>58</v>
      </c>
      <c r="L356" t="s">
        <v>80</v>
      </c>
      <c r="M356" t="s">
        <v>86</v>
      </c>
      <c r="N356" t="s">
        <v>67</v>
      </c>
      <c r="O356" t="s">
        <v>75</v>
      </c>
      <c r="P356" t="str">
        <f t="shared" si="11"/>
        <v>High Value</v>
      </c>
      <c r="Q356" t="str">
        <f>VLOOKUP(G356,Merchants!A:C,3,TRUE)</f>
        <v>Fuel</v>
      </c>
    </row>
    <row r="357" spans="1:17" x14ac:dyDescent="0.3">
      <c r="A357" t="s">
        <v>814</v>
      </c>
      <c r="B357" s="2">
        <v>46033.894108796303</v>
      </c>
      <c r="C357" s="2" t="str">
        <f t="shared" si="10"/>
        <v>Jan-2026</v>
      </c>
      <c r="D357" t="s">
        <v>556</v>
      </c>
      <c r="E357" t="str">
        <f>VLOOKUP(D357,Customers!A:H,7,0)</f>
        <v>Business Owner</v>
      </c>
      <c r="F357" t="s">
        <v>365</v>
      </c>
      <c r="G357" t="s">
        <v>421</v>
      </c>
      <c r="H357" t="str">
        <f>IFERROR(VLOOKUP(Transactions!G357,Merchants!A:B,2,FALSE),"Not Found")</f>
        <v>Smart Pay</v>
      </c>
      <c r="I357" s="9">
        <v>11189.03</v>
      </c>
      <c r="J357" s="3">
        <v>22.38</v>
      </c>
      <c r="K357" t="s">
        <v>96</v>
      </c>
      <c r="L357" t="s">
        <v>80</v>
      </c>
      <c r="M357" t="s">
        <v>74</v>
      </c>
      <c r="N357" t="s">
        <v>67</v>
      </c>
      <c r="O357" t="s">
        <v>62</v>
      </c>
      <c r="P357" t="str">
        <f t="shared" si="11"/>
        <v>High Value</v>
      </c>
      <c r="Q357" t="str">
        <f>VLOOKUP(G357,Merchants!A:C,3,TRUE)</f>
        <v>Entertainment</v>
      </c>
    </row>
    <row r="358" spans="1:17" x14ac:dyDescent="0.3">
      <c r="A358" t="s">
        <v>815</v>
      </c>
      <c r="B358" s="2">
        <v>46075.171180555553</v>
      </c>
      <c r="C358" s="2" t="str">
        <f t="shared" si="10"/>
        <v>Feb-2026</v>
      </c>
      <c r="D358" t="s">
        <v>231</v>
      </c>
      <c r="E358" t="str">
        <f>VLOOKUP(D358,Customers!A:H,7,0)</f>
        <v>Student</v>
      </c>
      <c r="F358" t="s">
        <v>805</v>
      </c>
      <c r="G358" t="s">
        <v>146</v>
      </c>
      <c r="H358" t="str">
        <f>IFERROR(VLOOKUP(Transactions!G358,Merchants!A:B,2,FALSE),"Not Found")</f>
        <v>Prime Mart</v>
      </c>
      <c r="I358" s="9">
        <v>45708.43</v>
      </c>
      <c r="J358" s="3">
        <v>457.08</v>
      </c>
      <c r="K358" t="s">
        <v>96</v>
      </c>
      <c r="L358" t="s">
        <v>59</v>
      </c>
      <c r="M358" t="s">
        <v>60</v>
      </c>
      <c r="N358" t="s">
        <v>61</v>
      </c>
      <c r="O358" t="s">
        <v>91</v>
      </c>
      <c r="P358" t="str">
        <f t="shared" si="11"/>
        <v>High Value</v>
      </c>
      <c r="Q358" t="str">
        <f>VLOOKUP(G358,Merchants!A:C,3,TRUE)</f>
        <v>Food &amp; Dining</v>
      </c>
    </row>
    <row r="359" spans="1:17" x14ac:dyDescent="0.3">
      <c r="A359" t="s">
        <v>816</v>
      </c>
      <c r="B359" s="2">
        <v>45742.497754629629</v>
      </c>
      <c r="C359" s="2" t="str">
        <f t="shared" si="10"/>
        <v>Mar-2025</v>
      </c>
      <c r="D359" t="s">
        <v>817</v>
      </c>
      <c r="E359" t="str">
        <f>VLOOKUP(D359,Customers!A:H,7,0)</f>
        <v>Salaried</v>
      </c>
      <c r="F359" t="s">
        <v>509</v>
      </c>
      <c r="G359" t="s">
        <v>263</v>
      </c>
      <c r="H359" t="str">
        <f>IFERROR(VLOOKUP(Transactions!G359,Merchants!A:B,2,FALSE),"Not Found")</f>
        <v>Urban Retail</v>
      </c>
      <c r="I359" s="9">
        <v>29673.4</v>
      </c>
      <c r="J359" s="3">
        <v>296.73</v>
      </c>
      <c r="K359" t="s">
        <v>96</v>
      </c>
      <c r="L359" t="s">
        <v>59</v>
      </c>
      <c r="M359" t="s">
        <v>111</v>
      </c>
      <c r="N359" t="s">
        <v>61</v>
      </c>
      <c r="O359" t="s">
        <v>81</v>
      </c>
      <c r="P359" t="str">
        <f t="shared" si="11"/>
        <v>High Value</v>
      </c>
      <c r="Q359" t="str">
        <f>VLOOKUP(G359,Merchants!A:C,3,TRUE)</f>
        <v>Grocery</v>
      </c>
    </row>
    <row r="360" spans="1:17" x14ac:dyDescent="0.3">
      <c r="A360" t="s">
        <v>818</v>
      </c>
      <c r="B360" s="2">
        <v>46096.28638888889</v>
      </c>
      <c r="C360" s="2" t="str">
        <f t="shared" si="10"/>
        <v>Mar-2026</v>
      </c>
      <c r="D360" t="s">
        <v>477</v>
      </c>
      <c r="E360" t="str">
        <f>VLOOKUP(D360,Customers!A:H,7,0)</f>
        <v>Student</v>
      </c>
      <c r="F360" t="s">
        <v>167</v>
      </c>
      <c r="G360" t="s">
        <v>215</v>
      </c>
      <c r="H360" t="str">
        <f>IFERROR(VLOOKUP(Transactions!G360,Merchants!A:B,2,FALSE),"Not Found")</f>
        <v>Daily Hub</v>
      </c>
      <c r="I360" s="9">
        <v>51420.75</v>
      </c>
      <c r="J360" s="3">
        <v>514.21</v>
      </c>
      <c r="K360" t="s">
        <v>58</v>
      </c>
      <c r="L360" t="s">
        <v>73</v>
      </c>
      <c r="M360" t="s">
        <v>74</v>
      </c>
      <c r="N360" t="s">
        <v>67</v>
      </c>
      <c r="O360" t="s">
        <v>75</v>
      </c>
      <c r="P360" t="str">
        <f t="shared" si="11"/>
        <v>High Value</v>
      </c>
      <c r="Q360" t="str">
        <f>VLOOKUP(G360,Merchants!A:C,3,TRUE)</f>
        <v>Fashion</v>
      </c>
    </row>
    <row r="361" spans="1:17" x14ac:dyDescent="0.3">
      <c r="A361" t="s">
        <v>819</v>
      </c>
      <c r="B361" s="2">
        <v>46106.792893518519</v>
      </c>
      <c r="C361" s="2" t="str">
        <f t="shared" si="10"/>
        <v>Mar-2026</v>
      </c>
      <c r="D361" t="s">
        <v>130</v>
      </c>
      <c r="E361" t="str">
        <f>VLOOKUP(D361,Customers!A:H,7,0)</f>
        <v>Student</v>
      </c>
      <c r="F361" t="s">
        <v>586</v>
      </c>
      <c r="G361" t="s">
        <v>107</v>
      </c>
      <c r="H361" t="str">
        <f>IFERROR(VLOOKUP(Transactions!G361,Merchants!A:B,2,FALSE),"Not Found")</f>
        <v>Blue Services</v>
      </c>
      <c r="I361" s="9">
        <v>39547.040000000001</v>
      </c>
      <c r="J361" s="3">
        <v>118.64</v>
      </c>
      <c r="K361" t="s">
        <v>133</v>
      </c>
      <c r="L361" t="s">
        <v>59</v>
      </c>
      <c r="M361" t="s">
        <v>86</v>
      </c>
      <c r="N361" t="s">
        <v>67</v>
      </c>
      <c r="O361" t="s">
        <v>91</v>
      </c>
      <c r="P361" t="str">
        <f t="shared" si="11"/>
        <v>High Value</v>
      </c>
      <c r="Q361" t="str">
        <f>VLOOKUP(G361,Merchants!A:C,3,TRUE)</f>
        <v>Travel</v>
      </c>
    </row>
    <row r="362" spans="1:17" x14ac:dyDescent="0.3">
      <c r="A362" t="s">
        <v>820</v>
      </c>
      <c r="B362" s="2">
        <v>46030.30201388889</v>
      </c>
      <c r="C362" s="2" t="str">
        <f t="shared" si="10"/>
        <v>Jan-2026</v>
      </c>
      <c r="D362" t="s">
        <v>93</v>
      </c>
      <c r="E362" t="str">
        <f>VLOOKUP(D362,Customers!A:H,7,0)</f>
        <v>Student</v>
      </c>
      <c r="F362" t="s">
        <v>218</v>
      </c>
      <c r="G362" t="s">
        <v>117</v>
      </c>
      <c r="H362" t="str">
        <f>IFERROR(VLOOKUP(Transactions!G362,Merchants!A:B,2,FALSE),"Not Found")</f>
        <v>Prime Pay</v>
      </c>
      <c r="I362" s="9">
        <v>20384.04</v>
      </c>
      <c r="J362" s="3">
        <v>203.84</v>
      </c>
      <c r="K362" t="s">
        <v>96</v>
      </c>
      <c r="L362" t="s">
        <v>59</v>
      </c>
      <c r="M362" t="s">
        <v>60</v>
      </c>
      <c r="N362" t="s">
        <v>61</v>
      </c>
      <c r="O362" t="s">
        <v>75</v>
      </c>
      <c r="P362" t="str">
        <f t="shared" si="11"/>
        <v>High Value</v>
      </c>
      <c r="Q362" t="str">
        <f>VLOOKUP(G362,Merchants!A:C,3,TRUE)</f>
        <v>Travel</v>
      </c>
    </row>
    <row r="363" spans="1:17" x14ac:dyDescent="0.3">
      <c r="A363" t="s">
        <v>821</v>
      </c>
      <c r="B363" s="2">
        <v>46022.72184027778</v>
      </c>
      <c r="C363" s="2" t="str">
        <f t="shared" si="10"/>
        <v>Dec-2025</v>
      </c>
      <c r="D363" t="s">
        <v>822</v>
      </c>
      <c r="E363" t="str">
        <f>VLOOKUP(D363,Customers!A:H,7,0)</f>
        <v>Student</v>
      </c>
      <c r="F363" t="s">
        <v>522</v>
      </c>
      <c r="G363" t="s">
        <v>413</v>
      </c>
      <c r="H363" t="str">
        <f>IFERROR(VLOOKUP(Transactions!G363,Merchants!A:B,2,FALSE),"Not Found")</f>
        <v>Blue Hub</v>
      </c>
      <c r="I363" s="9">
        <v>40033.949999999997</v>
      </c>
      <c r="J363" s="3">
        <v>400.34</v>
      </c>
      <c r="K363" t="s">
        <v>96</v>
      </c>
      <c r="L363" t="s">
        <v>157</v>
      </c>
      <c r="M363" t="s">
        <v>86</v>
      </c>
      <c r="N363" t="s">
        <v>67</v>
      </c>
      <c r="O363" t="s">
        <v>81</v>
      </c>
      <c r="P363" t="str">
        <f t="shared" si="11"/>
        <v>High Value</v>
      </c>
      <c r="Q363" t="str">
        <f>VLOOKUP(G363,Merchants!A:C,3,TRUE)</f>
        <v>Utilities</v>
      </c>
    </row>
    <row r="364" spans="1:17" x14ac:dyDescent="0.3">
      <c r="A364" t="s">
        <v>823</v>
      </c>
      <c r="B364" s="2">
        <v>46159.754374999997</v>
      </c>
      <c r="C364" s="2" t="str">
        <f t="shared" si="10"/>
        <v>May-2026</v>
      </c>
      <c r="D364" t="s">
        <v>824</v>
      </c>
      <c r="E364" t="str">
        <f>VLOOKUP(D364,Customers!A:H,7,0)</f>
        <v>Self-employed</v>
      </c>
      <c r="F364" t="s">
        <v>509</v>
      </c>
      <c r="G364" t="s">
        <v>607</v>
      </c>
      <c r="H364" t="str">
        <f>IFERROR(VLOOKUP(Transactions!G364,Merchants!A:B,2,FALSE),"Not Found")</f>
        <v>Daily Digital</v>
      </c>
      <c r="I364" s="9">
        <v>13926.23</v>
      </c>
      <c r="J364" s="3">
        <v>27.85</v>
      </c>
      <c r="K364" t="s">
        <v>58</v>
      </c>
      <c r="L364" t="s">
        <v>157</v>
      </c>
      <c r="M364" t="s">
        <v>74</v>
      </c>
      <c r="N364" t="s">
        <v>67</v>
      </c>
      <c r="O364" t="s">
        <v>62</v>
      </c>
      <c r="P364" t="str">
        <f t="shared" si="11"/>
        <v>High Value</v>
      </c>
      <c r="Q364" t="str">
        <f>VLOOKUP(G364,Merchants!A:C,3,TRUE)</f>
        <v>Healthcare</v>
      </c>
    </row>
    <row r="365" spans="1:17" x14ac:dyDescent="0.3">
      <c r="A365" t="s">
        <v>825</v>
      </c>
      <c r="B365" s="2">
        <v>46049.917175925933</v>
      </c>
      <c r="C365" s="2" t="str">
        <f t="shared" si="10"/>
        <v>Jan-2026</v>
      </c>
      <c r="D365" t="s">
        <v>177</v>
      </c>
      <c r="E365" t="str">
        <f>VLOOKUP(D365,Customers!A:H,7,0)</f>
        <v>Self-employed</v>
      </c>
      <c r="F365" t="s">
        <v>649</v>
      </c>
      <c r="G365" t="s">
        <v>233</v>
      </c>
      <c r="H365" t="str">
        <f>IFERROR(VLOOKUP(Transactions!G365,Merchants!A:B,2,FALSE),"Not Found")</f>
        <v>Urban Retail</v>
      </c>
      <c r="I365" s="9">
        <v>40784.339999999997</v>
      </c>
      <c r="J365" s="3">
        <v>81.569999999999993</v>
      </c>
      <c r="K365" t="s">
        <v>96</v>
      </c>
      <c r="L365" t="s">
        <v>59</v>
      </c>
      <c r="M365" t="s">
        <v>74</v>
      </c>
      <c r="N365" t="s">
        <v>67</v>
      </c>
      <c r="O365" t="s">
        <v>81</v>
      </c>
      <c r="P365" t="str">
        <f t="shared" si="11"/>
        <v>High Value</v>
      </c>
      <c r="Q365" t="str">
        <f>VLOOKUP(G365,Merchants!A:C,3,TRUE)</f>
        <v>Utilities</v>
      </c>
    </row>
    <row r="366" spans="1:17" x14ac:dyDescent="0.3">
      <c r="A366" t="s">
        <v>826</v>
      </c>
      <c r="B366" s="2">
        <v>46167.743726851862</v>
      </c>
      <c r="C366" s="2" t="str">
        <f t="shared" si="10"/>
        <v>May-2026</v>
      </c>
      <c r="D366" t="s">
        <v>664</v>
      </c>
      <c r="E366" t="str">
        <f>VLOOKUP(D366,Customers!A:H,7,0)</f>
        <v>Self-employed</v>
      </c>
      <c r="F366" t="s">
        <v>827</v>
      </c>
      <c r="G366" t="s">
        <v>124</v>
      </c>
      <c r="H366" t="str">
        <f>IFERROR(VLOOKUP(Transactions!G366,Merchants!A:B,2,FALSE),"Not Found")</f>
        <v>Daily Services</v>
      </c>
      <c r="I366" s="9">
        <v>30337.21</v>
      </c>
      <c r="J366" s="3">
        <v>60.67</v>
      </c>
      <c r="K366" t="s">
        <v>96</v>
      </c>
      <c r="L366" t="s">
        <v>59</v>
      </c>
      <c r="M366" t="s">
        <v>74</v>
      </c>
      <c r="N366" t="s">
        <v>61</v>
      </c>
      <c r="O366" t="s">
        <v>75</v>
      </c>
      <c r="P366" t="str">
        <f t="shared" si="11"/>
        <v>High Value</v>
      </c>
      <c r="Q366" t="str">
        <f>VLOOKUP(G366,Merchants!A:C,3,TRUE)</f>
        <v>Food &amp; Dining</v>
      </c>
    </row>
    <row r="367" spans="1:17" x14ac:dyDescent="0.3">
      <c r="A367" t="s">
        <v>828</v>
      </c>
      <c r="B367" s="2">
        <v>46111.697314814817</v>
      </c>
      <c r="C367" s="2" t="str">
        <f t="shared" si="10"/>
        <v>Mar-2026</v>
      </c>
      <c r="D367" t="s">
        <v>144</v>
      </c>
      <c r="E367" t="str">
        <f>VLOOKUP(D367,Customers!A:H,7,0)</f>
        <v>Self-employed</v>
      </c>
      <c r="F367" t="s">
        <v>579</v>
      </c>
      <c r="G367" t="s">
        <v>117</v>
      </c>
      <c r="H367" t="str">
        <f>IFERROR(VLOOKUP(Transactions!G367,Merchants!A:B,2,FALSE),"Not Found")</f>
        <v>Prime Pay</v>
      </c>
      <c r="I367" s="9">
        <v>2255.27</v>
      </c>
      <c r="J367" s="3">
        <v>11.28</v>
      </c>
      <c r="K367" t="s">
        <v>90</v>
      </c>
      <c r="L367" t="s">
        <v>59</v>
      </c>
      <c r="M367" t="s">
        <v>60</v>
      </c>
      <c r="N367" t="s">
        <v>61</v>
      </c>
      <c r="O367" t="s">
        <v>75</v>
      </c>
      <c r="P367" t="str">
        <f t="shared" si="11"/>
        <v>Standard</v>
      </c>
      <c r="Q367" t="str">
        <f>VLOOKUP(G367,Merchants!A:C,3,TRUE)</f>
        <v>Travel</v>
      </c>
    </row>
    <row r="368" spans="1:17" x14ac:dyDescent="0.3">
      <c r="A368" t="s">
        <v>829</v>
      </c>
      <c r="B368" s="2">
        <v>45770.862962962958</v>
      </c>
      <c r="C368" s="2" t="str">
        <f t="shared" si="10"/>
        <v>Apr-2025</v>
      </c>
      <c r="D368" t="s">
        <v>268</v>
      </c>
      <c r="E368" t="str">
        <f>VLOOKUP(D368,Customers!A:H,7,0)</f>
        <v>Student</v>
      </c>
      <c r="F368" t="s">
        <v>384</v>
      </c>
      <c r="G368" t="s">
        <v>95</v>
      </c>
      <c r="H368" t="str">
        <f>IFERROR(VLOOKUP(Transactions!G368,Merchants!A:B,2,FALSE),"Not Found")</f>
        <v>Quick Pay</v>
      </c>
      <c r="I368" s="9">
        <v>40533.97</v>
      </c>
      <c r="J368" s="3">
        <v>405.34</v>
      </c>
      <c r="K368" t="s">
        <v>133</v>
      </c>
      <c r="L368" t="s">
        <v>80</v>
      </c>
      <c r="M368" t="s">
        <v>86</v>
      </c>
      <c r="N368" t="s">
        <v>61</v>
      </c>
      <c r="O368" t="s">
        <v>81</v>
      </c>
      <c r="P368" t="str">
        <f t="shared" si="11"/>
        <v>High Value</v>
      </c>
      <c r="Q368" t="str">
        <f>VLOOKUP(G368,Merchants!A:C,3,TRUE)</f>
        <v>Healthcare</v>
      </c>
    </row>
    <row r="369" spans="1:17" x14ac:dyDescent="0.3">
      <c r="A369" t="s">
        <v>830</v>
      </c>
      <c r="B369" s="2">
        <v>46164.896631944437</v>
      </c>
      <c r="C369" s="2" t="str">
        <f t="shared" si="10"/>
        <v>May-2026</v>
      </c>
      <c r="D369" t="s">
        <v>481</v>
      </c>
      <c r="E369" t="str">
        <f>VLOOKUP(D369,Customers!A:H,7,0)</f>
        <v>Student</v>
      </c>
      <c r="F369" t="s">
        <v>768</v>
      </c>
      <c r="G369" t="s">
        <v>607</v>
      </c>
      <c r="H369" t="str">
        <f>IFERROR(VLOOKUP(Transactions!G369,Merchants!A:B,2,FALSE),"Not Found")</f>
        <v>Daily Digital</v>
      </c>
      <c r="I369" s="9">
        <v>58255.16</v>
      </c>
      <c r="J369" s="3">
        <v>291.27999999999997</v>
      </c>
      <c r="K369" t="s">
        <v>58</v>
      </c>
      <c r="L369" t="s">
        <v>59</v>
      </c>
      <c r="M369" t="s">
        <v>86</v>
      </c>
      <c r="N369" t="s">
        <v>67</v>
      </c>
      <c r="O369" t="s">
        <v>81</v>
      </c>
      <c r="P369" t="str">
        <f t="shared" si="11"/>
        <v>High Value</v>
      </c>
      <c r="Q369" t="str">
        <f>VLOOKUP(G369,Merchants!A:C,3,TRUE)</f>
        <v>Healthcare</v>
      </c>
    </row>
    <row r="370" spans="1:17" x14ac:dyDescent="0.3">
      <c r="A370" t="s">
        <v>831</v>
      </c>
      <c r="B370" s="2">
        <v>46015.885891203703</v>
      </c>
      <c r="C370" s="2" t="str">
        <f t="shared" si="10"/>
        <v>Dec-2025</v>
      </c>
      <c r="D370" t="s">
        <v>270</v>
      </c>
      <c r="E370" t="str">
        <f>VLOOKUP(D370,Customers!A:H,7,0)</f>
        <v>Business Owner</v>
      </c>
      <c r="F370" t="s">
        <v>832</v>
      </c>
      <c r="G370" t="s">
        <v>117</v>
      </c>
      <c r="H370" t="str">
        <f>IFERROR(VLOOKUP(Transactions!G370,Merchants!A:B,2,FALSE),"Not Found")</f>
        <v>Prime Pay</v>
      </c>
      <c r="I370" s="9">
        <v>1711.3</v>
      </c>
      <c r="J370" s="3">
        <v>8.56</v>
      </c>
      <c r="K370" t="s">
        <v>72</v>
      </c>
      <c r="L370" t="s">
        <v>73</v>
      </c>
      <c r="M370" t="s">
        <v>60</v>
      </c>
      <c r="N370" t="s">
        <v>61</v>
      </c>
      <c r="O370" t="s">
        <v>81</v>
      </c>
      <c r="P370" t="str">
        <f t="shared" si="11"/>
        <v>Standard</v>
      </c>
      <c r="Q370" t="str">
        <f>VLOOKUP(G370,Merchants!A:C,3,TRUE)</f>
        <v>Travel</v>
      </c>
    </row>
    <row r="371" spans="1:17" x14ac:dyDescent="0.3">
      <c r="A371" t="s">
        <v>833</v>
      </c>
      <c r="B371" s="2">
        <v>45715.370497685188</v>
      </c>
      <c r="C371" s="2" t="str">
        <f t="shared" si="10"/>
        <v>Feb-2025</v>
      </c>
      <c r="D371" t="s">
        <v>119</v>
      </c>
      <c r="E371" t="str">
        <f>VLOOKUP(D371,Customers!A:H,7,0)</f>
        <v>Salaried</v>
      </c>
      <c r="F371" t="s">
        <v>494</v>
      </c>
      <c r="G371" t="s">
        <v>263</v>
      </c>
      <c r="H371" t="str">
        <f>IFERROR(VLOOKUP(Transactions!G371,Merchants!A:B,2,FALSE),"Not Found")</f>
        <v>Urban Retail</v>
      </c>
      <c r="I371" s="9">
        <v>14932.07</v>
      </c>
      <c r="J371" s="3">
        <v>29.86</v>
      </c>
      <c r="K371" t="s">
        <v>58</v>
      </c>
      <c r="L371" t="s">
        <v>80</v>
      </c>
      <c r="M371" t="s">
        <v>60</v>
      </c>
      <c r="N371" t="s">
        <v>67</v>
      </c>
      <c r="O371" t="s">
        <v>91</v>
      </c>
      <c r="P371" t="str">
        <f t="shared" si="11"/>
        <v>High Value</v>
      </c>
      <c r="Q371" t="str">
        <f>VLOOKUP(G371,Merchants!A:C,3,TRUE)</f>
        <v>Grocery</v>
      </c>
    </row>
    <row r="372" spans="1:17" x14ac:dyDescent="0.3">
      <c r="A372" t="s">
        <v>834</v>
      </c>
      <c r="B372" s="2">
        <v>46209.494722222233</v>
      </c>
      <c r="C372" s="2" t="str">
        <f t="shared" si="10"/>
        <v>Jul-2026</v>
      </c>
      <c r="D372" t="s">
        <v>582</v>
      </c>
      <c r="E372" t="str">
        <f>VLOOKUP(D372,Customers!A:H,7,0)</f>
        <v>Business Owner</v>
      </c>
      <c r="F372" t="s">
        <v>299</v>
      </c>
      <c r="G372" t="s">
        <v>66</v>
      </c>
      <c r="H372" t="str">
        <f>IFERROR(VLOOKUP(Transactions!G372,Merchants!A:B,2,FALSE),"Not Found")</f>
        <v>Prime Digital</v>
      </c>
      <c r="I372" s="9">
        <v>2338.92</v>
      </c>
      <c r="J372" s="3">
        <v>23.39</v>
      </c>
      <c r="K372" t="s">
        <v>72</v>
      </c>
      <c r="L372" t="s">
        <v>80</v>
      </c>
      <c r="M372" t="s">
        <v>86</v>
      </c>
      <c r="N372" t="s">
        <v>61</v>
      </c>
      <c r="O372" t="s">
        <v>91</v>
      </c>
      <c r="P372" t="str">
        <f t="shared" si="11"/>
        <v>Standard</v>
      </c>
      <c r="Q372" t="str">
        <f>VLOOKUP(G372,Merchants!A:C,3,TRUE)</f>
        <v>Fuel</v>
      </c>
    </row>
    <row r="373" spans="1:17" x14ac:dyDescent="0.3">
      <c r="A373" t="s">
        <v>835</v>
      </c>
      <c r="B373" s="2">
        <v>45982.57303240741</v>
      </c>
      <c r="C373" s="2" t="str">
        <f t="shared" si="10"/>
        <v>Nov-2025</v>
      </c>
      <c r="D373" t="s">
        <v>69</v>
      </c>
      <c r="E373" t="str">
        <f>VLOOKUP(D373,Customers!A:H,7,0)</f>
        <v>Self-employed</v>
      </c>
      <c r="F373" t="s">
        <v>443</v>
      </c>
      <c r="G373" t="s">
        <v>107</v>
      </c>
      <c r="H373" t="str">
        <f>IFERROR(VLOOKUP(Transactions!G373,Merchants!A:B,2,FALSE),"Not Found")</f>
        <v>Blue Services</v>
      </c>
      <c r="I373" s="9">
        <v>34264.18</v>
      </c>
      <c r="J373" s="3">
        <v>68.53</v>
      </c>
      <c r="K373" t="s">
        <v>90</v>
      </c>
      <c r="L373" t="s">
        <v>59</v>
      </c>
      <c r="M373" t="s">
        <v>60</v>
      </c>
      <c r="N373" t="s">
        <v>61</v>
      </c>
      <c r="O373" t="s">
        <v>81</v>
      </c>
      <c r="P373" t="str">
        <f t="shared" si="11"/>
        <v>High Value</v>
      </c>
      <c r="Q373" t="str">
        <f>VLOOKUP(G373,Merchants!A:C,3,TRUE)</f>
        <v>Travel</v>
      </c>
    </row>
    <row r="374" spans="1:17" x14ac:dyDescent="0.3">
      <c r="A374" t="s">
        <v>836</v>
      </c>
      <c r="B374" s="2">
        <v>45828.932708333326</v>
      </c>
      <c r="C374" s="2" t="str">
        <f t="shared" si="10"/>
        <v>Jun-2025</v>
      </c>
      <c r="D374" t="s">
        <v>148</v>
      </c>
      <c r="E374" t="str">
        <f>VLOOKUP(D374,Customers!A:H,7,0)</f>
        <v>Salaried</v>
      </c>
      <c r="F374" t="s">
        <v>84</v>
      </c>
      <c r="G374" t="s">
        <v>430</v>
      </c>
      <c r="H374" t="str">
        <f>IFERROR(VLOOKUP(Transactions!G374,Merchants!A:B,2,FALSE),"Not Found")</f>
        <v>Prime Foods</v>
      </c>
      <c r="I374" s="9">
        <v>18041.3</v>
      </c>
      <c r="J374" s="3">
        <v>54.12</v>
      </c>
      <c r="K374" t="s">
        <v>133</v>
      </c>
      <c r="L374" t="s">
        <v>157</v>
      </c>
      <c r="M374" t="s">
        <v>111</v>
      </c>
      <c r="N374" t="s">
        <v>61</v>
      </c>
      <c r="O374" t="s">
        <v>81</v>
      </c>
      <c r="P374" t="str">
        <f t="shared" si="11"/>
        <v>High Value</v>
      </c>
      <c r="Q374" t="str">
        <f>VLOOKUP(G374,Merchants!A:C,3,TRUE)</f>
        <v>Entertainment</v>
      </c>
    </row>
    <row r="375" spans="1:17" x14ac:dyDescent="0.3">
      <c r="A375" t="s">
        <v>837</v>
      </c>
      <c r="B375" s="2">
        <v>45706.451041666667</v>
      </c>
      <c r="C375" s="2" t="str">
        <f t="shared" si="10"/>
        <v>Feb-2025</v>
      </c>
      <c r="D375" t="s">
        <v>350</v>
      </c>
      <c r="E375" t="str">
        <f>VLOOKUP(D375,Customers!A:H,7,0)</f>
        <v>Business Owner</v>
      </c>
      <c r="F375" t="s">
        <v>531</v>
      </c>
      <c r="G375" t="s">
        <v>103</v>
      </c>
      <c r="H375" t="str">
        <f>IFERROR(VLOOKUP(Transactions!G375,Merchants!A:B,2,FALSE),"Not Found")</f>
        <v>Nova Pay</v>
      </c>
      <c r="I375" s="9">
        <v>59774.04</v>
      </c>
      <c r="J375" s="3">
        <v>179.32</v>
      </c>
      <c r="K375" t="s">
        <v>133</v>
      </c>
      <c r="L375" t="s">
        <v>59</v>
      </c>
      <c r="M375" t="s">
        <v>86</v>
      </c>
      <c r="N375" t="s">
        <v>61</v>
      </c>
      <c r="O375" t="s">
        <v>81</v>
      </c>
      <c r="P375" t="str">
        <f t="shared" si="11"/>
        <v>High Value</v>
      </c>
      <c r="Q375" t="str">
        <f>VLOOKUP(G375,Merchants!A:C,3,TRUE)</f>
        <v>Fashion</v>
      </c>
    </row>
    <row r="376" spans="1:17" x14ac:dyDescent="0.3">
      <c r="A376" t="s">
        <v>838</v>
      </c>
      <c r="B376" s="2">
        <v>45726.859282407408</v>
      </c>
      <c r="C376" s="2" t="str">
        <f t="shared" si="10"/>
        <v>Mar-2025</v>
      </c>
      <c r="D376" t="s">
        <v>501</v>
      </c>
      <c r="E376" t="str">
        <f>VLOOKUP(D376,Customers!A:H,7,0)</f>
        <v>Salaried</v>
      </c>
      <c r="F376" t="s">
        <v>561</v>
      </c>
      <c r="G376" t="s">
        <v>430</v>
      </c>
      <c r="H376" t="str">
        <f>IFERROR(VLOOKUP(Transactions!G376,Merchants!A:B,2,FALSE),"Not Found")</f>
        <v>Prime Foods</v>
      </c>
      <c r="I376" s="9">
        <v>48091.02</v>
      </c>
      <c r="J376" s="3">
        <v>144.27000000000001</v>
      </c>
      <c r="K376" t="s">
        <v>72</v>
      </c>
      <c r="L376" t="s">
        <v>59</v>
      </c>
      <c r="M376" t="s">
        <v>60</v>
      </c>
      <c r="N376" t="s">
        <v>61</v>
      </c>
      <c r="O376" t="s">
        <v>81</v>
      </c>
      <c r="P376" t="str">
        <f t="shared" si="11"/>
        <v>High Value</v>
      </c>
      <c r="Q376" t="str">
        <f>VLOOKUP(G376,Merchants!A:C,3,TRUE)</f>
        <v>Entertainment</v>
      </c>
    </row>
    <row r="377" spans="1:17" x14ac:dyDescent="0.3">
      <c r="A377" t="s">
        <v>839</v>
      </c>
      <c r="B377" s="2">
        <v>45862.628518518519</v>
      </c>
      <c r="C377" s="2" t="str">
        <f t="shared" si="10"/>
        <v>Jul-2025</v>
      </c>
      <c r="D377" t="s">
        <v>246</v>
      </c>
      <c r="E377" t="str">
        <f>VLOOKUP(D377,Customers!A:H,7,0)</f>
        <v>Student</v>
      </c>
      <c r="F377" t="s">
        <v>588</v>
      </c>
      <c r="G377" t="s">
        <v>164</v>
      </c>
      <c r="H377" t="str">
        <f>IFERROR(VLOOKUP(Transactions!G377,Merchants!A:B,2,FALSE),"Not Found")</f>
        <v>Green Foods</v>
      </c>
      <c r="I377" s="9">
        <v>24197.83</v>
      </c>
      <c r="J377" s="3">
        <v>241.98</v>
      </c>
      <c r="K377" t="s">
        <v>90</v>
      </c>
      <c r="L377" t="s">
        <v>80</v>
      </c>
      <c r="M377" t="s">
        <v>86</v>
      </c>
      <c r="N377" t="s">
        <v>67</v>
      </c>
      <c r="O377" t="s">
        <v>75</v>
      </c>
      <c r="P377" t="str">
        <f t="shared" si="11"/>
        <v>High Value</v>
      </c>
      <c r="Q377" t="str">
        <f>VLOOKUP(G377,Merchants!A:C,3,TRUE)</f>
        <v>Grocery</v>
      </c>
    </row>
    <row r="378" spans="1:17" x14ac:dyDescent="0.3">
      <c r="A378" t="s">
        <v>840</v>
      </c>
      <c r="B378" s="2">
        <v>45876.70890046296</v>
      </c>
      <c r="C378" s="2" t="str">
        <f t="shared" si="10"/>
        <v>Aug-2025</v>
      </c>
      <c r="D378" t="s">
        <v>223</v>
      </c>
      <c r="E378" t="str">
        <f>VLOOKUP(D378,Customers!A:H,7,0)</f>
        <v>Business Owner</v>
      </c>
      <c r="F378" t="s">
        <v>841</v>
      </c>
      <c r="G378" t="s">
        <v>237</v>
      </c>
      <c r="H378" t="str">
        <f>IFERROR(VLOOKUP(Transactions!G378,Merchants!A:B,2,FALSE),"Not Found")</f>
        <v>Metro Pay</v>
      </c>
      <c r="I378" s="9">
        <v>16149.36</v>
      </c>
      <c r="J378" s="3">
        <v>161.49</v>
      </c>
      <c r="K378" t="s">
        <v>58</v>
      </c>
      <c r="L378" t="s">
        <v>80</v>
      </c>
      <c r="M378" t="s">
        <v>111</v>
      </c>
      <c r="N378" t="s">
        <v>61</v>
      </c>
      <c r="O378" t="s">
        <v>75</v>
      </c>
      <c r="P378" t="str">
        <f t="shared" si="11"/>
        <v>High Value</v>
      </c>
      <c r="Q378" t="str">
        <f>VLOOKUP(G378,Merchants!A:C,3,TRUE)</f>
        <v>Healthcare</v>
      </c>
    </row>
    <row r="379" spans="1:17" x14ac:dyDescent="0.3">
      <c r="A379" t="s">
        <v>842</v>
      </c>
      <c r="B379" s="2">
        <v>45809.364652777767</v>
      </c>
      <c r="C379" s="2" t="str">
        <f t="shared" si="10"/>
        <v>Jun-2025</v>
      </c>
      <c r="D379" t="s">
        <v>235</v>
      </c>
      <c r="E379" t="str">
        <f>VLOOKUP(D379,Customers!A:H,7,0)</f>
        <v>Student</v>
      </c>
      <c r="F379" t="s">
        <v>604</v>
      </c>
      <c r="G379" t="s">
        <v>182</v>
      </c>
      <c r="H379" t="str">
        <f>IFERROR(VLOOKUP(Transactions!G379,Merchants!A:B,2,FALSE),"Not Found")</f>
        <v>Fresh Hub</v>
      </c>
      <c r="I379" s="9">
        <v>9113.31</v>
      </c>
      <c r="J379" s="3">
        <v>45.57</v>
      </c>
      <c r="K379" t="s">
        <v>58</v>
      </c>
      <c r="L379" t="s">
        <v>80</v>
      </c>
      <c r="M379" t="s">
        <v>111</v>
      </c>
      <c r="N379" t="s">
        <v>61</v>
      </c>
      <c r="O379" t="s">
        <v>81</v>
      </c>
      <c r="P379" t="str">
        <f t="shared" si="11"/>
        <v>High Value</v>
      </c>
      <c r="Q379" t="str">
        <f>VLOOKUP(G379,Merchants!A:C,3,TRUE)</f>
        <v>Healthcare</v>
      </c>
    </row>
    <row r="380" spans="1:17" x14ac:dyDescent="0.3">
      <c r="A380" t="s">
        <v>843</v>
      </c>
      <c r="B380" s="2">
        <v>45951.980069444442</v>
      </c>
      <c r="C380" s="2" t="str">
        <f t="shared" si="10"/>
        <v>Oct-2025</v>
      </c>
      <c r="D380" t="s">
        <v>732</v>
      </c>
      <c r="E380" t="str">
        <f>VLOOKUP(D380,Customers!A:H,7,0)</f>
        <v>Self-employed</v>
      </c>
      <c r="F380" t="s">
        <v>844</v>
      </c>
      <c r="G380" t="s">
        <v>124</v>
      </c>
      <c r="H380" t="str">
        <f>IFERROR(VLOOKUP(Transactions!G380,Merchants!A:B,2,FALSE),"Not Found")</f>
        <v>Daily Services</v>
      </c>
      <c r="I380" s="9">
        <v>9719</v>
      </c>
      <c r="J380" s="3">
        <v>29.16</v>
      </c>
      <c r="K380" t="s">
        <v>90</v>
      </c>
      <c r="L380" t="s">
        <v>80</v>
      </c>
      <c r="M380" t="s">
        <v>111</v>
      </c>
      <c r="N380" t="s">
        <v>67</v>
      </c>
      <c r="O380" t="s">
        <v>62</v>
      </c>
      <c r="P380" t="str">
        <f t="shared" si="11"/>
        <v>High Value</v>
      </c>
      <c r="Q380" t="str">
        <f>VLOOKUP(G380,Merchants!A:C,3,TRUE)</f>
        <v>Food &amp; Dining</v>
      </c>
    </row>
    <row r="381" spans="1:17" x14ac:dyDescent="0.3">
      <c r="A381" t="s">
        <v>845</v>
      </c>
      <c r="B381" s="2">
        <v>45975.704143518517</v>
      </c>
      <c r="C381" s="2" t="str">
        <f t="shared" si="10"/>
        <v>Nov-2025</v>
      </c>
      <c r="D381" t="s">
        <v>428</v>
      </c>
      <c r="E381" t="str">
        <f>VLOOKUP(D381,Customers!A:H,7,0)</f>
        <v>Business Owner</v>
      </c>
      <c r="F381" t="s">
        <v>200</v>
      </c>
      <c r="G381" t="s">
        <v>175</v>
      </c>
      <c r="H381" t="str">
        <f>IFERROR(VLOOKUP(Transactions!G381,Merchants!A:B,2,FALSE),"Not Found")</f>
        <v>Fresh Mart</v>
      </c>
      <c r="I381" s="9">
        <v>29174.400000000001</v>
      </c>
      <c r="J381" s="3">
        <v>291.74</v>
      </c>
      <c r="K381" t="s">
        <v>90</v>
      </c>
      <c r="L381" t="s">
        <v>157</v>
      </c>
      <c r="M381" t="s">
        <v>111</v>
      </c>
      <c r="N381" t="s">
        <v>61</v>
      </c>
      <c r="O381" t="s">
        <v>62</v>
      </c>
      <c r="P381" t="str">
        <f t="shared" si="11"/>
        <v>High Value</v>
      </c>
      <c r="Q381" t="str">
        <f>VLOOKUP(G381,Merchants!A:C,3,TRUE)</f>
        <v>Electronics</v>
      </c>
    </row>
    <row r="382" spans="1:17" x14ac:dyDescent="0.3">
      <c r="A382" t="s">
        <v>846</v>
      </c>
      <c r="B382" s="2">
        <v>45687.39199074074</v>
      </c>
      <c r="C382" s="2" t="str">
        <f t="shared" si="10"/>
        <v>Jan-2025</v>
      </c>
      <c r="D382" t="s">
        <v>847</v>
      </c>
      <c r="E382" t="str">
        <f>VLOOKUP(D382,Customers!A:H,7,0)</f>
        <v>Self-employed</v>
      </c>
      <c r="F382" t="s">
        <v>726</v>
      </c>
      <c r="G382" t="s">
        <v>175</v>
      </c>
      <c r="H382" t="str">
        <f>IFERROR(VLOOKUP(Transactions!G382,Merchants!A:B,2,FALSE),"Not Found")</f>
        <v>Fresh Mart</v>
      </c>
      <c r="I382" s="9">
        <v>47401.22</v>
      </c>
      <c r="J382" s="3">
        <v>142.19999999999999</v>
      </c>
      <c r="K382" t="s">
        <v>96</v>
      </c>
      <c r="L382" t="s">
        <v>59</v>
      </c>
      <c r="M382" t="s">
        <v>86</v>
      </c>
      <c r="N382" t="s">
        <v>67</v>
      </c>
      <c r="O382" t="s">
        <v>91</v>
      </c>
      <c r="P382" t="str">
        <f t="shared" si="11"/>
        <v>High Value</v>
      </c>
      <c r="Q382" t="str">
        <f>VLOOKUP(G382,Merchants!A:C,3,TRUE)</f>
        <v>Electronics</v>
      </c>
    </row>
    <row r="383" spans="1:17" x14ac:dyDescent="0.3">
      <c r="A383" t="s">
        <v>848</v>
      </c>
      <c r="B383" s="2">
        <v>45979.912638888891</v>
      </c>
      <c r="C383" s="2" t="str">
        <f t="shared" si="10"/>
        <v>Nov-2025</v>
      </c>
      <c r="D383" t="s">
        <v>126</v>
      </c>
      <c r="E383" t="str">
        <f>VLOOKUP(D383,Customers!A:H,7,0)</f>
        <v>Student</v>
      </c>
      <c r="F383" t="s">
        <v>420</v>
      </c>
      <c r="G383" t="s">
        <v>85</v>
      </c>
      <c r="H383" t="str">
        <f>IFERROR(VLOOKUP(Transactions!G383,Merchants!A:B,2,FALSE),"Not Found")</f>
        <v>Metro Pay</v>
      </c>
      <c r="I383" s="9">
        <v>17948.95</v>
      </c>
      <c r="J383" s="3">
        <v>179.49</v>
      </c>
      <c r="K383" t="s">
        <v>58</v>
      </c>
      <c r="L383" t="s">
        <v>59</v>
      </c>
      <c r="M383" t="s">
        <v>74</v>
      </c>
      <c r="N383" t="s">
        <v>67</v>
      </c>
      <c r="O383" t="s">
        <v>62</v>
      </c>
      <c r="P383" t="str">
        <f t="shared" si="11"/>
        <v>High Value</v>
      </c>
      <c r="Q383" t="str">
        <f>VLOOKUP(G383,Merchants!A:C,3,TRUE)</f>
        <v>Travel</v>
      </c>
    </row>
    <row r="384" spans="1:17" x14ac:dyDescent="0.3">
      <c r="A384" t="s">
        <v>849</v>
      </c>
      <c r="B384" s="2">
        <v>45772.866180555553</v>
      </c>
      <c r="C384" s="2" t="str">
        <f t="shared" si="10"/>
        <v>Apr-2025</v>
      </c>
      <c r="D384" t="s">
        <v>148</v>
      </c>
      <c r="E384" t="str">
        <f>VLOOKUP(D384,Customers!A:H,7,0)</f>
        <v>Salaried</v>
      </c>
      <c r="F384" t="s">
        <v>850</v>
      </c>
      <c r="G384" t="s">
        <v>103</v>
      </c>
      <c r="H384" t="str">
        <f>IFERROR(VLOOKUP(Transactions!G384,Merchants!A:B,2,FALSE),"Not Found")</f>
        <v>Nova Pay</v>
      </c>
      <c r="I384" s="9">
        <v>44095.38</v>
      </c>
      <c r="J384" s="3">
        <v>220.48</v>
      </c>
      <c r="K384" t="s">
        <v>90</v>
      </c>
      <c r="L384" t="s">
        <v>157</v>
      </c>
      <c r="M384" t="s">
        <v>86</v>
      </c>
      <c r="N384" t="s">
        <v>61</v>
      </c>
      <c r="O384" t="s">
        <v>81</v>
      </c>
      <c r="P384" t="str">
        <f t="shared" si="11"/>
        <v>High Value</v>
      </c>
      <c r="Q384" t="str">
        <f>VLOOKUP(G384,Merchants!A:C,3,TRUE)</f>
        <v>Fashion</v>
      </c>
    </row>
    <row r="385" spans="1:17" x14ac:dyDescent="0.3">
      <c r="A385" t="s">
        <v>851</v>
      </c>
      <c r="B385" s="2">
        <v>46256.591562499998</v>
      </c>
      <c r="C385" s="2" t="str">
        <f t="shared" si="10"/>
        <v>Aug-2026</v>
      </c>
      <c r="D385" t="s">
        <v>852</v>
      </c>
      <c r="E385" t="str">
        <f>VLOOKUP(D385,Customers!A:H,7,0)</f>
        <v>Business Owner</v>
      </c>
      <c r="F385" t="s">
        <v>70</v>
      </c>
      <c r="G385" t="s">
        <v>244</v>
      </c>
      <c r="H385" t="str">
        <f>IFERROR(VLOOKUP(Transactions!G385,Merchants!A:B,2,FALSE),"Not Found")</f>
        <v>Blue Hub</v>
      </c>
      <c r="I385" s="9">
        <v>48369.91</v>
      </c>
      <c r="J385" s="3">
        <v>483.7</v>
      </c>
      <c r="K385" t="s">
        <v>90</v>
      </c>
      <c r="L385" t="s">
        <v>80</v>
      </c>
      <c r="M385" t="s">
        <v>111</v>
      </c>
      <c r="N385" t="s">
        <v>61</v>
      </c>
      <c r="O385" t="s">
        <v>75</v>
      </c>
      <c r="P385" t="str">
        <f t="shared" si="11"/>
        <v>High Value</v>
      </c>
      <c r="Q385" t="str">
        <f>VLOOKUP(G385,Merchants!A:C,3,TRUE)</f>
        <v>Healthcare</v>
      </c>
    </row>
    <row r="386" spans="1:17" x14ac:dyDescent="0.3">
      <c r="A386" t="s">
        <v>853</v>
      </c>
      <c r="B386" s="2">
        <v>46076.385787037027</v>
      </c>
      <c r="C386" s="2" t="str">
        <f t="shared" si="10"/>
        <v>Feb-2026</v>
      </c>
      <c r="D386" t="s">
        <v>180</v>
      </c>
      <c r="E386" t="str">
        <f>VLOOKUP(D386,Customers!A:H,7,0)</f>
        <v>Student</v>
      </c>
      <c r="F386" t="s">
        <v>224</v>
      </c>
      <c r="G386" t="s">
        <v>124</v>
      </c>
      <c r="H386" t="str">
        <f>IFERROR(VLOOKUP(Transactions!G386,Merchants!A:B,2,FALSE),"Not Found")</f>
        <v>Daily Services</v>
      </c>
      <c r="I386" s="9">
        <v>51787.71</v>
      </c>
      <c r="J386" s="3">
        <v>258.94</v>
      </c>
      <c r="K386" t="s">
        <v>72</v>
      </c>
      <c r="L386" t="s">
        <v>59</v>
      </c>
      <c r="M386" t="s">
        <v>74</v>
      </c>
      <c r="N386" t="s">
        <v>61</v>
      </c>
      <c r="O386" t="s">
        <v>62</v>
      </c>
      <c r="P386" t="str">
        <f t="shared" si="11"/>
        <v>High Value</v>
      </c>
      <c r="Q386" t="str">
        <f>VLOOKUP(G386,Merchants!A:C,3,TRUE)</f>
        <v>Food &amp; Dining</v>
      </c>
    </row>
    <row r="387" spans="1:17" x14ac:dyDescent="0.3">
      <c r="A387" t="s">
        <v>854</v>
      </c>
      <c r="B387" s="2">
        <v>45942.219826388893</v>
      </c>
      <c r="C387" s="2" t="str">
        <f t="shared" ref="C387:C450" si="12">TEXT(B387,"mmm-yyyy")</f>
        <v>Oct-2025</v>
      </c>
      <c r="D387" t="s">
        <v>466</v>
      </c>
      <c r="E387" t="str">
        <f>VLOOKUP(D387,Customers!A:H,7,0)</f>
        <v>Salaried</v>
      </c>
      <c r="F387" t="s">
        <v>855</v>
      </c>
      <c r="G387" t="s">
        <v>382</v>
      </c>
      <c r="H387" t="str">
        <f>IFERROR(VLOOKUP(Transactions!G387,Merchants!A:B,2,FALSE),"Not Found")</f>
        <v>Fresh Foods</v>
      </c>
      <c r="I387" s="9">
        <v>21843.58</v>
      </c>
      <c r="J387" s="3">
        <v>109.22</v>
      </c>
      <c r="K387" t="s">
        <v>58</v>
      </c>
      <c r="L387" t="s">
        <v>80</v>
      </c>
      <c r="M387" t="s">
        <v>86</v>
      </c>
      <c r="N387" t="s">
        <v>67</v>
      </c>
      <c r="O387" t="s">
        <v>81</v>
      </c>
      <c r="P387" t="str">
        <f t="shared" ref="P387:P450" si="13">IF(I387&gt;=2500,"High Value","Standard")</f>
        <v>High Value</v>
      </c>
      <c r="Q387" t="str">
        <f>VLOOKUP(G387,Merchants!A:C,3,TRUE)</f>
        <v>Healthcare</v>
      </c>
    </row>
    <row r="388" spans="1:17" x14ac:dyDescent="0.3">
      <c r="A388" t="s">
        <v>856</v>
      </c>
      <c r="B388" s="2">
        <v>46223.583587962959</v>
      </c>
      <c r="C388" s="2" t="str">
        <f t="shared" si="12"/>
        <v>Jul-2026</v>
      </c>
      <c r="D388" t="s">
        <v>684</v>
      </c>
      <c r="E388" t="str">
        <f>VLOOKUP(D388,Customers!A:H,7,0)</f>
        <v>Student</v>
      </c>
      <c r="F388" t="s">
        <v>857</v>
      </c>
      <c r="G388" t="s">
        <v>347</v>
      </c>
      <c r="H388" t="str">
        <f>IFERROR(VLOOKUP(Transactions!G388,Merchants!A:B,2,FALSE),"Not Found")</f>
        <v>Nova Hub</v>
      </c>
      <c r="I388" s="9">
        <v>18625.18</v>
      </c>
      <c r="J388" s="3">
        <v>93.13</v>
      </c>
      <c r="K388" t="s">
        <v>90</v>
      </c>
      <c r="L388" t="s">
        <v>157</v>
      </c>
      <c r="M388" t="s">
        <v>74</v>
      </c>
      <c r="N388" t="s">
        <v>61</v>
      </c>
      <c r="O388" t="s">
        <v>91</v>
      </c>
      <c r="P388" t="str">
        <f t="shared" si="13"/>
        <v>High Value</v>
      </c>
      <c r="Q388" t="str">
        <f>VLOOKUP(G388,Merchants!A:C,3,TRUE)</f>
        <v>Fuel</v>
      </c>
    </row>
    <row r="389" spans="1:17" x14ac:dyDescent="0.3">
      <c r="A389" t="s">
        <v>858</v>
      </c>
      <c r="B389" s="2">
        <v>46060.387650462973</v>
      </c>
      <c r="C389" s="2" t="str">
        <f t="shared" si="12"/>
        <v>Feb-2026</v>
      </c>
      <c r="D389" t="s">
        <v>728</v>
      </c>
      <c r="E389" t="str">
        <f>VLOOKUP(D389,Customers!A:H,7,0)</f>
        <v>Salaried</v>
      </c>
      <c r="F389" t="s">
        <v>653</v>
      </c>
      <c r="G389" t="s">
        <v>95</v>
      </c>
      <c r="H389" t="str">
        <f>IFERROR(VLOOKUP(Transactions!G389,Merchants!A:B,2,FALSE),"Not Found")</f>
        <v>Quick Pay</v>
      </c>
      <c r="I389" s="9">
        <v>18123.2</v>
      </c>
      <c r="J389" s="3">
        <v>54.37</v>
      </c>
      <c r="K389" t="s">
        <v>96</v>
      </c>
      <c r="L389" t="s">
        <v>157</v>
      </c>
      <c r="M389" t="s">
        <v>60</v>
      </c>
      <c r="N389" t="s">
        <v>61</v>
      </c>
      <c r="O389" t="s">
        <v>91</v>
      </c>
      <c r="P389" t="str">
        <f t="shared" si="13"/>
        <v>High Value</v>
      </c>
      <c r="Q389" t="str">
        <f>VLOOKUP(G389,Merchants!A:C,3,TRUE)</f>
        <v>Healthcare</v>
      </c>
    </row>
    <row r="390" spans="1:17" x14ac:dyDescent="0.3">
      <c r="A390" t="s">
        <v>859</v>
      </c>
      <c r="B390" s="2">
        <v>45938.121504629627</v>
      </c>
      <c r="C390" s="2" t="str">
        <f t="shared" si="12"/>
        <v>Oct-2025</v>
      </c>
      <c r="D390" t="s">
        <v>547</v>
      </c>
      <c r="E390" t="str">
        <f>VLOOKUP(D390,Customers!A:H,7,0)</f>
        <v>Business Owner</v>
      </c>
      <c r="F390" t="s">
        <v>94</v>
      </c>
      <c r="G390" t="s">
        <v>201</v>
      </c>
      <c r="H390" t="str">
        <f>IFERROR(VLOOKUP(Transactions!G390,Merchants!A:B,2,FALSE),"Not Found")</f>
        <v>Urban Stores</v>
      </c>
      <c r="I390" s="9">
        <v>49409.55</v>
      </c>
      <c r="J390" s="3">
        <v>494.1</v>
      </c>
      <c r="K390" t="s">
        <v>96</v>
      </c>
      <c r="L390" t="s">
        <v>157</v>
      </c>
      <c r="M390" t="s">
        <v>86</v>
      </c>
      <c r="N390" t="s">
        <v>67</v>
      </c>
      <c r="O390" t="s">
        <v>81</v>
      </c>
      <c r="P390" t="str">
        <f t="shared" si="13"/>
        <v>High Value</v>
      </c>
      <c r="Q390" t="str">
        <f>VLOOKUP(G390,Merchants!A:C,3,TRUE)</f>
        <v>Entertainment</v>
      </c>
    </row>
    <row r="391" spans="1:17" x14ac:dyDescent="0.3">
      <c r="A391" t="s">
        <v>860</v>
      </c>
      <c r="B391" s="2">
        <v>46176.100671296299</v>
      </c>
      <c r="C391" s="2" t="str">
        <f t="shared" si="12"/>
        <v>Jun-2026</v>
      </c>
      <c r="D391" t="s">
        <v>736</v>
      </c>
      <c r="E391" t="str">
        <f>VLOOKUP(D391,Customers!A:H,7,0)</f>
        <v>Student</v>
      </c>
      <c r="F391" t="s">
        <v>861</v>
      </c>
      <c r="G391" t="s">
        <v>783</v>
      </c>
      <c r="H391" t="str">
        <f>IFERROR(VLOOKUP(Transactions!G391,Merchants!A:B,2,FALSE),"Not Found")</f>
        <v>Daily Stores</v>
      </c>
      <c r="I391" s="9">
        <v>21176.2</v>
      </c>
      <c r="J391" s="3">
        <v>105.88</v>
      </c>
      <c r="K391" t="s">
        <v>58</v>
      </c>
      <c r="L391" t="s">
        <v>59</v>
      </c>
      <c r="M391" t="s">
        <v>111</v>
      </c>
      <c r="N391" t="s">
        <v>61</v>
      </c>
      <c r="O391" t="s">
        <v>62</v>
      </c>
      <c r="P391" t="str">
        <f t="shared" si="13"/>
        <v>High Value</v>
      </c>
      <c r="Q391" t="str">
        <f>VLOOKUP(G391,Merchants!A:C,3,TRUE)</f>
        <v>Entertainment</v>
      </c>
    </row>
    <row r="392" spans="1:17" x14ac:dyDescent="0.3">
      <c r="A392" t="s">
        <v>862</v>
      </c>
      <c r="B392" s="2">
        <v>45661.607812499999</v>
      </c>
      <c r="C392" s="2" t="str">
        <f t="shared" si="12"/>
        <v>Jan-2025</v>
      </c>
      <c r="D392" t="s">
        <v>231</v>
      </c>
      <c r="E392" t="str">
        <f>VLOOKUP(D392,Customers!A:H,7,0)</f>
        <v>Student</v>
      </c>
      <c r="F392" t="s">
        <v>863</v>
      </c>
      <c r="G392" t="s">
        <v>192</v>
      </c>
      <c r="H392" t="str">
        <f>IFERROR(VLOOKUP(Transactions!G392,Merchants!A:B,2,FALSE),"Not Found")</f>
        <v>Blue Foods</v>
      </c>
      <c r="I392" s="9">
        <v>12084.51</v>
      </c>
      <c r="J392" s="3">
        <v>24.17</v>
      </c>
      <c r="K392" t="s">
        <v>133</v>
      </c>
      <c r="L392" t="s">
        <v>59</v>
      </c>
      <c r="M392" t="s">
        <v>111</v>
      </c>
      <c r="N392" t="s">
        <v>61</v>
      </c>
      <c r="O392" t="s">
        <v>81</v>
      </c>
      <c r="P392" t="str">
        <f t="shared" si="13"/>
        <v>High Value</v>
      </c>
      <c r="Q392" t="str">
        <f>VLOOKUP(G392,Merchants!A:C,3,TRUE)</f>
        <v>Travel</v>
      </c>
    </row>
    <row r="393" spans="1:17" x14ac:dyDescent="0.3">
      <c r="A393" t="s">
        <v>864</v>
      </c>
      <c r="B393" s="2">
        <v>46120.725694444453</v>
      </c>
      <c r="C393" s="2" t="str">
        <f t="shared" si="12"/>
        <v>Apr-2026</v>
      </c>
      <c r="D393" t="s">
        <v>684</v>
      </c>
      <c r="E393" t="str">
        <f>VLOOKUP(D393,Customers!A:H,7,0)</f>
        <v>Student</v>
      </c>
      <c r="F393" t="s">
        <v>178</v>
      </c>
      <c r="G393" t="s">
        <v>182</v>
      </c>
      <c r="H393" t="str">
        <f>IFERROR(VLOOKUP(Transactions!G393,Merchants!A:B,2,FALSE),"Not Found")</f>
        <v>Fresh Hub</v>
      </c>
      <c r="I393" s="9">
        <v>52423</v>
      </c>
      <c r="J393" s="3">
        <v>157.27000000000001</v>
      </c>
      <c r="K393" t="s">
        <v>72</v>
      </c>
      <c r="L393" t="s">
        <v>59</v>
      </c>
      <c r="M393" t="s">
        <v>111</v>
      </c>
      <c r="N393" t="s">
        <v>67</v>
      </c>
      <c r="O393" t="s">
        <v>75</v>
      </c>
      <c r="P393" t="str">
        <f t="shared" si="13"/>
        <v>High Value</v>
      </c>
      <c r="Q393" t="str">
        <f>VLOOKUP(G393,Merchants!A:C,3,TRUE)</f>
        <v>Healthcare</v>
      </c>
    </row>
    <row r="394" spans="1:17" x14ac:dyDescent="0.3">
      <c r="A394" t="s">
        <v>865</v>
      </c>
      <c r="B394" s="2">
        <v>46034.275925925933</v>
      </c>
      <c r="C394" s="2" t="str">
        <f t="shared" si="12"/>
        <v>Jan-2026</v>
      </c>
      <c r="D394" t="s">
        <v>466</v>
      </c>
      <c r="E394" t="str">
        <f>VLOOKUP(D394,Customers!A:H,7,0)</f>
        <v>Salaried</v>
      </c>
      <c r="F394" t="s">
        <v>224</v>
      </c>
      <c r="G394" t="s">
        <v>783</v>
      </c>
      <c r="H394" t="str">
        <f>IFERROR(VLOOKUP(Transactions!G394,Merchants!A:B,2,FALSE),"Not Found")</f>
        <v>Daily Stores</v>
      </c>
      <c r="I394" s="9">
        <v>23670.3</v>
      </c>
      <c r="J394" s="3">
        <v>71.010000000000005</v>
      </c>
      <c r="K394" t="s">
        <v>133</v>
      </c>
      <c r="L394" t="s">
        <v>59</v>
      </c>
      <c r="M394" t="s">
        <v>111</v>
      </c>
      <c r="N394" t="s">
        <v>67</v>
      </c>
      <c r="O394" t="s">
        <v>75</v>
      </c>
      <c r="P394" t="str">
        <f t="shared" si="13"/>
        <v>High Value</v>
      </c>
      <c r="Q394" t="str">
        <f>VLOOKUP(G394,Merchants!A:C,3,TRUE)</f>
        <v>Entertainment</v>
      </c>
    </row>
    <row r="395" spans="1:17" x14ac:dyDescent="0.3">
      <c r="A395" t="s">
        <v>866</v>
      </c>
      <c r="B395" s="2">
        <v>45861.397129629629</v>
      </c>
      <c r="C395" s="2" t="str">
        <f t="shared" si="12"/>
        <v>Jul-2025</v>
      </c>
      <c r="D395" t="s">
        <v>867</v>
      </c>
      <c r="E395" t="str">
        <f>VLOOKUP(D395,Customers!A:H,7,0)</f>
        <v>Student</v>
      </c>
      <c r="F395" t="s">
        <v>266</v>
      </c>
      <c r="G395" t="s">
        <v>382</v>
      </c>
      <c r="H395" t="str">
        <f>IFERROR(VLOOKUP(Transactions!G395,Merchants!A:B,2,FALSE),"Not Found")</f>
        <v>Fresh Foods</v>
      </c>
      <c r="I395" s="9">
        <v>42105.54</v>
      </c>
      <c r="J395" s="3">
        <v>421.06</v>
      </c>
      <c r="K395" t="s">
        <v>72</v>
      </c>
      <c r="L395" t="s">
        <v>59</v>
      </c>
      <c r="M395" t="s">
        <v>111</v>
      </c>
      <c r="N395" t="s">
        <v>67</v>
      </c>
      <c r="O395" t="s">
        <v>81</v>
      </c>
      <c r="P395" t="str">
        <f t="shared" si="13"/>
        <v>High Value</v>
      </c>
      <c r="Q395" t="str">
        <f>VLOOKUP(G395,Merchants!A:C,3,TRUE)</f>
        <v>Healthcare</v>
      </c>
    </row>
    <row r="396" spans="1:17" x14ac:dyDescent="0.3">
      <c r="A396" t="s">
        <v>868</v>
      </c>
      <c r="B396" s="2">
        <v>45832.860520833332</v>
      </c>
      <c r="C396" s="2" t="str">
        <f t="shared" si="12"/>
        <v>Jun-2025</v>
      </c>
      <c r="D396" t="s">
        <v>736</v>
      </c>
      <c r="E396" t="str">
        <f>VLOOKUP(D396,Customers!A:H,7,0)</f>
        <v>Student</v>
      </c>
      <c r="F396" t="s">
        <v>869</v>
      </c>
      <c r="G396" t="s">
        <v>128</v>
      </c>
      <c r="H396" t="str">
        <f>IFERROR(VLOOKUP(Transactions!G396,Merchants!A:B,2,FALSE),"Not Found")</f>
        <v>Blue Foods</v>
      </c>
      <c r="I396" s="9">
        <v>7129.3</v>
      </c>
      <c r="J396" s="3">
        <v>71.290000000000006</v>
      </c>
      <c r="K396" t="s">
        <v>96</v>
      </c>
      <c r="L396" t="s">
        <v>80</v>
      </c>
      <c r="M396" t="s">
        <v>86</v>
      </c>
      <c r="N396" t="s">
        <v>67</v>
      </c>
      <c r="O396" t="s">
        <v>62</v>
      </c>
      <c r="P396" t="str">
        <f t="shared" si="13"/>
        <v>High Value</v>
      </c>
      <c r="Q396" t="str">
        <f>VLOOKUP(G396,Merchants!A:C,3,TRUE)</f>
        <v>Food &amp; Dining</v>
      </c>
    </row>
    <row r="397" spans="1:17" x14ac:dyDescent="0.3">
      <c r="A397" t="s">
        <v>870</v>
      </c>
      <c r="B397" s="2">
        <v>45853.403831018521</v>
      </c>
      <c r="C397" s="2" t="str">
        <f t="shared" si="12"/>
        <v>Jul-2025</v>
      </c>
      <c r="D397" t="s">
        <v>258</v>
      </c>
      <c r="E397" t="str">
        <f>VLOOKUP(D397,Customers!A:H,7,0)</f>
        <v>Salaried</v>
      </c>
      <c r="F397" t="s">
        <v>380</v>
      </c>
      <c r="G397" t="s">
        <v>57</v>
      </c>
      <c r="H397" t="str">
        <f>IFERROR(VLOOKUP(Transactions!G397,Merchants!A:B,2,FALSE),"Not Found")</f>
        <v>Daily Stores</v>
      </c>
      <c r="I397" s="9">
        <v>17348.919999999998</v>
      </c>
      <c r="J397" s="3">
        <v>52.05</v>
      </c>
      <c r="K397" t="s">
        <v>133</v>
      </c>
      <c r="L397" t="s">
        <v>59</v>
      </c>
      <c r="M397" t="s">
        <v>111</v>
      </c>
      <c r="N397" t="s">
        <v>61</v>
      </c>
      <c r="O397" t="s">
        <v>62</v>
      </c>
      <c r="P397" t="str">
        <f t="shared" si="13"/>
        <v>High Value</v>
      </c>
      <c r="Q397" t="str">
        <f>VLOOKUP(G397,Merchants!A:C,3,TRUE)</f>
        <v>Travel</v>
      </c>
    </row>
    <row r="398" spans="1:17" x14ac:dyDescent="0.3">
      <c r="A398" t="s">
        <v>871</v>
      </c>
      <c r="B398" s="2">
        <v>46086.273622685178</v>
      </c>
      <c r="C398" s="2" t="str">
        <f t="shared" si="12"/>
        <v>Mar-2026</v>
      </c>
      <c r="D398" t="s">
        <v>352</v>
      </c>
      <c r="E398" t="str">
        <f>VLOOKUP(D398,Customers!A:H,7,0)</f>
        <v>Self-employed</v>
      </c>
      <c r="F398" t="s">
        <v>354</v>
      </c>
      <c r="G398" t="s">
        <v>208</v>
      </c>
      <c r="H398" t="str">
        <f>IFERROR(VLOOKUP(Transactions!G398,Merchants!A:B,2,FALSE),"Not Found")</f>
        <v>Blue Retail</v>
      </c>
      <c r="I398" s="9">
        <v>24570.59</v>
      </c>
      <c r="J398" s="3">
        <v>122.85</v>
      </c>
      <c r="K398" t="s">
        <v>96</v>
      </c>
      <c r="L398" t="s">
        <v>59</v>
      </c>
      <c r="M398" t="s">
        <v>111</v>
      </c>
      <c r="N398" t="s">
        <v>61</v>
      </c>
      <c r="O398" t="s">
        <v>75</v>
      </c>
      <c r="P398" t="str">
        <f t="shared" si="13"/>
        <v>High Value</v>
      </c>
      <c r="Q398" t="str">
        <f>VLOOKUP(G398,Merchants!A:C,3,TRUE)</f>
        <v>Healthcare</v>
      </c>
    </row>
    <row r="399" spans="1:17" x14ac:dyDescent="0.3">
      <c r="A399" t="s">
        <v>872</v>
      </c>
      <c r="B399" s="2">
        <v>45745.015648148154</v>
      </c>
      <c r="C399" s="2" t="str">
        <f t="shared" si="12"/>
        <v>Mar-2025</v>
      </c>
      <c r="D399" t="s">
        <v>684</v>
      </c>
      <c r="E399" t="str">
        <f>VLOOKUP(D399,Customers!A:H,7,0)</f>
        <v>Student</v>
      </c>
      <c r="F399" t="s">
        <v>592</v>
      </c>
      <c r="G399" t="s">
        <v>366</v>
      </c>
      <c r="H399" t="str">
        <f>IFERROR(VLOOKUP(Transactions!G399,Merchants!A:B,2,FALSE),"Not Found")</f>
        <v>Smart Pay</v>
      </c>
      <c r="I399" s="9">
        <v>28186.01</v>
      </c>
      <c r="J399" s="3">
        <v>281.86</v>
      </c>
      <c r="K399" t="s">
        <v>96</v>
      </c>
      <c r="L399" t="s">
        <v>73</v>
      </c>
      <c r="M399" t="s">
        <v>60</v>
      </c>
      <c r="N399" t="s">
        <v>67</v>
      </c>
      <c r="O399" t="s">
        <v>91</v>
      </c>
      <c r="P399" t="str">
        <f t="shared" si="13"/>
        <v>High Value</v>
      </c>
      <c r="Q399" t="str">
        <f>VLOOKUP(G399,Merchants!A:C,3,TRUE)</f>
        <v>Fashion</v>
      </c>
    </row>
    <row r="400" spans="1:17" x14ac:dyDescent="0.3">
      <c r="A400" t="s">
        <v>873</v>
      </c>
      <c r="B400" s="2">
        <v>46228.089120370372</v>
      </c>
      <c r="C400" s="2" t="str">
        <f t="shared" si="12"/>
        <v>Jul-2026</v>
      </c>
      <c r="D400" t="s">
        <v>220</v>
      </c>
      <c r="E400" t="str">
        <f>VLOOKUP(D400,Customers!A:H,7,0)</f>
        <v>Student</v>
      </c>
      <c r="F400" t="s">
        <v>310</v>
      </c>
      <c r="G400" t="s">
        <v>85</v>
      </c>
      <c r="H400" t="str">
        <f>IFERROR(VLOOKUP(Transactions!G400,Merchants!A:B,2,FALSE),"Not Found")</f>
        <v>Metro Pay</v>
      </c>
      <c r="I400" s="9">
        <v>3221.55</v>
      </c>
      <c r="J400" s="3">
        <v>32.22</v>
      </c>
      <c r="K400" t="s">
        <v>133</v>
      </c>
      <c r="L400" t="s">
        <v>157</v>
      </c>
      <c r="M400" t="s">
        <v>86</v>
      </c>
      <c r="N400" t="s">
        <v>67</v>
      </c>
      <c r="O400" t="s">
        <v>81</v>
      </c>
      <c r="P400" t="str">
        <f t="shared" si="13"/>
        <v>High Value</v>
      </c>
      <c r="Q400" t="str">
        <f>VLOOKUP(G400,Merchants!A:C,3,TRUE)</f>
        <v>Travel</v>
      </c>
    </row>
    <row r="401" spans="1:17" x14ac:dyDescent="0.3">
      <c r="A401" t="s">
        <v>874</v>
      </c>
      <c r="B401" s="2">
        <v>46174.940034722233</v>
      </c>
      <c r="C401" s="2" t="str">
        <f t="shared" si="12"/>
        <v>Jun-2026</v>
      </c>
      <c r="D401" t="s">
        <v>196</v>
      </c>
      <c r="E401" t="str">
        <f>VLOOKUP(D401,Customers!A:H,7,0)</f>
        <v>Student</v>
      </c>
      <c r="F401" t="s">
        <v>875</v>
      </c>
      <c r="G401" t="s">
        <v>164</v>
      </c>
      <c r="H401" t="str">
        <f>IFERROR(VLOOKUP(Transactions!G401,Merchants!A:B,2,FALSE),"Not Found")</f>
        <v>Green Foods</v>
      </c>
      <c r="I401" s="9">
        <v>22918.17</v>
      </c>
      <c r="J401" s="3">
        <v>114.59</v>
      </c>
      <c r="K401" t="s">
        <v>58</v>
      </c>
      <c r="L401" t="s">
        <v>157</v>
      </c>
      <c r="M401" t="s">
        <v>111</v>
      </c>
      <c r="N401" t="s">
        <v>61</v>
      </c>
      <c r="O401" t="s">
        <v>62</v>
      </c>
      <c r="P401" t="str">
        <f t="shared" si="13"/>
        <v>High Value</v>
      </c>
      <c r="Q401" t="str">
        <f>VLOOKUP(G401,Merchants!A:C,3,TRUE)</f>
        <v>Grocery</v>
      </c>
    </row>
    <row r="402" spans="1:17" x14ac:dyDescent="0.3">
      <c r="A402" t="s">
        <v>876</v>
      </c>
      <c r="B402" s="2">
        <v>46173.747650462959</v>
      </c>
      <c r="C402" s="2" t="str">
        <f t="shared" si="12"/>
        <v>May-2026</v>
      </c>
      <c r="D402" t="s">
        <v>379</v>
      </c>
      <c r="E402" t="str">
        <f>VLOOKUP(D402,Customers!A:H,7,0)</f>
        <v>Student</v>
      </c>
      <c r="F402" t="s">
        <v>446</v>
      </c>
      <c r="G402" t="s">
        <v>233</v>
      </c>
      <c r="H402" t="str">
        <f>IFERROR(VLOOKUP(Transactions!G402,Merchants!A:B,2,FALSE),"Not Found")</f>
        <v>Urban Retail</v>
      </c>
      <c r="I402" s="9">
        <v>55826.58</v>
      </c>
      <c r="J402" s="3">
        <v>167.48</v>
      </c>
      <c r="K402" t="s">
        <v>96</v>
      </c>
      <c r="L402" t="s">
        <v>73</v>
      </c>
      <c r="M402" t="s">
        <v>111</v>
      </c>
      <c r="N402" t="s">
        <v>61</v>
      </c>
      <c r="O402" t="s">
        <v>91</v>
      </c>
      <c r="P402" t="str">
        <f t="shared" si="13"/>
        <v>High Value</v>
      </c>
      <c r="Q402" t="str">
        <f>VLOOKUP(G402,Merchants!A:C,3,TRUE)</f>
        <v>Utilities</v>
      </c>
    </row>
    <row r="403" spans="1:17" x14ac:dyDescent="0.3">
      <c r="A403" t="s">
        <v>877</v>
      </c>
      <c r="B403" s="2">
        <v>45978.066990740743</v>
      </c>
      <c r="C403" s="2" t="str">
        <f t="shared" si="12"/>
        <v>Nov-2025</v>
      </c>
      <c r="D403" t="s">
        <v>359</v>
      </c>
      <c r="E403" t="str">
        <f>VLOOKUP(D403,Customers!A:H,7,0)</f>
        <v>Salaried</v>
      </c>
      <c r="F403" t="s">
        <v>94</v>
      </c>
      <c r="G403" t="s">
        <v>117</v>
      </c>
      <c r="H403" t="str">
        <f>IFERROR(VLOOKUP(Transactions!G403,Merchants!A:B,2,FALSE),"Not Found")</f>
        <v>Prime Pay</v>
      </c>
      <c r="I403" s="9">
        <v>58713.14</v>
      </c>
      <c r="J403" s="3">
        <v>293.57</v>
      </c>
      <c r="K403" t="s">
        <v>72</v>
      </c>
      <c r="L403" t="s">
        <v>59</v>
      </c>
      <c r="M403" t="s">
        <v>60</v>
      </c>
      <c r="N403" t="s">
        <v>61</v>
      </c>
      <c r="O403" t="s">
        <v>81</v>
      </c>
      <c r="P403" t="str">
        <f t="shared" si="13"/>
        <v>High Value</v>
      </c>
      <c r="Q403" t="str">
        <f>VLOOKUP(G403,Merchants!A:C,3,TRUE)</f>
        <v>Travel</v>
      </c>
    </row>
    <row r="404" spans="1:17" x14ac:dyDescent="0.3">
      <c r="A404" t="s">
        <v>878</v>
      </c>
      <c r="B404" s="2">
        <v>46104.250277777777</v>
      </c>
      <c r="C404" s="2" t="str">
        <f t="shared" si="12"/>
        <v>Mar-2026</v>
      </c>
      <c r="D404" t="s">
        <v>194</v>
      </c>
      <c r="E404" t="str">
        <f>VLOOKUP(D404,Customers!A:H,7,0)</f>
        <v>Self-employed</v>
      </c>
      <c r="F404" t="s">
        <v>726</v>
      </c>
      <c r="G404" t="s">
        <v>85</v>
      </c>
      <c r="H404" t="str">
        <f>IFERROR(VLOOKUP(Transactions!G404,Merchants!A:B,2,FALSE),"Not Found")</f>
        <v>Metro Pay</v>
      </c>
      <c r="I404" s="9">
        <v>19001.02</v>
      </c>
      <c r="J404" s="3">
        <v>57</v>
      </c>
      <c r="K404" t="s">
        <v>96</v>
      </c>
      <c r="L404" t="s">
        <v>157</v>
      </c>
      <c r="M404" t="s">
        <v>86</v>
      </c>
      <c r="N404" t="s">
        <v>67</v>
      </c>
      <c r="O404" t="s">
        <v>62</v>
      </c>
      <c r="P404" t="str">
        <f t="shared" si="13"/>
        <v>High Value</v>
      </c>
      <c r="Q404" t="str">
        <f>VLOOKUP(G404,Merchants!A:C,3,TRUE)</f>
        <v>Travel</v>
      </c>
    </row>
    <row r="405" spans="1:17" x14ac:dyDescent="0.3">
      <c r="A405" t="s">
        <v>879</v>
      </c>
      <c r="B405" s="2">
        <v>45713.348703703698</v>
      </c>
      <c r="C405" s="2" t="str">
        <f t="shared" si="12"/>
        <v>Feb-2025</v>
      </c>
      <c r="D405" t="s">
        <v>411</v>
      </c>
      <c r="E405" t="str">
        <f>VLOOKUP(D405,Customers!A:H,7,0)</f>
        <v>Student</v>
      </c>
      <c r="F405" t="s">
        <v>797</v>
      </c>
      <c r="G405" t="s">
        <v>124</v>
      </c>
      <c r="H405" t="str">
        <f>IFERROR(VLOOKUP(Transactions!G405,Merchants!A:B,2,FALSE),"Not Found")</f>
        <v>Daily Services</v>
      </c>
      <c r="I405" s="9">
        <v>11070.17</v>
      </c>
      <c r="J405" s="3">
        <v>33.21</v>
      </c>
      <c r="K405" t="s">
        <v>96</v>
      </c>
      <c r="L405" t="s">
        <v>59</v>
      </c>
      <c r="M405" t="s">
        <v>86</v>
      </c>
      <c r="N405" t="s">
        <v>61</v>
      </c>
      <c r="O405" t="s">
        <v>81</v>
      </c>
      <c r="P405" t="str">
        <f t="shared" si="13"/>
        <v>High Value</v>
      </c>
      <c r="Q405" t="str">
        <f>VLOOKUP(G405,Merchants!A:C,3,TRUE)</f>
        <v>Food &amp; Dining</v>
      </c>
    </row>
    <row r="406" spans="1:17" x14ac:dyDescent="0.3">
      <c r="A406" t="s">
        <v>880</v>
      </c>
      <c r="B406" s="2">
        <v>46232.736064814817</v>
      </c>
      <c r="C406" s="2" t="str">
        <f t="shared" si="12"/>
        <v>Jul-2026</v>
      </c>
      <c r="D406" t="s">
        <v>93</v>
      </c>
      <c r="E406" t="str">
        <f>VLOOKUP(D406,Customers!A:H,7,0)</f>
        <v>Student</v>
      </c>
      <c r="F406" t="s">
        <v>114</v>
      </c>
      <c r="G406" t="s">
        <v>103</v>
      </c>
      <c r="H406" t="str">
        <f>IFERROR(VLOOKUP(Transactions!G406,Merchants!A:B,2,FALSE),"Not Found")</f>
        <v>Nova Pay</v>
      </c>
      <c r="I406" s="9">
        <v>27519.81</v>
      </c>
      <c r="J406" s="3">
        <v>82.56</v>
      </c>
      <c r="K406" t="s">
        <v>90</v>
      </c>
      <c r="L406" t="s">
        <v>59</v>
      </c>
      <c r="M406" t="s">
        <v>60</v>
      </c>
      <c r="N406" t="s">
        <v>67</v>
      </c>
      <c r="O406" t="s">
        <v>62</v>
      </c>
      <c r="P406" t="str">
        <f t="shared" si="13"/>
        <v>High Value</v>
      </c>
      <c r="Q406" t="str">
        <f>VLOOKUP(G406,Merchants!A:C,3,TRUE)</f>
        <v>Fashion</v>
      </c>
    </row>
    <row r="407" spans="1:17" x14ac:dyDescent="0.3">
      <c r="A407" t="s">
        <v>881</v>
      </c>
      <c r="B407" s="2">
        <v>46178.413831018523</v>
      </c>
      <c r="C407" s="2" t="str">
        <f t="shared" si="12"/>
        <v>Jun-2026</v>
      </c>
      <c r="D407" t="s">
        <v>217</v>
      </c>
      <c r="E407" t="str">
        <f>VLOOKUP(D407,Customers!A:H,7,0)</f>
        <v>Self-employed</v>
      </c>
      <c r="F407" t="s">
        <v>377</v>
      </c>
      <c r="G407" t="s">
        <v>229</v>
      </c>
      <c r="H407" t="str">
        <f>IFERROR(VLOOKUP(Transactions!G407,Merchants!A:B,2,FALSE),"Not Found")</f>
        <v>Urban Services</v>
      </c>
      <c r="I407" s="9">
        <v>33838.519999999997</v>
      </c>
      <c r="J407" s="3">
        <v>101.52</v>
      </c>
      <c r="K407" t="s">
        <v>133</v>
      </c>
      <c r="L407" t="s">
        <v>80</v>
      </c>
      <c r="M407" t="s">
        <v>111</v>
      </c>
      <c r="N407" t="s">
        <v>61</v>
      </c>
      <c r="O407" t="s">
        <v>91</v>
      </c>
      <c r="P407" t="str">
        <f t="shared" si="13"/>
        <v>High Value</v>
      </c>
      <c r="Q407" t="str">
        <f>VLOOKUP(G407,Merchants!A:C,3,TRUE)</f>
        <v>Fashion</v>
      </c>
    </row>
    <row r="408" spans="1:17" x14ac:dyDescent="0.3">
      <c r="A408" t="s">
        <v>882</v>
      </c>
      <c r="B408" s="2">
        <v>45910.755648148152</v>
      </c>
      <c r="C408" s="2" t="str">
        <f t="shared" si="12"/>
        <v>Sep-2025</v>
      </c>
      <c r="D408" t="s">
        <v>481</v>
      </c>
      <c r="E408" t="str">
        <f>VLOOKUP(D408,Customers!A:H,7,0)</f>
        <v>Student</v>
      </c>
      <c r="F408" t="s">
        <v>883</v>
      </c>
      <c r="G408" t="s">
        <v>128</v>
      </c>
      <c r="H408" t="str">
        <f>IFERROR(VLOOKUP(Transactions!G408,Merchants!A:B,2,FALSE),"Not Found")</f>
        <v>Blue Foods</v>
      </c>
      <c r="I408" s="9">
        <v>40646.82</v>
      </c>
      <c r="J408" s="3">
        <v>81.290000000000006</v>
      </c>
      <c r="K408" t="s">
        <v>58</v>
      </c>
      <c r="L408" t="s">
        <v>73</v>
      </c>
      <c r="M408" t="s">
        <v>74</v>
      </c>
      <c r="N408" t="s">
        <v>61</v>
      </c>
      <c r="O408" t="s">
        <v>91</v>
      </c>
      <c r="P408" t="str">
        <f t="shared" si="13"/>
        <v>High Value</v>
      </c>
      <c r="Q408" t="str">
        <f>VLOOKUP(G408,Merchants!A:C,3,TRUE)</f>
        <v>Food &amp; Dining</v>
      </c>
    </row>
    <row r="409" spans="1:17" x14ac:dyDescent="0.3">
      <c r="A409" t="s">
        <v>884</v>
      </c>
      <c r="B409" s="2">
        <v>45989.233275462961</v>
      </c>
      <c r="C409" s="2" t="str">
        <f t="shared" si="12"/>
        <v>Nov-2025</v>
      </c>
      <c r="D409" t="s">
        <v>736</v>
      </c>
      <c r="E409" t="str">
        <f>VLOOKUP(D409,Customers!A:H,7,0)</f>
        <v>Student</v>
      </c>
      <c r="F409" t="s">
        <v>583</v>
      </c>
      <c r="G409" t="s">
        <v>79</v>
      </c>
      <c r="H409" t="str">
        <f>IFERROR(VLOOKUP(Transactions!G409,Merchants!A:B,2,FALSE),"Not Found")</f>
        <v>Nova Retail</v>
      </c>
      <c r="I409" s="9">
        <v>1829.58</v>
      </c>
      <c r="J409" s="3">
        <v>18.3</v>
      </c>
      <c r="K409" t="s">
        <v>133</v>
      </c>
      <c r="L409" t="s">
        <v>59</v>
      </c>
      <c r="M409" t="s">
        <v>86</v>
      </c>
      <c r="N409" t="s">
        <v>61</v>
      </c>
      <c r="O409" t="s">
        <v>91</v>
      </c>
      <c r="P409" t="str">
        <f t="shared" si="13"/>
        <v>Standard</v>
      </c>
      <c r="Q409" t="str">
        <f>VLOOKUP(G409,Merchants!A:C,3,TRUE)</f>
        <v>Grocery</v>
      </c>
    </row>
    <row r="410" spans="1:17" x14ac:dyDescent="0.3">
      <c r="A410" t="s">
        <v>885</v>
      </c>
      <c r="B410" s="2">
        <v>46295.687361111108</v>
      </c>
      <c r="C410" s="2" t="str">
        <f t="shared" si="12"/>
        <v>Sep-2026</v>
      </c>
      <c r="D410" t="s">
        <v>491</v>
      </c>
      <c r="E410" t="str">
        <f>VLOOKUP(D410,Customers!A:H,7,0)</f>
        <v>Student</v>
      </c>
      <c r="F410" t="s">
        <v>886</v>
      </c>
      <c r="G410" t="s">
        <v>607</v>
      </c>
      <c r="H410" t="str">
        <f>IFERROR(VLOOKUP(Transactions!G410,Merchants!A:B,2,FALSE),"Not Found")</f>
        <v>Daily Digital</v>
      </c>
      <c r="I410" s="9">
        <v>19562.439999999999</v>
      </c>
      <c r="J410" s="3">
        <v>58.69</v>
      </c>
      <c r="K410" t="s">
        <v>72</v>
      </c>
      <c r="L410" t="s">
        <v>80</v>
      </c>
      <c r="M410" t="s">
        <v>60</v>
      </c>
      <c r="N410" t="s">
        <v>67</v>
      </c>
      <c r="O410" t="s">
        <v>91</v>
      </c>
      <c r="P410" t="str">
        <f t="shared" si="13"/>
        <v>High Value</v>
      </c>
      <c r="Q410" t="str">
        <f>VLOOKUP(G410,Merchants!A:C,3,TRUE)</f>
        <v>Healthcare</v>
      </c>
    </row>
    <row r="411" spans="1:17" x14ac:dyDescent="0.3">
      <c r="A411" t="s">
        <v>887</v>
      </c>
      <c r="B411" s="2">
        <v>46218.91369212963</v>
      </c>
      <c r="C411" s="2" t="str">
        <f t="shared" si="12"/>
        <v>Jul-2026</v>
      </c>
      <c r="D411" t="s">
        <v>888</v>
      </c>
      <c r="E411" t="str">
        <f>VLOOKUP(D411,Customers!A:H,7,0)</f>
        <v>Business Owner</v>
      </c>
      <c r="F411" t="s">
        <v>875</v>
      </c>
      <c r="G411" t="s">
        <v>198</v>
      </c>
      <c r="H411" t="str">
        <f>IFERROR(VLOOKUP(Transactions!G411,Merchants!A:B,2,FALSE),"Not Found")</f>
        <v>Metro Services</v>
      </c>
      <c r="I411" s="9">
        <v>22945.32</v>
      </c>
      <c r="J411" s="3">
        <v>68.84</v>
      </c>
      <c r="K411" t="s">
        <v>58</v>
      </c>
      <c r="L411" t="s">
        <v>59</v>
      </c>
      <c r="M411" t="s">
        <v>86</v>
      </c>
      <c r="N411" t="s">
        <v>67</v>
      </c>
      <c r="O411" t="s">
        <v>62</v>
      </c>
      <c r="P411" t="str">
        <f t="shared" si="13"/>
        <v>High Value</v>
      </c>
      <c r="Q411" t="str">
        <f>VLOOKUP(G411,Merchants!A:C,3,TRUE)</f>
        <v>Travel</v>
      </c>
    </row>
    <row r="412" spans="1:17" x14ac:dyDescent="0.3">
      <c r="A412" t="s">
        <v>889</v>
      </c>
      <c r="B412" s="2">
        <v>46055.610439814824</v>
      </c>
      <c r="C412" s="2" t="str">
        <f t="shared" si="12"/>
        <v>Feb-2026</v>
      </c>
      <c r="D412" t="s">
        <v>159</v>
      </c>
      <c r="E412" t="str">
        <f>VLOOKUP(D412,Customers!A:H,7,0)</f>
        <v>Business Owner</v>
      </c>
      <c r="F412" t="s">
        <v>528</v>
      </c>
      <c r="G412" t="s">
        <v>318</v>
      </c>
      <c r="H412" t="str">
        <f>IFERROR(VLOOKUP(Transactions!G412,Merchants!A:B,2,FALSE),"Not Found")</f>
        <v>Urban Digital</v>
      </c>
      <c r="I412" s="9">
        <v>17167.66</v>
      </c>
      <c r="J412" s="3">
        <v>51.5</v>
      </c>
      <c r="K412" t="s">
        <v>96</v>
      </c>
      <c r="L412" t="s">
        <v>80</v>
      </c>
      <c r="M412" t="s">
        <v>60</v>
      </c>
      <c r="N412" t="s">
        <v>67</v>
      </c>
      <c r="O412" t="s">
        <v>81</v>
      </c>
      <c r="P412" t="str">
        <f t="shared" si="13"/>
        <v>High Value</v>
      </c>
      <c r="Q412" t="str">
        <f>VLOOKUP(G412,Merchants!A:C,3,TRUE)</f>
        <v>Utilities</v>
      </c>
    </row>
    <row r="413" spans="1:17" x14ac:dyDescent="0.3">
      <c r="A413" t="s">
        <v>890</v>
      </c>
      <c r="B413" s="2">
        <v>45756.557442129633</v>
      </c>
      <c r="C413" s="2" t="str">
        <f t="shared" si="12"/>
        <v>Apr-2025</v>
      </c>
      <c r="D413" t="s">
        <v>268</v>
      </c>
      <c r="E413" t="str">
        <f>VLOOKUP(D413,Customers!A:H,7,0)</f>
        <v>Student</v>
      </c>
      <c r="F413" t="s">
        <v>296</v>
      </c>
      <c r="G413" t="s">
        <v>71</v>
      </c>
      <c r="H413" t="str">
        <f>IFERROR(VLOOKUP(Transactions!G413,Merchants!A:B,2,FALSE),"Not Found")</f>
        <v>Metro Pay</v>
      </c>
      <c r="I413" s="9">
        <v>30807.93</v>
      </c>
      <c r="J413" s="3">
        <v>308.08</v>
      </c>
      <c r="K413" t="s">
        <v>133</v>
      </c>
      <c r="L413" t="s">
        <v>59</v>
      </c>
      <c r="M413" t="s">
        <v>74</v>
      </c>
      <c r="N413" t="s">
        <v>67</v>
      </c>
      <c r="O413" t="s">
        <v>75</v>
      </c>
      <c r="P413" t="str">
        <f t="shared" si="13"/>
        <v>High Value</v>
      </c>
      <c r="Q413" t="str">
        <f>VLOOKUP(G413,Merchants!A:C,3,TRUE)</f>
        <v>Fashion</v>
      </c>
    </row>
    <row r="414" spans="1:17" x14ac:dyDescent="0.3">
      <c r="A414" t="s">
        <v>891</v>
      </c>
      <c r="B414" s="2">
        <v>46035.931250000001</v>
      </c>
      <c r="C414" s="2" t="str">
        <f t="shared" si="12"/>
        <v>Jan-2026</v>
      </c>
      <c r="D414" t="s">
        <v>616</v>
      </c>
      <c r="E414" t="str">
        <f>VLOOKUP(D414,Customers!A:H,7,0)</f>
        <v>Business Owner</v>
      </c>
      <c r="F414" t="s">
        <v>299</v>
      </c>
      <c r="G414" t="s">
        <v>201</v>
      </c>
      <c r="H414" t="str">
        <f>IFERROR(VLOOKUP(Transactions!G414,Merchants!A:B,2,FALSE),"Not Found")</f>
        <v>Urban Stores</v>
      </c>
      <c r="I414" s="9">
        <v>11262.71</v>
      </c>
      <c r="J414" s="3">
        <v>22.53</v>
      </c>
      <c r="K414" t="s">
        <v>96</v>
      </c>
      <c r="L414" t="s">
        <v>80</v>
      </c>
      <c r="M414" t="s">
        <v>111</v>
      </c>
      <c r="N414" t="s">
        <v>67</v>
      </c>
      <c r="O414" t="s">
        <v>75</v>
      </c>
      <c r="P414" t="str">
        <f t="shared" si="13"/>
        <v>High Value</v>
      </c>
      <c r="Q414" t="str">
        <f>VLOOKUP(G414,Merchants!A:C,3,TRUE)</f>
        <v>Entertainment</v>
      </c>
    </row>
    <row r="415" spans="1:17" x14ac:dyDescent="0.3">
      <c r="A415" t="s">
        <v>892</v>
      </c>
      <c r="B415" s="2">
        <v>46197.955057870371</v>
      </c>
      <c r="C415" s="2" t="str">
        <f t="shared" si="12"/>
        <v>Jun-2026</v>
      </c>
      <c r="D415" t="s">
        <v>235</v>
      </c>
      <c r="E415" t="str">
        <f>VLOOKUP(D415,Customers!A:H,7,0)</f>
        <v>Student</v>
      </c>
      <c r="F415" t="s">
        <v>764</v>
      </c>
      <c r="G415" t="s">
        <v>277</v>
      </c>
      <c r="H415" t="str">
        <f>IFERROR(VLOOKUP(Transactions!G415,Merchants!A:B,2,FALSE),"Not Found")</f>
        <v>Daily Digital</v>
      </c>
      <c r="I415" s="9">
        <v>38868.800000000003</v>
      </c>
      <c r="J415" s="3">
        <v>388.69</v>
      </c>
      <c r="K415" t="s">
        <v>72</v>
      </c>
      <c r="L415" t="s">
        <v>59</v>
      </c>
      <c r="M415" t="s">
        <v>111</v>
      </c>
      <c r="N415" t="s">
        <v>67</v>
      </c>
      <c r="O415" t="s">
        <v>81</v>
      </c>
      <c r="P415" t="str">
        <f t="shared" si="13"/>
        <v>High Value</v>
      </c>
      <c r="Q415" t="str">
        <f>VLOOKUP(G415,Merchants!A:C,3,TRUE)</f>
        <v>Grocery</v>
      </c>
    </row>
    <row r="416" spans="1:17" x14ac:dyDescent="0.3">
      <c r="A416" t="s">
        <v>893</v>
      </c>
      <c r="B416" s="2">
        <v>45912.793541666673</v>
      </c>
      <c r="C416" s="2" t="str">
        <f t="shared" si="12"/>
        <v>Sep-2025</v>
      </c>
      <c r="D416" t="s">
        <v>639</v>
      </c>
      <c r="E416" t="str">
        <f>VLOOKUP(D416,Customers!A:H,7,0)</f>
        <v>Self-employed</v>
      </c>
      <c r="F416" t="s">
        <v>299</v>
      </c>
      <c r="G416" t="s">
        <v>244</v>
      </c>
      <c r="H416" t="str">
        <f>IFERROR(VLOOKUP(Transactions!G416,Merchants!A:B,2,FALSE),"Not Found")</f>
        <v>Blue Hub</v>
      </c>
      <c r="I416" s="9">
        <v>25721.14</v>
      </c>
      <c r="J416" s="3">
        <v>51.44</v>
      </c>
      <c r="K416" t="s">
        <v>133</v>
      </c>
      <c r="L416" t="s">
        <v>59</v>
      </c>
      <c r="M416" t="s">
        <v>74</v>
      </c>
      <c r="N416" t="s">
        <v>61</v>
      </c>
      <c r="O416" t="s">
        <v>91</v>
      </c>
      <c r="P416" t="str">
        <f t="shared" si="13"/>
        <v>High Value</v>
      </c>
      <c r="Q416" t="str">
        <f>VLOOKUP(G416,Merchants!A:C,3,TRUE)</f>
        <v>Healthcare</v>
      </c>
    </row>
    <row r="417" spans="1:17" x14ac:dyDescent="0.3">
      <c r="A417" t="s">
        <v>894</v>
      </c>
      <c r="B417" s="2">
        <v>46133.862395833326</v>
      </c>
      <c r="C417" s="2" t="str">
        <f t="shared" si="12"/>
        <v>Apr-2026</v>
      </c>
      <c r="D417" t="s">
        <v>895</v>
      </c>
      <c r="E417" t="str">
        <f>VLOOKUP(D417,Customers!A:H,7,0)</f>
        <v>Business Owner</v>
      </c>
      <c r="F417" t="s">
        <v>722</v>
      </c>
      <c r="G417" t="s">
        <v>124</v>
      </c>
      <c r="H417" t="str">
        <f>IFERROR(VLOOKUP(Transactions!G417,Merchants!A:B,2,FALSE),"Not Found")</f>
        <v>Daily Services</v>
      </c>
      <c r="I417" s="9">
        <v>48788.2</v>
      </c>
      <c r="J417" s="3">
        <v>97.58</v>
      </c>
      <c r="K417" t="s">
        <v>96</v>
      </c>
      <c r="L417" t="s">
        <v>59</v>
      </c>
      <c r="M417" t="s">
        <v>111</v>
      </c>
      <c r="N417" t="s">
        <v>67</v>
      </c>
      <c r="O417" t="s">
        <v>75</v>
      </c>
      <c r="P417" t="str">
        <f t="shared" si="13"/>
        <v>High Value</v>
      </c>
      <c r="Q417" t="str">
        <f>VLOOKUP(G417,Merchants!A:C,3,TRUE)</f>
        <v>Food &amp; Dining</v>
      </c>
    </row>
    <row r="418" spans="1:17" x14ac:dyDescent="0.3">
      <c r="A418" t="s">
        <v>896</v>
      </c>
      <c r="B418" s="2">
        <v>45704.126354166663</v>
      </c>
      <c r="C418" s="2" t="str">
        <f t="shared" si="12"/>
        <v>Feb-2025</v>
      </c>
      <c r="D418" t="s">
        <v>897</v>
      </c>
      <c r="E418" t="str">
        <f>VLOOKUP(D418,Customers!A:H,7,0)</f>
        <v>Student</v>
      </c>
      <c r="F418" t="s">
        <v>321</v>
      </c>
      <c r="G418" t="s">
        <v>554</v>
      </c>
      <c r="H418" t="str">
        <f>IFERROR(VLOOKUP(Transactions!G418,Merchants!A:B,2,FALSE),"Not Found")</f>
        <v>Green Pay</v>
      </c>
      <c r="I418" s="9">
        <v>25033.47</v>
      </c>
      <c r="J418" s="3">
        <v>125.17</v>
      </c>
      <c r="K418" t="s">
        <v>96</v>
      </c>
      <c r="L418" t="s">
        <v>80</v>
      </c>
      <c r="M418" t="s">
        <v>60</v>
      </c>
      <c r="N418" t="s">
        <v>61</v>
      </c>
      <c r="O418" t="s">
        <v>62</v>
      </c>
      <c r="P418" t="str">
        <f t="shared" si="13"/>
        <v>High Value</v>
      </c>
      <c r="Q418" t="str">
        <f>VLOOKUP(G418,Merchants!A:C,3,TRUE)</f>
        <v>Utilities</v>
      </c>
    </row>
    <row r="419" spans="1:17" x14ac:dyDescent="0.3">
      <c r="A419" t="s">
        <v>898</v>
      </c>
      <c r="B419" s="2">
        <v>45874.280775462961</v>
      </c>
      <c r="C419" s="2" t="str">
        <f t="shared" si="12"/>
        <v>Aug-2025</v>
      </c>
      <c r="D419" t="s">
        <v>401</v>
      </c>
      <c r="E419" t="str">
        <f>VLOOKUP(D419,Customers!A:H,7,0)</f>
        <v>Business Owner</v>
      </c>
      <c r="F419" t="s">
        <v>185</v>
      </c>
      <c r="G419" t="s">
        <v>117</v>
      </c>
      <c r="H419" t="str">
        <f>IFERROR(VLOOKUP(Transactions!G419,Merchants!A:B,2,FALSE),"Not Found")</f>
        <v>Prime Pay</v>
      </c>
      <c r="I419" s="9">
        <v>4785.41</v>
      </c>
      <c r="J419" s="3">
        <v>23.93</v>
      </c>
      <c r="K419" t="s">
        <v>133</v>
      </c>
      <c r="L419" t="s">
        <v>157</v>
      </c>
      <c r="M419" t="s">
        <v>86</v>
      </c>
      <c r="N419" t="s">
        <v>67</v>
      </c>
      <c r="O419" t="s">
        <v>75</v>
      </c>
      <c r="P419" t="str">
        <f t="shared" si="13"/>
        <v>High Value</v>
      </c>
      <c r="Q419" t="str">
        <f>VLOOKUP(G419,Merchants!A:C,3,TRUE)</f>
        <v>Travel</v>
      </c>
    </row>
    <row r="420" spans="1:17" x14ac:dyDescent="0.3">
      <c r="A420" t="s">
        <v>899</v>
      </c>
      <c r="B420" s="2">
        <v>45777.020173611112</v>
      </c>
      <c r="C420" s="2" t="str">
        <f t="shared" si="12"/>
        <v>Apr-2025</v>
      </c>
      <c r="D420" t="s">
        <v>620</v>
      </c>
      <c r="E420" t="str">
        <f>VLOOKUP(D420,Customers!A:H,7,0)</f>
        <v>Salaried</v>
      </c>
      <c r="F420" t="s">
        <v>875</v>
      </c>
      <c r="G420" t="s">
        <v>382</v>
      </c>
      <c r="H420" t="str">
        <f>IFERROR(VLOOKUP(Transactions!G420,Merchants!A:B,2,FALSE),"Not Found")</f>
        <v>Fresh Foods</v>
      </c>
      <c r="I420" s="9">
        <v>10386.950000000001</v>
      </c>
      <c r="J420" s="3">
        <v>103.87</v>
      </c>
      <c r="K420" t="s">
        <v>96</v>
      </c>
      <c r="L420" t="s">
        <v>59</v>
      </c>
      <c r="M420" t="s">
        <v>60</v>
      </c>
      <c r="N420" t="s">
        <v>61</v>
      </c>
      <c r="O420" t="s">
        <v>75</v>
      </c>
      <c r="P420" t="str">
        <f t="shared" si="13"/>
        <v>High Value</v>
      </c>
      <c r="Q420" t="str">
        <f>VLOOKUP(G420,Merchants!A:C,3,TRUE)</f>
        <v>Healthcare</v>
      </c>
    </row>
    <row r="421" spans="1:17" x14ac:dyDescent="0.3">
      <c r="A421" t="s">
        <v>900</v>
      </c>
      <c r="B421" s="2">
        <v>45967.132939814823</v>
      </c>
      <c r="C421" s="2" t="str">
        <f t="shared" si="12"/>
        <v>Nov-2025</v>
      </c>
      <c r="D421" t="s">
        <v>343</v>
      </c>
      <c r="E421" t="str">
        <f>VLOOKUP(D421,Customers!A:H,7,0)</f>
        <v>Student</v>
      </c>
      <c r="F421" t="s">
        <v>139</v>
      </c>
      <c r="G421" t="s">
        <v>225</v>
      </c>
      <c r="H421" t="str">
        <f>IFERROR(VLOOKUP(Transactions!G421,Merchants!A:B,2,FALSE),"Not Found")</f>
        <v>Quick Retail</v>
      </c>
      <c r="I421" s="9">
        <v>7592.86</v>
      </c>
      <c r="J421" s="3">
        <v>15.19</v>
      </c>
      <c r="K421" t="s">
        <v>58</v>
      </c>
      <c r="L421" t="s">
        <v>59</v>
      </c>
      <c r="M421" t="s">
        <v>111</v>
      </c>
      <c r="N421" t="s">
        <v>61</v>
      </c>
      <c r="O421" t="s">
        <v>62</v>
      </c>
      <c r="P421" t="str">
        <f t="shared" si="13"/>
        <v>High Value</v>
      </c>
      <c r="Q421" t="str">
        <f>VLOOKUP(G421,Merchants!A:C,3,TRUE)</f>
        <v>Grocery</v>
      </c>
    </row>
    <row r="422" spans="1:17" x14ac:dyDescent="0.3">
      <c r="A422" t="s">
        <v>901</v>
      </c>
      <c r="B422" s="2">
        <v>45905.661099537043</v>
      </c>
      <c r="C422" s="2" t="str">
        <f t="shared" si="12"/>
        <v>Sep-2025</v>
      </c>
      <c r="D422" t="s">
        <v>379</v>
      </c>
      <c r="E422" t="str">
        <f>VLOOKUP(D422,Customers!A:H,7,0)</f>
        <v>Student</v>
      </c>
      <c r="F422" t="s">
        <v>902</v>
      </c>
      <c r="G422" t="s">
        <v>554</v>
      </c>
      <c r="H422" t="str">
        <f>IFERROR(VLOOKUP(Transactions!G422,Merchants!A:B,2,FALSE),"Not Found")</f>
        <v>Green Pay</v>
      </c>
      <c r="I422" s="9">
        <v>50541.17</v>
      </c>
      <c r="J422" s="3">
        <v>151.62</v>
      </c>
      <c r="K422" t="s">
        <v>90</v>
      </c>
      <c r="L422" t="s">
        <v>73</v>
      </c>
      <c r="M422" t="s">
        <v>74</v>
      </c>
      <c r="N422" t="s">
        <v>61</v>
      </c>
      <c r="O422" t="s">
        <v>91</v>
      </c>
      <c r="P422" t="str">
        <f t="shared" si="13"/>
        <v>High Value</v>
      </c>
      <c r="Q422" t="str">
        <f>VLOOKUP(G422,Merchants!A:C,3,TRUE)</f>
        <v>Utilities</v>
      </c>
    </row>
    <row r="423" spans="1:17" x14ac:dyDescent="0.3">
      <c r="A423" t="s">
        <v>903</v>
      </c>
      <c r="B423" s="2">
        <v>45777.251979166656</v>
      </c>
      <c r="C423" s="2" t="str">
        <f t="shared" si="12"/>
        <v>Apr-2025</v>
      </c>
      <c r="D423" t="s">
        <v>527</v>
      </c>
      <c r="E423" t="str">
        <f>VLOOKUP(D423,Customers!A:H,7,0)</f>
        <v>Student</v>
      </c>
      <c r="F423" t="s">
        <v>904</v>
      </c>
      <c r="G423" t="s">
        <v>783</v>
      </c>
      <c r="H423" t="str">
        <f>IFERROR(VLOOKUP(Transactions!G423,Merchants!A:B,2,FALSE),"Not Found")</f>
        <v>Daily Stores</v>
      </c>
      <c r="I423" s="9">
        <v>54154.68</v>
      </c>
      <c r="J423" s="3">
        <v>541.54999999999995</v>
      </c>
      <c r="K423" t="s">
        <v>96</v>
      </c>
      <c r="L423" t="s">
        <v>80</v>
      </c>
      <c r="M423" t="s">
        <v>111</v>
      </c>
      <c r="N423" t="s">
        <v>67</v>
      </c>
      <c r="O423" t="s">
        <v>81</v>
      </c>
      <c r="P423" t="str">
        <f t="shared" si="13"/>
        <v>High Value</v>
      </c>
      <c r="Q423" t="str">
        <f>VLOOKUP(G423,Merchants!A:C,3,TRUE)</f>
        <v>Entertainment</v>
      </c>
    </row>
    <row r="424" spans="1:17" x14ac:dyDescent="0.3">
      <c r="A424" t="s">
        <v>905</v>
      </c>
      <c r="B424" s="2">
        <v>46241.594270833331</v>
      </c>
      <c r="C424" s="2" t="str">
        <f t="shared" si="12"/>
        <v>Aug-2026</v>
      </c>
      <c r="D424" t="s">
        <v>368</v>
      </c>
      <c r="E424" t="str">
        <f>VLOOKUP(D424,Customers!A:H,7,0)</f>
        <v>Student</v>
      </c>
      <c r="F424" t="s">
        <v>906</v>
      </c>
      <c r="G424" t="s">
        <v>318</v>
      </c>
      <c r="H424" t="str">
        <f>IFERROR(VLOOKUP(Transactions!G424,Merchants!A:B,2,FALSE),"Not Found")</f>
        <v>Urban Digital</v>
      </c>
      <c r="I424" s="9">
        <v>3150.24</v>
      </c>
      <c r="J424" s="3">
        <v>31.5</v>
      </c>
      <c r="K424" t="s">
        <v>133</v>
      </c>
      <c r="L424" t="s">
        <v>59</v>
      </c>
      <c r="M424" t="s">
        <v>60</v>
      </c>
      <c r="N424" t="s">
        <v>67</v>
      </c>
      <c r="O424" t="s">
        <v>75</v>
      </c>
      <c r="P424" t="str">
        <f t="shared" si="13"/>
        <v>High Value</v>
      </c>
      <c r="Q424" t="str">
        <f>VLOOKUP(G424,Merchants!A:C,3,TRUE)</f>
        <v>Utilities</v>
      </c>
    </row>
    <row r="425" spans="1:17" x14ac:dyDescent="0.3">
      <c r="A425" t="s">
        <v>907</v>
      </c>
      <c r="B425" s="2">
        <v>46067.737430555557</v>
      </c>
      <c r="C425" s="2" t="str">
        <f t="shared" si="12"/>
        <v>Feb-2026</v>
      </c>
      <c r="D425" t="s">
        <v>614</v>
      </c>
      <c r="E425" t="str">
        <f>VLOOKUP(D425,Customers!A:H,7,0)</f>
        <v>Self-employed</v>
      </c>
      <c r="F425" t="s">
        <v>191</v>
      </c>
      <c r="G425" t="s">
        <v>607</v>
      </c>
      <c r="H425" t="str">
        <f>IFERROR(VLOOKUP(Transactions!G425,Merchants!A:B,2,FALSE),"Not Found")</f>
        <v>Daily Digital</v>
      </c>
      <c r="I425" s="9">
        <v>30850.01</v>
      </c>
      <c r="J425" s="3">
        <v>308.5</v>
      </c>
      <c r="K425" t="s">
        <v>133</v>
      </c>
      <c r="L425" t="s">
        <v>80</v>
      </c>
      <c r="M425" t="s">
        <v>86</v>
      </c>
      <c r="N425" t="s">
        <v>61</v>
      </c>
      <c r="O425" t="s">
        <v>81</v>
      </c>
      <c r="P425" t="str">
        <f t="shared" si="13"/>
        <v>High Value</v>
      </c>
      <c r="Q425" t="str">
        <f>VLOOKUP(G425,Merchants!A:C,3,TRUE)</f>
        <v>Healthcare</v>
      </c>
    </row>
    <row r="426" spans="1:17" x14ac:dyDescent="0.3">
      <c r="A426" t="s">
        <v>908</v>
      </c>
      <c r="B426" s="2">
        <v>46224.096342592587</v>
      </c>
      <c r="C426" s="2" t="str">
        <f t="shared" si="12"/>
        <v>Jul-2026</v>
      </c>
      <c r="D426" t="s">
        <v>419</v>
      </c>
      <c r="E426" t="str">
        <f>VLOOKUP(D426,Customers!A:H,7,0)</f>
        <v>Student</v>
      </c>
      <c r="F426" t="s">
        <v>909</v>
      </c>
      <c r="G426" t="s">
        <v>208</v>
      </c>
      <c r="H426" t="str">
        <f>IFERROR(VLOOKUP(Transactions!G426,Merchants!A:B,2,FALSE),"Not Found")</f>
        <v>Blue Retail</v>
      </c>
      <c r="I426" s="9">
        <v>16144.15</v>
      </c>
      <c r="J426" s="3">
        <v>161.44</v>
      </c>
      <c r="K426" t="s">
        <v>72</v>
      </c>
      <c r="L426" t="s">
        <v>80</v>
      </c>
      <c r="M426" t="s">
        <v>74</v>
      </c>
      <c r="N426" t="s">
        <v>61</v>
      </c>
      <c r="O426" t="s">
        <v>91</v>
      </c>
      <c r="P426" t="str">
        <f t="shared" si="13"/>
        <v>High Value</v>
      </c>
      <c r="Q426" t="str">
        <f>VLOOKUP(G426,Merchants!A:C,3,TRUE)</f>
        <v>Healthcare</v>
      </c>
    </row>
    <row r="427" spans="1:17" x14ac:dyDescent="0.3">
      <c r="A427" t="s">
        <v>910</v>
      </c>
      <c r="B427" s="2">
        <v>45823.436921296299</v>
      </c>
      <c r="C427" s="2" t="str">
        <f t="shared" si="12"/>
        <v>Jun-2025</v>
      </c>
      <c r="D427" t="s">
        <v>614</v>
      </c>
      <c r="E427" t="str">
        <f>VLOOKUP(D427,Customers!A:H,7,0)</f>
        <v>Self-employed</v>
      </c>
      <c r="F427" t="s">
        <v>131</v>
      </c>
      <c r="G427" t="s">
        <v>322</v>
      </c>
      <c r="H427" t="str">
        <f>IFERROR(VLOOKUP(Transactions!G427,Merchants!A:B,2,FALSE),"Not Found")</f>
        <v>Metro Pay</v>
      </c>
      <c r="I427" s="9">
        <v>43599.93</v>
      </c>
      <c r="J427" s="3">
        <v>436</v>
      </c>
      <c r="K427" t="s">
        <v>133</v>
      </c>
      <c r="L427" t="s">
        <v>59</v>
      </c>
      <c r="M427" t="s">
        <v>60</v>
      </c>
      <c r="N427" t="s">
        <v>61</v>
      </c>
      <c r="O427" t="s">
        <v>62</v>
      </c>
      <c r="P427" t="str">
        <f t="shared" si="13"/>
        <v>High Value</v>
      </c>
      <c r="Q427" t="str">
        <f>VLOOKUP(G427,Merchants!A:C,3,TRUE)</f>
        <v>Grocery</v>
      </c>
    </row>
    <row r="428" spans="1:17" x14ac:dyDescent="0.3">
      <c r="A428" t="s">
        <v>911</v>
      </c>
      <c r="B428" s="2">
        <v>45958.592199074083</v>
      </c>
      <c r="C428" s="2" t="str">
        <f t="shared" si="12"/>
        <v>Oct-2025</v>
      </c>
      <c r="D428" t="s">
        <v>324</v>
      </c>
      <c r="E428" t="str">
        <f>VLOOKUP(D428,Customers!A:H,7,0)</f>
        <v>Business Owner</v>
      </c>
      <c r="F428" t="s">
        <v>525</v>
      </c>
      <c r="G428" t="s">
        <v>95</v>
      </c>
      <c r="H428" t="str">
        <f>IFERROR(VLOOKUP(Transactions!G428,Merchants!A:B,2,FALSE),"Not Found")</f>
        <v>Quick Pay</v>
      </c>
      <c r="I428" s="9">
        <v>57592.22</v>
      </c>
      <c r="J428" s="3">
        <v>287.95999999999998</v>
      </c>
      <c r="K428" t="s">
        <v>133</v>
      </c>
      <c r="L428" t="s">
        <v>73</v>
      </c>
      <c r="M428" t="s">
        <v>111</v>
      </c>
      <c r="N428" t="s">
        <v>61</v>
      </c>
      <c r="O428" t="s">
        <v>91</v>
      </c>
      <c r="P428" t="str">
        <f t="shared" si="13"/>
        <v>High Value</v>
      </c>
      <c r="Q428" t="str">
        <f>VLOOKUP(G428,Merchants!A:C,3,TRUE)</f>
        <v>Healthcare</v>
      </c>
    </row>
    <row r="429" spans="1:17" x14ac:dyDescent="0.3">
      <c r="A429" t="s">
        <v>912</v>
      </c>
      <c r="B429" s="2">
        <v>46152.195833333331</v>
      </c>
      <c r="C429" s="2" t="str">
        <f t="shared" si="12"/>
        <v>May-2026</v>
      </c>
      <c r="D429" t="s">
        <v>824</v>
      </c>
      <c r="E429" t="str">
        <f>VLOOKUP(D429,Customers!A:H,7,0)</f>
        <v>Self-employed</v>
      </c>
      <c r="F429" t="s">
        <v>561</v>
      </c>
      <c r="G429" t="s">
        <v>66</v>
      </c>
      <c r="H429" t="str">
        <f>IFERROR(VLOOKUP(Transactions!G429,Merchants!A:B,2,FALSE),"Not Found")</f>
        <v>Prime Digital</v>
      </c>
      <c r="I429" s="9">
        <v>10480.14</v>
      </c>
      <c r="J429" s="3">
        <v>104.8</v>
      </c>
      <c r="K429" t="s">
        <v>96</v>
      </c>
      <c r="L429" t="s">
        <v>59</v>
      </c>
      <c r="M429" t="s">
        <v>60</v>
      </c>
      <c r="N429" t="s">
        <v>67</v>
      </c>
      <c r="O429" t="s">
        <v>62</v>
      </c>
      <c r="P429" t="str">
        <f t="shared" si="13"/>
        <v>High Value</v>
      </c>
      <c r="Q429" t="str">
        <f>VLOOKUP(G429,Merchants!A:C,3,TRUE)</f>
        <v>Fuel</v>
      </c>
    </row>
    <row r="430" spans="1:17" x14ac:dyDescent="0.3">
      <c r="A430" t="s">
        <v>913</v>
      </c>
      <c r="B430" s="2">
        <v>46228.07136574074</v>
      </c>
      <c r="C430" s="2" t="str">
        <f t="shared" si="12"/>
        <v>Jul-2026</v>
      </c>
      <c r="D430" t="s">
        <v>914</v>
      </c>
      <c r="E430" t="str">
        <f>VLOOKUP(D430,Customers!A:H,7,0)</f>
        <v>Student</v>
      </c>
      <c r="F430" t="s">
        <v>915</v>
      </c>
      <c r="G430" t="s">
        <v>95</v>
      </c>
      <c r="H430" t="str">
        <f>IFERROR(VLOOKUP(Transactions!G430,Merchants!A:B,2,FALSE),"Not Found")</f>
        <v>Quick Pay</v>
      </c>
      <c r="I430" s="9">
        <v>59955.75</v>
      </c>
      <c r="J430" s="3">
        <v>299.77999999999997</v>
      </c>
      <c r="K430" t="s">
        <v>90</v>
      </c>
      <c r="L430" t="s">
        <v>59</v>
      </c>
      <c r="M430" t="s">
        <v>86</v>
      </c>
      <c r="N430" t="s">
        <v>67</v>
      </c>
      <c r="O430" t="s">
        <v>81</v>
      </c>
      <c r="P430" t="str">
        <f t="shared" si="13"/>
        <v>High Value</v>
      </c>
      <c r="Q430" t="str">
        <f>VLOOKUP(G430,Merchants!A:C,3,TRUE)</f>
        <v>Healthcare</v>
      </c>
    </row>
    <row r="431" spans="1:17" x14ac:dyDescent="0.3">
      <c r="A431" t="s">
        <v>916</v>
      </c>
      <c r="B431" s="2">
        <v>46098.172893518517</v>
      </c>
      <c r="C431" s="2" t="str">
        <f t="shared" si="12"/>
        <v>Mar-2026</v>
      </c>
      <c r="D431" t="s">
        <v>527</v>
      </c>
      <c r="E431" t="str">
        <f>VLOOKUP(D431,Customers!A:H,7,0)</f>
        <v>Student</v>
      </c>
      <c r="F431" t="s">
        <v>315</v>
      </c>
      <c r="G431" t="s">
        <v>201</v>
      </c>
      <c r="H431" t="str">
        <f>IFERROR(VLOOKUP(Transactions!G431,Merchants!A:B,2,FALSE),"Not Found")</f>
        <v>Urban Stores</v>
      </c>
      <c r="I431" s="9">
        <v>37092.019999999997</v>
      </c>
      <c r="J431" s="3">
        <v>111.28</v>
      </c>
      <c r="K431" t="s">
        <v>72</v>
      </c>
      <c r="L431" t="s">
        <v>59</v>
      </c>
      <c r="M431" t="s">
        <v>86</v>
      </c>
      <c r="N431" t="s">
        <v>61</v>
      </c>
      <c r="O431" t="s">
        <v>62</v>
      </c>
      <c r="P431" t="str">
        <f t="shared" si="13"/>
        <v>High Value</v>
      </c>
      <c r="Q431" t="str">
        <f>VLOOKUP(G431,Merchants!A:C,3,TRUE)</f>
        <v>Entertainment</v>
      </c>
    </row>
    <row r="432" spans="1:17" x14ac:dyDescent="0.3">
      <c r="A432" t="s">
        <v>917</v>
      </c>
      <c r="B432" s="2">
        <v>46185.916724537034</v>
      </c>
      <c r="C432" s="2" t="str">
        <f t="shared" si="12"/>
        <v>Jun-2026</v>
      </c>
      <c r="D432" t="s">
        <v>83</v>
      </c>
      <c r="E432" t="str">
        <f>VLOOKUP(D432,Customers!A:H,7,0)</f>
        <v>Business Owner</v>
      </c>
      <c r="F432" t="s">
        <v>65</v>
      </c>
      <c r="G432" t="s">
        <v>124</v>
      </c>
      <c r="H432" t="str">
        <f>IFERROR(VLOOKUP(Transactions!G432,Merchants!A:B,2,FALSE),"Not Found")</f>
        <v>Daily Services</v>
      </c>
      <c r="I432" s="9">
        <v>40202.199999999997</v>
      </c>
      <c r="J432" s="3">
        <v>402.02</v>
      </c>
      <c r="K432" t="s">
        <v>58</v>
      </c>
      <c r="L432" t="s">
        <v>80</v>
      </c>
      <c r="M432" t="s">
        <v>86</v>
      </c>
      <c r="N432" t="s">
        <v>67</v>
      </c>
      <c r="O432" t="s">
        <v>91</v>
      </c>
      <c r="P432" t="str">
        <f t="shared" si="13"/>
        <v>High Value</v>
      </c>
      <c r="Q432" t="str">
        <f>VLOOKUP(G432,Merchants!A:C,3,TRUE)</f>
        <v>Food &amp; Dining</v>
      </c>
    </row>
    <row r="433" spans="1:17" x14ac:dyDescent="0.3">
      <c r="A433" t="s">
        <v>918</v>
      </c>
      <c r="B433" s="2">
        <v>45829.955613425933</v>
      </c>
      <c r="C433" s="2" t="str">
        <f t="shared" si="12"/>
        <v>Jun-2025</v>
      </c>
      <c r="D433" t="s">
        <v>919</v>
      </c>
      <c r="E433" t="str">
        <f>VLOOKUP(D433,Customers!A:H,7,0)</f>
        <v>Business Owner</v>
      </c>
      <c r="F433" t="s">
        <v>841</v>
      </c>
      <c r="G433" t="s">
        <v>132</v>
      </c>
      <c r="H433" t="str">
        <f>IFERROR(VLOOKUP(Transactions!G433,Merchants!A:B,2,FALSE),"Not Found")</f>
        <v>Metro Retail</v>
      </c>
      <c r="I433" s="9">
        <v>7171.76</v>
      </c>
      <c r="J433" s="3">
        <v>35.86</v>
      </c>
      <c r="K433" t="s">
        <v>96</v>
      </c>
      <c r="L433" t="s">
        <v>59</v>
      </c>
      <c r="M433" t="s">
        <v>74</v>
      </c>
      <c r="N433" t="s">
        <v>67</v>
      </c>
      <c r="O433" t="s">
        <v>62</v>
      </c>
      <c r="P433" t="str">
        <f t="shared" si="13"/>
        <v>High Value</v>
      </c>
      <c r="Q433" t="str">
        <f>VLOOKUP(G433,Merchants!A:C,3,TRUE)</f>
        <v>Entertainment</v>
      </c>
    </row>
    <row r="434" spans="1:17" x14ac:dyDescent="0.3">
      <c r="A434" t="s">
        <v>920</v>
      </c>
      <c r="B434" s="2">
        <v>46030.507604166669</v>
      </c>
      <c r="C434" s="2" t="str">
        <f t="shared" si="12"/>
        <v>Jan-2026</v>
      </c>
      <c r="D434" t="s">
        <v>113</v>
      </c>
      <c r="E434" t="str">
        <f>VLOOKUP(D434,Customers!A:H,7,0)</f>
        <v>Business Owner</v>
      </c>
      <c r="F434" t="s">
        <v>377</v>
      </c>
      <c r="G434" t="s">
        <v>66</v>
      </c>
      <c r="H434" t="str">
        <f>IFERROR(VLOOKUP(Transactions!G434,Merchants!A:B,2,FALSE),"Not Found")</f>
        <v>Prime Digital</v>
      </c>
      <c r="I434" s="9">
        <v>49167.73</v>
      </c>
      <c r="J434" s="3">
        <v>147.5</v>
      </c>
      <c r="K434" t="s">
        <v>58</v>
      </c>
      <c r="L434" t="s">
        <v>59</v>
      </c>
      <c r="M434" t="s">
        <v>111</v>
      </c>
      <c r="N434" t="s">
        <v>61</v>
      </c>
      <c r="O434" t="s">
        <v>81</v>
      </c>
      <c r="P434" t="str">
        <f t="shared" si="13"/>
        <v>High Value</v>
      </c>
      <c r="Q434" t="str">
        <f>VLOOKUP(G434,Merchants!A:C,3,TRUE)</f>
        <v>Fuel</v>
      </c>
    </row>
    <row r="435" spans="1:17" x14ac:dyDescent="0.3">
      <c r="A435" t="s">
        <v>921</v>
      </c>
      <c r="B435" s="2">
        <v>45951.766134259262</v>
      </c>
      <c r="C435" s="2" t="str">
        <f t="shared" si="12"/>
        <v>Oct-2025</v>
      </c>
      <c r="D435" t="s">
        <v>359</v>
      </c>
      <c r="E435" t="str">
        <f>VLOOKUP(D435,Customers!A:H,7,0)</f>
        <v>Salaried</v>
      </c>
      <c r="F435" t="s">
        <v>922</v>
      </c>
      <c r="G435" t="s">
        <v>85</v>
      </c>
      <c r="H435" t="str">
        <f>IFERROR(VLOOKUP(Transactions!G435,Merchants!A:B,2,FALSE),"Not Found")</f>
        <v>Metro Pay</v>
      </c>
      <c r="I435" s="9">
        <v>10358.58</v>
      </c>
      <c r="J435" s="3">
        <v>103.59</v>
      </c>
      <c r="K435" t="s">
        <v>90</v>
      </c>
      <c r="L435" t="s">
        <v>59</v>
      </c>
      <c r="M435" t="s">
        <v>111</v>
      </c>
      <c r="N435" t="s">
        <v>61</v>
      </c>
      <c r="O435" t="s">
        <v>62</v>
      </c>
      <c r="P435" t="str">
        <f t="shared" si="13"/>
        <v>High Value</v>
      </c>
      <c r="Q435" t="str">
        <f>VLOOKUP(G435,Merchants!A:C,3,TRUE)</f>
        <v>Travel</v>
      </c>
    </row>
    <row r="436" spans="1:17" x14ac:dyDescent="0.3">
      <c r="A436" t="s">
        <v>923</v>
      </c>
      <c r="B436" s="2">
        <v>45799.65053240741</v>
      </c>
      <c r="C436" s="2" t="str">
        <f t="shared" si="12"/>
        <v>May-2025</v>
      </c>
      <c r="D436" t="s">
        <v>461</v>
      </c>
      <c r="E436" t="str">
        <f>VLOOKUP(D436,Customers!A:H,7,0)</f>
        <v>Student</v>
      </c>
      <c r="F436" t="s">
        <v>561</v>
      </c>
      <c r="G436" t="s">
        <v>128</v>
      </c>
      <c r="H436" t="str">
        <f>IFERROR(VLOOKUP(Transactions!G436,Merchants!A:B,2,FALSE),"Not Found")</f>
        <v>Blue Foods</v>
      </c>
      <c r="I436" s="9">
        <v>24863.22</v>
      </c>
      <c r="J436" s="3">
        <v>248.63</v>
      </c>
      <c r="K436" t="s">
        <v>72</v>
      </c>
      <c r="L436" t="s">
        <v>59</v>
      </c>
      <c r="M436" t="s">
        <v>86</v>
      </c>
      <c r="N436" t="s">
        <v>61</v>
      </c>
      <c r="O436" t="s">
        <v>62</v>
      </c>
      <c r="P436" t="str">
        <f t="shared" si="13"/>
        <v>High Value</v>
      </c>
      <c r="Q436" t="str">
        <f>VLOOKUP(G436,Merchants!A:C,3,TRUE)</f>
        <v>Food &amp; Dining</v>
      </c>
    </row>
    <row r="437" spans="1:17" x14ac:dyDescent="0.3">
      <c r="A437" t="s">
        <v>924</v>
      </c>
      <c r="B437" s="2">
        <v>45668.784826388888</v>
      </c>
      <c r="C437" s="2" t="str">
        <f t="shared" si="12"/>
        <v>Jan-2025</v>
      </c>
      <c r="D437" t="s">
        <v>521</v>
      </c>
      <c r="E437" t="str">
        <f>VLOOKUP(D437,Customers!A:H,7,0)</f>
        <v>Self-employed</v>
      </c>
      <c r="F437" t="s">
        <v>541</v>
      </c>
      <c r="G437" t="s">
        <v>95</v>
      </c>
      <c r="H437" t="str">
        <f>IFERROR(VLOOKUP(Transactions!G437,Merchants!A:B,2,FALSE),"Not Found")</f>
        <v>Quick Pay</v>
      </c>
      <c r="I437" s="9">
        <v>56624.21</v>
      </c>
      <c r="J437" s="3">
        <v>283.12</v>
      </c>
      <c r="K437" t="s">
        <v>96</v>
      </c>
      <c r="L437" t="s">
        <v>59</v>
      </c>
      <c r="M437" t="s">
        <v>86</v>
      </c>
      <c r="N437" t="s">
        <v>61</v>
      </c>
      <c r="O437" t="s">
        <v>91</v>
      </c>
      <c r="P437" t="str">
        <f t="shared" si="13"/>
        <v>High Value</v>
      </c>
      <c r="Q437" t="str">
        <f>VLOOKUP(G437,Merchants!A:C,3,TRUE)</f>
        <v>Healthcare</v>
      </c>
    </row>
    <row r="438" spans="1:17" x14ac:dyDescent="0.3">
      <c r="A438" t="s">
        <v>925</v>
      </c>
      <c r="B438" s="2">
        <v>45812.871620370373</v>
      </c>
      <c r="C438" s="2" t="str">
        <f t="shared" si="12"/>
        <v>Jun-2025</v>
      </c>
      <c r="D438" t="s">
        <v>210</v>
      </c>
      <c r="E438" t="str">
        <f>VLOOKUP(D438,Customers!A:H,7,0)</f>
        <v>Business Owner</v>
      </c>
      <c r="F438" t="s">
        <v>586</v>
      </c>
      <c r="G438" t="s">
        <v>128</v>
      </c>
      <c r="H438" t="str">
        <f>IFERROR(VLOOKUP(Transactions!G438,Merchants!A:B,2,FALSE),"Not Found")</f>
        <v>Blue Foods</v>
      </c>
      <c r="I438" s="9">
        <v>3562.81</v>
      </c>
      <c r="J438" s="3">
        <v>17.809999999999999</v>
      </c>
      <c r="K438" t="s">
        <v>133</v>
      </c>
      <c r="L438" t="s">
        <v>80</v>
      </c>
      <c r="M438" t="s">
        <v>60</v>
      </c>
      <c r="N438" t="s">
        <v>61</v>
      </c>
      <c r="O438" t="s">
        <v>81</v>
      </c>
      <c r="P438" t="str">
        <f t="shared" si="13"/>
        <v>High Value</v>
      </c>
      <c r="Q438" t="str">
        <f>VLOOKUP(G438,Merchants!A:C,3,TRUE)</f>
        <v>Food &amp; Dining</v>
      </c>
    </row>
    <row r="439" spans="1:17" x14ac:dyDescent="0.3">
      <c r="A439" t="s">
        <v>926</v>
      </c>
      <c r="B439" s="2">
        <v>45666.424432870372</v>
      </c>
      <c r="C439" s="2" t="str">
        <f t="shared" si="12"/>
        <v>Jan-2025</v>
      </c>
      <c r="D439" t="s">
        <v>180</v>
      </c>
      <c r="E439" t="str">
        <f>VLOOKUP(D439,Customers!A:H,7,0)</f>
        <v>Student</v>
      </c>
      <c r="F439" t="s">
        <v>690</v>
      </c>
      <c r="G439" t="s">
        <v>250</v>
      </c>
      <c r="H439" t="str">
        <f>IFERROR(VLOOKUP(Transactions!G439,Merchants!A:B,2,FALSE),"Not Found")</f>
        <v>Fresh Hub</v>
      </c>
      <c r="I439" s="9">
        <v>54022.49</v>
      </c>
      <c r="J439" s="3">
        <v>162.07</v>
      </c>
      <c r="K439" t="s">
        <v>90</v>
      </c>
      <c r="L439" t="s">
        <v>59</v>
      </c>
      <c r="M439" t="s">
        <v>74</v>
      </c>
      <c r="N439" t="s">
        <v>61</v>
      </c>
      <c r="O439" t="s">
        <v>75</v>
      </c>
      <c r="P439" t="str">
        <f t="shared" si="13"/>
        <v>High Value</v>
      </c>
      <c r="Q439" t="str">
        <f>VLOOKUP(G439,Merchants!A:C,3,TRUE)</f>
        <v>Healthcare</v>
      </c>
    </row>
    <row r="440" spans="1:17" x14ac:dyDescent="0.3">
      <c r="A440" t="s">
        <v>927</v>
      </c>
      <c r="B440" s="2">
        <v>45860.457430555558</v>
      </c>
      <c r="C440" s="2" t="str">
        <f t="shared" si="12"/>
        <v>Jul-2025</v>
      </c>
      <c r="D440" t="s">
        <v>239</v>
      </c>
      <c r="E440" t="str">
        <f>VLOOKUP(D440,Customers!A:H,7,0)</f>
        <v>Salaried</v>
      </c>
      <c r="F440" t="s">
        <v>805</v>
      </c>
      <c r="G440" t="s">
        <v>347</v>
      </c>
      <c r="H440" t="str">
        <f>IFERROR(VLOOKUP(Transactions!G440,Merchants!A:B,2,FALSE),"Not Found")</f>
        <v>Nova Hub</v>
      </c>
      <c r="I440" s="9">
        <v>5148.43</v>
      </c>
      <c r="J440" s="3">
        <v>51.48</v>
      </c>
      <c r="K440" t="s">
        <v>72</v>
      </c>
      <c r="L440" t="s">
        <v>59</v>
      </c>
      <c r="M440" t="s">
        <v>111</v>
      </c>
      <c r="N440" t="s">
        <v>67</v>
      </c>
      <c r="O440" t="s">
        <v>81</v>
      </c>
      <c r="P440" t="str">
        <f t="shared" si="13"/>
        <v>High Value</v>
      </c>
      <c r="Q440" t="str">
        <f>VLOOKUP(G440,Merchants!A:C,3,TRUE)</f>
        <v>Fuel</v>
      </c>
    </row>
    <row r="441" spans="1:17" x14ac:dyDescent="0.3">
      <c r="A441" t="s">
        <v>928</v>
      </c>
      <c r="B441" s="2">
        <v>46191.516863425917</v>
      </c>
      <c r="C441" s="2" t="str">
        <f t="shared" si="12"/>
        <v>Jun-2026</v>
      </c>
      <c r="D441" t="s">
        <v>568</v>
      </c>
      <c r="E441" t="str">
        <f>VLOOKUP(D441,Customers!A:H,7,0)</f>
        <v>Student</v>
      </c>
      <c r="F441" t="s">
        <v>178</v>
      </c>
      <c r="G441" t="s">
        <v>189</v>
      </c>
      <c r="H441" t="str">
        <f>IFERROR(VLOOKUP(Transactions!G441,Merchants!A:B,2,FALSE),"Not Found")</f>
        <v>Quick Services</v>
      </c>
      <c r="I441" s="9">
        <v>45447.07</v>
      </c>
      <c r="J441" s="3">
        <v>90.89</v>
      </c>
      <c r="K441" t="s">
        <v>90</v>
      </c>
      <c r="L441" t="s">
        <v>59</v>
      </c>
      <c r="M441" t="s">
        <v>60</v>
      </c>
      <c r="N441" t="s">
        <v>61</v>
      </c>
      <c r="O441" t="s">
        <v>91</v>
      </c>
      <c r="P441" t="str">
        <f t="shared" si="13"/>
        <v>High Value</v>
      </c>
      <c r="Q441" t="str">
        <f>VLOOKUP(G441,Merchants!A:C,3,TRUE)</f>
        <v>Food &amp; Dining</v>
      </c>
    </row>
    <row r="442" spans="1:17" x14ac:dyDescent="0.3">
      <c r="A442" t="s">
        <v>929</v>
      </c>
      <c r="B442" s="2">
        <v>45719.565821759257</v>
      </c>
      <c r="C442" s="2" t="str">
        <f t="shared" si="12"/>
        <v>Mar-2025</v>
      </c>
      <c r="D442" t="s">
        <v>249</v>
      </c>
      <c r="E442" t="str">
        <f>VLOOKUP(D442,Customers!A:H,7,0)</f>
        <v>Business Owner</v>
      </c>
      <c r="F442" t="s">
        <v>388</v>
      </c>
      <c r="G442" t="s">
        <v>156</v>
      </c>
      <c r="H442" t="str">
        <f>IFERROR(VLOOKUP(Transactions!G442,Merchants!A:B,2,FALSE),"Not Found")</f>
        <v>Blue Digital</v>
      </c>
      <c r="I442" s="9">
        <v>15659.41</v>
      </c>
      <c r="J442" s="3">
        <v>31.32</v>
      </c>
      <c r="K442" t="s">
        <v>58</v>
      </c>
      <c r="L442" t="s">
        <v>59</v>
      </c>
      <c r="M442" t="s">
        <v>74</v>
      </c>
      <c r="N442" t="s">
        <v>61</v>
      </c>
      <c r="O442" t="s">
        <v>91</v>
      </c>
      <c r="P442" t="str">
        <f t="shared" si="13"/>
        <v>High Value</v>
      </c>
      <c r="Q442" t="str">
        <f>VLOOKUP(G442,Merchants!A:C,3,TRUE)</f>
        <v>Electronics</v>
      </c>
    </row>
    <row r="443" spans="1:17" x14ac:dyDescent="0.3">
      <c r="A443" t="s">
        <v>930</v>
      </c>
      <c r="B443" s="2">
        <v>46122.514236111107</v>
      </c>
      <c r="C443" s="2" t="str">
        <f t="shared" si="12"/>
        <v>Apr-2026</v>
      </c>
      <c r="D443" t="s">
        <v>116</v>
      </c>
      <c r="E443" t="str">
        <f>VLOOKUP(D443,Customers!A:H,7,0)</f>
        <v>Business Owner</v>
      </c>
      <c r="F443" t="s">
        <v>528</v>
      </c>
      <c r="G443" t="s">
        <v>132</v>
      </c>
      <c r="H443" t="str">
        <f>IFERROR(VLOOKUP(Transactions!G443,Merchants!A:B,2,FALSE),"Not Found")</f>
        <v>Metro Retail</v>
      </c>
      <c r="I443" s="9">
        <v>58978.74</v>
      </c>
      <c r="J443" s="3">
        <v>176.94</v>
      </c>
      <c r="K443" t="s">
        <v>133</v>
      </c>
      <c r="L443" t="s">
        <v>73</v>
      </c>
      <c r="M443" t="s">
        <v>111</v>
      </c>
      <c r="N443" t="s">
        <v>61</v>
      </c>
      <c r="O443" t="s">
        <v>62</v>
      </c>
      <c r="P443" t="str">
        <f t="shared" si="13"/>
        <v>High Value</v>
      </c>
      <c r="Q443" t="str">
        <f>VLOOKUP(G443,Merchants!A:C,3,TRUE)</f>
        <v>Entertainment</v>
      </c>
    </row>
    <row r="444" spans="1:17" x14ac:dyDescent="0.3">
      <c r="A444" t="s">
        <v>931</v>
      </c>
      <c r="B444" s="2">
        <v>45765.497349537043</v>
      </c>
      <c r="C444" s="2" t="str">
        <f t="shared" si="12"/>
        <v>Apr-2025</v>
      </c>
      <c r="D444" t="s">
        <v>736</v>
      </c>
      <c r="E444" t="str">
        <f>VLOOKUP(D444,Customers!A:H,7,0)</f>
        <v>Student</v>
      </c>
      <c r="F444" t="s">
        <v>443</v>
      </c>
      <c r="G444" t="s">
        <v>413</v>
      </c>
      <c r="H444" t="str">
        <f>IFERROR(VLOOKUP(Transactions!G444,Merchants!A:B,2,FALSE),"Not Found")</f>
        <v>Blue Hub</v>
      </c>
      <c r="I444" s="9">
        <v>31035.46</v>
      </c>
      <c r="J444" s="3">
        <v>155.18</v>
      </c>
      <c r="K444" t="s">
        <v>96</v>
      </c>
      <c r="L444" t="s">
        <v>59</v>
      </c>
      <c r="M444" t="s">
        <v>74</v>
      </c>
      <c r="N444" t="s">
        <v>67</v>
      </c>
      <c r="O444" t="s">
        <v>91</v>
      </c>
      <c r="P444" t="str">
        <f t="shared" si="13"/>
        <v>High Value</v>
      </c>
      <c r="Q444" t="str">
        <f>VLOOKUP(G444,Merchants!A:C,3,TRUE)</f>
        <v>Utilities</v>
      </c>
    </row>
    <row r="445" spans="1:17" x14ac:dyDescent="0.3">
      <c r="A445" t="s">
        <v>932</v>
      </c>
      <c r="B445" s="2">
        <v>45721.644560185188</v>
      </c>
      <c r="C445" s="2" t="str">
        <f t="shared" si="12"/>
        <v>Mar-2025</v>
      </c>
      <c r="D445" t="s">
        <v>177</v>
      </c>
      <c r="E445" t="str">
        <f>VLOOKUP(D445,Customers!A:H,7,0)</f>
        <v>Self-employed</v>
      </c>
      <c r="F445" t="s">
        <v>167</v>
      </c>
      <c r="G445" t="s">
        <v>128</v>
      </c>
      <c r="H445" t="str">
        <f>IFERROR(VLOOKUP(Transactions!G445,Merchants!A:B,2,FALSE),"Not Found")</f>
        <v>Blue Foods</v>
      </c>
      <c r="I445" s="9">
        <v>53321.71</v>
      </c>
      <c r="J445" s="3">
        <v>533.22</v>
      </c>
      <c r="K445" t="s">
        <v>133</v>
      </c>
      <c r="L445" t="s">
        <v>59</v>
      </c>
      <c r="M445" t="s">
        <v>74</v>
      </c>
      <c r="N445" t="s">
        <v>61</v>
      </c>
      <c r="O445" t="s">
        <v>81</v>
      </c>
      <c r="P445" t="str">
        <f t="shared" si="13"/>
        <v>High Value</v>
      </c>
      <c r="Q445" t="str">
        <f>VLOOKUP(G445,Merchants!A:C,3,TRUE)</f>
        <v>Food &amp; Dining</v>
      </c>
    </row>
    <row r="446" spans="1:17" x14ac:dyDescent="0.3">
      <c r="A446" t="s">
        <v>933</v>
      </c>
      <c r="B446" s="2">
        <v>46256.756736111107</v>
      </c>
      <c r="C446" s="2" t="str">
        <f t="shared" si="12"/>
        <v>Aug-2026</v>
      </c>
      <c r="D446" t="s">
        <v>368</v>
      </c>
      <c r="E446" t="str">
        <f>VLOOKUP(D446,Customers!A:H,7,0)</f>
        <v>Student</v>
      </c>
      <c r="F446" t="s">
        <v>282</v>
      </c>
      <c r="G446" t="s">
        <v>95</v>
      </c>
      <c r="H446" t="str">
        <f>IFERROR(VLOOKUP(Transactions!G446,Merchants!A:B,2,FALSE),"Not Found")</f>
        <v>Quick Pay</v>
      </c>
      <c r="I446" s="9">
        <v>38224.019999999997</v>
      </c>
      <c r="J446" s="3">
        <v>382.24</v>
      </c>
      <c r="K446" t="s">
        <v>90</v>
      </c>
      <c r="L446" t="s">
        <v>157</v>
      </c>
      <c r="M446" t="s">
        <v>111</v>
      </c>
      <c r="N446" t="s">
        <v>61</v>
      </c>
      <c r="O446" t="s">
        <v>75</v>
      </c>
      <c r="P446" t="str">
        <f t="shared" si="13"/>
        <v>High Value</v>
      </c>
      <c r="Q446" t="str">
        <f>VLOOKUP(G446,Merchants!A:C,3,TRUE)</f>
        <v>Healthcare</v>
      </c>
    </row>
    <row r="447" spans="1:17" x14ac:dyDescent="0.3">
      <c r="A447" t="s">
        <v>934</v>
      </c>
      <c r="B447" s="2">
        <v>45790.77851851852</v>
      </c>
      <c r="C447" s="2" t="str">
        <f t="shared" si="12"/>
        <v>May-2025</v>
      </c>
      <c r="D447" t="s">
        <v>736</v>
      </c>
      <c r="E447" t="str">
        <f>VLOOKUP(D447,Customers!A:H,7,0)</f>
        <v>Student</v>
      </c>
      <c r="F447" t="s">
        <v>475</v>
      </c>
      <c r="G447" t="s">
        <v>175</v>
      </c>
      <c r="H447" t="str">
        <f>IFERROR(VLOOKUP(Transactions!G447,Merchants!A:B,2,FALSE),"Not Found")</f>
        <v>Fresh Mart</v>
      </c>
      <c r="I447" s="9">
        <v>51809.97</v>
      </c>
      <c r="J447" s="3">
        <v>155.43</v>
      </c>
      <c r="K447" t="s">
        <v>90</v>
      </c>
      <c r="L447" t="s">
        <v>59</v>
      </c>
      <c r="M447" t="s">
        <v>60</v>
      </c>
      <c r="N447" t="s">
        <v>67</v>
      </c>
      <c r="O447" t="s">
        <v>75</v>
      </c>
      <c r="P447" t="str">
        <f t="shared" si="13"/>
        <v>High Value</v>
      </c>
      <c r="Q447" t="str">
        <f>VLOOKUP(G447,Merchants!A:C,3,TRUE)</f>
        <v>Electronics</v>
      </c>
    </row>
    <row r="448" spans="1:17" x14ac:dyDescent="0.3">
      <c r="A448" t="s">
        <v>935</v>
      </c>
      <c r="B448" s="2">
        <v>45770.183356481481</v>
      </c>
      <c r="C448" s="2" t="str">
        <f t="shared" si="12"/>
        <v>Apr-2025</v>
      </c>
      <c r="D448" t="s">
        <v>159</v>
      </c>
      <c r="E448" t="str">
        <f>VLOOKUP(D448,Customers!A:H,7,0)</f>
        <v>Business Owner</v>
      </c>
      <c r="F448" t="s">
        <v>145</v>
      </c>
      <c r="G448" t="s">
        <v>263</v>
      </c>
      <c r="H448" t="str">
        <f>IFERROR(VLOOKUP(Transactions!G448,Merchants!A:B,2,FALSE),"Not Found")</f>
        <v>Urban Retail</v>
      </c>
      <c r="I448" s="9">
        <v>22238.2</v>
      </c>
      <c r="J448" s="3">
        <v>66.709999999999994</v>
      </c>
      <c r="K448" t="s">
        <v>72</v>
      </c>
      <c r="L448" t="s">
        <v>59</v>
      </c>
      <c r="M448" t="s">
        <v>60</v>
      </c>
      <c r="N448" t="s">
        <v>61</v>
      </c>
      <c r="O448" t="s">
        <v>75</v>
      </c>
      <c r="P448" t="str">
        <f t="shared" si="13"/>
        <v>High Value</v>
      </c>
      <c r="Q448" t="str">
        <f>VLOOKUP(G448,Merchants!A:C,3,TRUE)</f>
        <v>Grocery</v>
      </c>
    </row>
    <row r="449" spans="1:17" x14ac:dyDescent="0.3">
      <c r="A449" t="s">
        <v>936</v>
      </c>
      <c r="B449" s="2">
        <v>45686.216736111113</v>
      </c>
      <c r="C449" s="2" t="str">
        <f t="shared" si="12"/>
        <v>Jan-2025</v>
      </c>
      <c r="D449" t="s">
        <v>187</v>
      </c>
      <c r="E449" t="str">
        <f>VLOOKUP(D449,Customers!A:H,7,0)</f>
        <v>Business Owner</v>
      </c>
      <c r="F449" t="s">
        <v>329</v>
      </c>
      <c r="G449" t="s">
        <v>132</v>
      </c>
      <c r="H449" t="str">
        <f>IFERROR(VLOOKUP(Transactions!G449,Merchants!A:B,2,FALSE),"Not Found")</f>
        <v>Metro Retail</v>
      </c>
      <c r="I449" s="9">
        <v>8614.17</v>
      </c>
      <c r="J449" s="3">
        <v>17.23</v>
      </c>
      <c r="K449" t="s">
        <v>90</v>
      </c>
      <c r="L449" t="s">
        <v>59</v>
      </c>
      <c r="M449" t="s">
        <v>111</v>
      </c>
      <c r="N449" t="s">
        <v>61</v>
      </c>
      <c r="O449" t="s">
        <v>91</v>
      </c>
      <c r="P449" t="str">
        <f t="shared" si="13"/>
        <v>High Value</v>
      </c>
      <c r="Q449" t="str">
        <f>VLOOKUP(G449,Merchants!A:C,3,TRUE)</f>
        <v>Entertainment</v>
      </c>
    </row>
    <row r="450" spans="1:17" x14ac:dyDescent="0.3">
      <c r="A450" t="s">
        <v>937</v>
      </c>
      <c r="B450" s="2">
        <v>45783.830625000002</v>
      </c>
      <c r="C450" s="2" t="str">
        <f t="shared" si="12"/>
        <v>May-2025</v>
      </c>
      <c r="D450" t="s">
        <v>371</v>
      </c>
      <c r="E450" t="str">
        <f>VLOOKUP(D450,Customers!A:H,7,0)</f>
        <v>Student</v>
      </c>
      <c r="F450" t="s">
        <v>672</v>
      </c>
      <c r="G450" t="s">
        <v>263</v>
      </c>
      <c r="H450" t="str">
        <f>IFERROR(VLOOKUP(Transactions!G450,Merchants!A:B,2,FALSE),"Not Found")</f>
        <v>Urban Retail</v>
      </c>
      <c r="I450" s="9">
        <v>20984.07</v>
      </c>
      <c r="J450" s="3">
        <v>209.84</v>
      </c>
      <c r="K450" t="s">
        <v>133</v>
      </c>
      <c r="L450" t="s">
        <v>73</v>
      </c>
      <c r="M450" t="s">
        <v>74</v>
      </c>
      <c r="N450" t="s">
        <v>61</v>
      </c>
      <c r="O450" t="s">
        <v>75</v>
      </c>
      <c r="P450" t="str">
        <f t="shared" si="13"/>
        <v>High Value</v>
      </c>
      <c r="Q450" t="str">
        <f>VLOOKUP(G450,Merchants!A:C,3,TRUE)</f>
        <v>Grocery</v>
      </c>
    </row>
    <row r="451" spans="1:17" x14ac:dyDescent="0.3">
      <c r="A451" t="s">
        <v>938</v>
      </c>
      <c r="B451" s="2">
        <v>46144.918877314813</v>
      </c>
      <c r="C451" s="2" t="str">
        <f t="shared" ref="C451:C514" si="14">TEXT(B451,"mmm-yyyy")</f>
        <v>May-2026</v>
      </c>
      <c r="D451" t="s">
        <v>530</v>
      </c>
      <c r="E451" t="str">
        <f>VLOOKUP(D451,Customers!A:H,7,0)</f>
        <v>Business Owner</v>
      </c>
      <c r="F451" t="s">
        <v>777</v>
      </c>
      <c r="G451" t="s">
        <v>250</v>
      </c>
      <c r="H451" t="str">
        <f>IFERROR(VLOOKUP(Transactions!G451,Merchants!A:B,2,FALSE),"Not Found")</f>
        <v>Fresh Hub</v>
      </c>
      <c r="I451" s="9">
        <v>8055.3</v>
      </c>
      <c r="J451" s="3">
        <v>80.55</v>
      </c>
      <c r="K451" t="s">
        <v>90</v>
      </c>
      <c r="L451" t="s">
        <v>59</v>
      </c>
      <c r="M451" t="s">
        <v>60</v>
      </c>
      <c r="N451" t="s">
        <v>67</v>
      </c>
      <c r="O451" t="s">
        <v>75</v>
      </c>
      <c r="P451" t="str">
        <f t="shared" ref="P451:P514" si="15">IF(I451&gt;=2500,"High Value","Standard")</f>
        <v>High Value</v>
      </c>
      <c r="Q451" t="str">
        <f>VLOOKUP(G451,Merchants!A:C,3,TRUE)</f>
        <v>Healthcare</v>
      </c>
    </row>
    <row r="452" spans="1:17" x14ac:dyDescent="0.3">
      <c r="A452" t="s">
        <v>939</v>
      </c>
      <c r="B452" s="2">
        <v>46054.353194444448</v>
      </c>
      <c r="C452" s="2" t="str">
        <f t="shared" si="14"/>
        <v>Feb-2026</v>
      </c>
      <c r="D452" t="s">
        <v>246</v>
      </c>
      <c r="E452" t="str">
        <f>VLOOKUP(D452,Customers!A:H,7,0)</f>
        <v>Student</v>
      </c>
      <c r="F452" t="s">
        <v>329</v>
      </c>
      <c r="G452" t="s">
        <v>250</v>
      </c>
      <c r="H452" t="str">
        <f>IFERROR(VLOOKUP(Transactions!G452,Merchants!A:B,2,FALSE),"Not Found")</f>
        <v>Fresh Hub</v>
      </c>
      <c r="I452" s="9">
        <v>54024.639999999999</v>
      </c>
      <c r="J452" s="3">
        <v>108.05</v>
      </c>
      <c r="K452" t="s">
        <v>72</v>
      </c>
      <c r="L452" t="s">
        <v>59</v>
      </c>
      <c r="M452" t="s">
        <v>86</v>
      </c>
      <c r="N452" t="s">
        <v>67</v>
      </c>
      <c r="O452" t="s">
        <v>91</v>
      </c>
      <c r="P452" t="str">
        <f t="shared" si="15"/>
        <v>High Value</v>
      </c>
      <c r="Q452" t="str">
        <f>VLOOKUP(G452,Merchants!A:C,3,TRUE)</f>
        <v>Healthcare</v>
      </c>
    </row>
    <row r="453" spans="1:17" x14ac:dyDescent="0.3">
      <c r="A453" t="s">
        <v>940</v>
      </c>
      <c r="B453" s="2">
        <v>46243.955891203703</v>
      </c>
      <c r="C453" s="2" t="str">
        <f t="shared" si="14"/>
        <v>Aug-2026</v>
      </c>
      <c r="D453" t="s">
        <v>847</v>
      </c>
      <c r="E453" t="str">
        <f>VLOOKUP(D453,Customers!A:H,7,0)</f>
        <v>Self-employed</v>
      </c>
      <c r="F453" t="s">
        <v>384</v>
      </c>
      <c r="G453" t="s">
        <v>103</v>
      </c>
      <c r="H453" t="str">
        <f>IFERROR(VLOOKUP(Transactions!G453,Merchants!A:B,2,FALSE),"Not Found")</f>
        <v>Nova Pay</v>
      </c>
      <c r="I453" s="9">
        <v>47789.91</v>
      </c>
      <c r="J453" s="3">
        <v>95.58</v>
      </c>
      <c r="K453" t="s">
        <v>90</v>
      </c>
      <c r="L453" t="s">
        <v>80</v>
      </c>
      <c r="M453" t="s">
        <v>86</v>
      </c>
      <c r="N453" t="s">
        <v>67</v>
      </c>
      <c r="O453" t="s">
        <v>75</v>
      </c>
      <c r="P453" t="str">
        <f t="shared" si="15"/>
        <v>High Value</v>
      </c>
      <c r="Q453" t="str">
        <f>VLOOKUP(G453,Merchants!A:C,3,TRUE)</f>
        <v>Fashion</v>
      </c>
    </row>
    <row r="454" spans="1:17" x14ac:dyDescent="0.3">
      <c r="A454" t="s">
        <v>941</v>
      </c>
      <c r="B454" s="2">
        <v>46172.028310185182</v>
      </c>
      <c r="C454" s="2" t="str">
        <f t="shared" si="14"/>
        <v>May-2026</v>
      </c>
      <c r="D454" t="s">
        <v>343</v>
      </c>
      <c r="E454" t="str">
        <f>VLOOKUP(D454,Customers!A:H,7,0)</f>
        <v>Student</v>
      </c>
      <c r="F454" t="s">
        <v>290</v>
      </c>
      <c r="G454" t="s">
        <v>57</v>
      </c>
      <c r="H454" t="str">
        <f>IFERROR(VLOOKUP(Transactions!G454,Merchants!A:B,2,FALSE),"Not Found")</f>
        <v>Daily Stores</v>
      </c>
      <c r="I454" s="9">
        <v>7304.96</v>
      </c>
      <c r="J454" s="3">
        <v>21.91</v>
      </c>
      <c r="K454" t="s">
        <v>90</v>
      </c>
      <c r="L454" t="s">
        <v>157</v>
      </c>
      <c r="M454" t="s">
        <v>74</v>
      </c>
      <c r="N454" t="s">
        <v>67</v>
      </c>
      <c r="O454" t="s">
        <v>81</v>
      </c>
      <c r="P454" t="str">
        <f t="shared" si="15"/>
        <v>High Value</v>
      </c>
      <c r="Q454" t="str">
        <f>VLOOKUP(G454,Merchants!A:C,3,TRUE)</f>
        <v>Travel</v>
      </c>
    </row>
    <row r="455" spans="1:17" x14ac:dyDescent="0.3">
      <c r="A455" t="s">
        <v>942</v>
      </c>
      <c r="B455" s="2">
        <v>46069.893368055556</v>
      </c>
      <c r="C455" s="2" t="str">
        <f t="shared" si="14"/>
        <v>Feb-2026</v>
      </c>
      <c r="D455" t="s">
        <v>320</v>
      </c>
      <c r="E455" t="str">
        <f>VLOOKUP(D455,Customers!A:H,7,0)</f>
        <v>Student</v>
      </c>
      <c r="F455" t="s">
        <v>797</v>
      </c>
      <c r="G455" t="s">
        <v>215</v>
      </c>
      <c r="H455" t="str">
        <f>IFERROR(VLOOKUP(Transactions!G455,Merchants!A:B,2,FALSE),"Not Found")</f>
        <v>Daily Hub</v>
      </c>
      <c r="I455" s="9">
        <v>2794.52</v>
      </c>
      <c r="J455" s="3">
        <v>5.59</v>
      </c>
      <c r="K455" t="s">
        <v>96</v>
      </c>
      <c r="L455" t="s">
        <v>73</v>
      </c>
      <c r="M455" t="s">
        <v>86</v>
      </c>
      <c r="N455" t="s">
        <v>61</v>
      </c>
      <c r="O455" t="s">
        <v>75</v>
      </c>
      <c r="P455" t="str">
        <f t="shared" si="15"/>
        <v>High Value</v>
      </c>
      <c r="Q455" t="str">
        <f>VLOOKUP(G455,Merchants!A:C,3,TRUE)</f>
        <v>Fashion</v>
      </c>
    </row>
    <row r="456" spans="1:17" x14ac:dyDescent="0.3">
      <c r="A456" t="s">
        <v>943</v>
      </c>
      <c r="B456" s="2">
        <v>45921.138078703712</v>
      </c>
      <c r="C456" s="2" t="str">
        <f t="shared" si="14"/>
        <v>Sep-2025</v>
      </c>
      <c r="D456" t="s">
        <v>642</v>
      </c>
      <c r="E456" t="str">
        <f>VLOOKUP(D456,Customers!A:H,7,0)</f>
        <v>Business Owner</v>
      </c>
      <c r="F456" t="s">
        <v>70</v>
      </c>
      <c r="G456" t="s">
        <v>215</v>
      </c>
      <c r="H456" t="str">
        <f>IFERROR(VLOOKUP(Transactions!G456,Merchants!A:B,2,FALSE),"Not Found")</f>
        <v>Daily Hub</v>
      </c>
      <c r="I456" s="9">
        <v>6967.21</v>
      </c>
      <c r="J456" s="3">
        <v>20.9</v>
      </c>
      <c r="K456" t="s">
        <v>72</v>
      </c>
      <c r="L456" t="s">
        <v>59</v>
      </c>
      <c r="M456" t="s">
        <v>86</v>
      </c>
      <c r="N456" t="s">
        <v>67</v>
      </c>
      <c r="O456" t="s">
        <v>81</v>
      </c>
      <c r="P456" t="str">
        <f t="shared" si="15"/>
        <v>High Value</v>
      </c>
      <c r="Q456" t="str">
        <f>VLOOKUP(G456,Merchants!A:C,3,TRUE)</f>
        <v>Fashion</v>
      </c>
    </row>
    <row r="457" spans="1:17" x14ac:dyDescent="0.3">
      <c r="A457" t="s">
        <v>944</v>
      </c>
      <c r="B457" s="2">
        <v>46075.256666666668</v>
      </c>
      <c r="C457" s="2" t="str">
        <f t="shared" si="14"/>
        <v>Feb-2026</v>
      </c>
      <c r="D457" t="s">
        <v>317</v>
      </c>
      <c r="E457" t="str">
        <f>VLOOKUP(D457,Customers!A:H,7,0)</f>
        <v>Salaried</v>
      </c>
      <c r="F457" t="s">
        <v>191</v>
      </c>
      <c r="G457" t="s">
        <v>607</v>
      </c>
      <c r="H457" t="str">
        <f>IFERROR(VLOOKUP(Transactions!G457,Merchants!A:B,2,FALSE),"Not Found")</f>
        <v>Daily Digital</v>
      </c>
      <c r="I457" s="9">
        <v>3628.93</v>
      </c>
      <c r="J457" s="3">
        <v>10.89</v>
      </c>
      <c r="K457" t="s">
        <v>72</v>
      </c>
      <c r="L457" t="s">
        <v>157</v>
      </c>
      <c r="M457" t="s">
        <v>74</v>
      </c>
      <c r="N457" t="s">
        <v>67</v>
      </c>
      <c r="O457" t="s">
        <v>81</v>
      </c>
      <c r="P457" t="str">
        <f t="shared" si="15"/>
        <v>High Value</v>
      </c>
      <c r="Q457" t="str">
        <f>VLOOKUP(G457,Merchants!A:C,3,TRUE)</f>
        <v>Healthcare</v>
      </c>
    </row>
    <row r="458" spans="1:17" x14ac:dyDescent="0.3">
      <c r="A458" t="s">
        <v>945</v>
      </c>
      <c r="B458" s="2">
        <v>45803.626261574071</v>
      </c>
      <c r="C458" s="2" t="str">
        <f t="shared" si="14"/>
        <v>May-2025</v>
      </c>
      <c r="D458" t="s">
        <v>612</v>
      </c>
      <c r="E458" t="str">
        <f>VLOOKUP(D458,Customers!A:H,7,0)</f>
        <v>Student</v>
      </c>
      <c r="F458" t="s">
        <v>211</v>
      </c>
      <c r="G458" t="s">
        <v>192</v>
      </c>
      <c r="H458" t="str">
        <f>IFERROR(VLOOKUP(Transactions!G458,Merchants!A:B,2,FALSE),"Not Found")</f>
        <v>Blue Foods</v>
      </c>
      <c r="I458" s="9">
        <v>53591.360000000001</v>
      </c>
      <c r="J458" s="3">
        <v>107.18</v>
      </c>
      <c r="K458" t="s">
        <v>133</v>
      </c>
      <c r="L458" t="s">
        <v>59</v>
      </c>
      <c r="M458" t="s">
        <v>111</v>
      </c>
      <c r="N458" t="s">
        <v>61</v>
      </c>
      <c r="O458" t="s">
        <v>75</v>
      </c>
      <c r="P458" t="str">
        <f t="shared" si="15"/>
        <v>High Value</v>
      </c>
      <c r="Q458" t="str">
        <f>VLOOKUP(G458,Merchants!A:C,3,TRUE)</f>
        <v>Travel</v>
      </c>
    </row>
    <row r="459" spans="1:17" x14ac:dyDescent="0.3">
      <c r="A459" t="s">
        <v>946</v>
      </c>
      <c r="B459" s="2">
        <v>45775.408518518518</v>
      </c>
      <c r="C459" s="2" t="str">
        <f t="shared" si="14"/>
        <v>Apr-2025</v>
      </c>
      <c r="D459" t="s">
        <v>741</v>
      </c>
      <c r="E459" t="str">
        <f>VLOOKUP(D459,Customers!A:H,7,0)</f>
        <v>Salaried</v>
      </c>
      <c r="F459" t="s">
        <v>505</v>
      </c>
      <c r="G459" t="s">
        <v>783</v>
      </c>
      <c r="H459" t="str">
        <f>IFERROR(VLOOKUP(Transactions!G459,Merchants!A:B,2,FALSE),"Not Found")</f>
        <v>Daily Stores</v>
      </c>
      <c r="I459" s="9">
        <v>3731.86</v>
      </c>
      <c r="J459" s="3">
        <v>37.32</v>
      </c>
      <c r="K459" t="s">
        <v>96</v>
      </c>
      <c r="L459" t="s">
        <v>59</v>
      </c>
      <c r="M459" t="s">
        <v>111</v>
      </c>
      <c r="N459" t="s">
        <v>67</v>
      </c>
      <c r="O459" t="s">
        <v>81</v>
      </c>
      <c r="P459" t="str">
        <f t="shared" si="15"/>
        <v>High Value</v>
      </c>
      <c r="Q459" t="str">
        <f>VLOOKUP(G459,Merchants!A:C,3,TRUE)</f>
        <v>Entertainment</v>
      </c>
    </row>
    <row r="460" spans="1:17" x14ac:dyDescent="0.3">
      <c r="A460" t="s">
        <v>947</v>
      </c>
      <c r="B460" s="2">
        <v>46225.889236111107</v>
      </c>
      <c r="C460" s="2" t="str">
        <f t="shared" si="14"/>
        <v>Jul-2026</v>
      </c>
      <c r="D460" t="s">
        <v>948</v>
      </c>
      <c r="E460" t="str">
        <f>VLOOKUP(D460,Customers!A:H,7,0)</f>
        <v>Student</v>
      </c>
      <c r="F460" t="s">
        <v>627</v>
      </c>
      <c r="G460" t="s">
        <v>66</v>
      </c>
      <c r="H460" t="str">
        <f>IFERROR(VLOOKUP(Transactions!G460,Merchants!A:B,2,FALSE),"Not Found")</f>
        <v>Prime Digital</v>
      </c>
      <c r="I460" s="9">
        <v>40538.339999999997</v>
      </c>
      <c r="J460" s="3">
        <v>121.62</v>
      </c>
      <c r="K460" t="s">
        <v>96</v>
      </c>
      <c r="L460" t="s">
        <v>59</v>
      </c>
      <c r="M460" t="s">
        <v>86</v>
      </c>
      <c r="N460" t="s">
        <v>67</v>
      </c>
      <c r="O460" t="s">
        <v>62</v>
      </c>
      <c r="P460" t="str">
        <f t="shared" si="15"/>
        <v>High Value</v>
      </c>
      <c r="Q460" t="str">
        <f>VLOOKUP(G460,Merchants!A:C,3,TRUE)</f>
        <v>Fuel</v>
      </c>
    </row>
    <row r="461" spans="1:17" x14ac:dyDescent="0.3">
      <c r="A461" t="s">
        <v>949</v>
      </c>
      <c r="B461" s="2">
        <v>46040.819861111107</v>
      </c>
      <c r="C461" s="2" t="str">
        <f t="shared" si="14"/>
        <v>Jan-2026</v>
      </c>
      <c r="D461" t="s">
        <v>194</v>
      </c>
      <c r="E461" t="str">
        <f>VLOOKUP(D461,Customers!A:H,7,0)</f>
        <v>Self-employed</v>
      </c>
      <c r="F461" t="s">
        <v>950</v>
      </c>
      <c r="G461" t="s">
        <v>175</v>
      </c>
      <c r="H461" t="str">
        <f>IFERROR(VLOOKUP(Transactions!G461,Merchants!A:B,2,FALSE),"Not Found")</f>
        <v>Fresh Mart</v>
      </c>
      <c r="I461" s="9">
        <v>59119.99</v>
      </c>
      <c r="J461" s="3">
        <v>591.20000000000005</v>
      </c>
      <c r="K461" t="s">
        <v>58</v>
      </c>
      <c r="L461" t="s">
        <v>73</v>
      </c>
      <c r="M461" t="s">
        <v>74</v>
      </c>
      <c r="N461" t="s">
        <v>61</v>
      </c>
      <c r="O461" t="s">
        <v>62</v>
      </c>
      <c r="P461" t="str">
        <f t="shared" si="15"/>
        <v>High Value</v>
      </c>
      <c r="Q461" t="str">
        <f>VLOOKUP(G461,Merchants!A:C,3,TRUE)</f>
        <v>Electronics</v>
      </c>
    </row>
    <row r="462" spans="1:17" x14ac:dyDescent="0.3">
      <c r="A462" t="s">
        <v>951</v>
      </c>
      <c r="B462" s="2">
        <v>45658.091284722221</v>
      </c>
      <c r="C462" s="2" t="str">
        <f t="shared" si="14"/>
        <v>Jan-2025</v>
      </c>
      <c r="D462" t="s">
        <v>303</v>
      </c>
      <c r="E462" t="str">
        <f>VLOOKUP(D462,Customers!A:H,7,0)</f>
        <v>Self-employed</v>
      </c>
      <c r="F462" t="s">
        <v>204</v>
      </c>
      <c r="G462" t="s">
        <v>421</v>
      </c>
      <c r="H462" t="str">
        <f>IFERROR(VLOOKUP(Transactions!G462,Merchants!A:B,2,FALSE),"Not Found")</f>
        <v>Smart Pay</v>
      </c>
      <c r="I462" s="9">
        <v>56017.06</v>
      </c>
      <c r="J462" s="3">
        <v>280.08999999999997</v>
      </c>
      <c r="K462" t="s">
        <v>90</v>
      </c>
      <c r="L462" t="s">
        <v>59</v>
      </c>
      <c r="M462" t="s">
        <v>60</v>
      </c>
      <c r="N462" t="s">
        <v>67</v>
      </c>
      <c r="O462" t="s">
        <v>62</v>
      </c>
      <c r="P462" t="str">
        <f t="shared" si="15"/>
        <v>High Value</v>
      </c>
      <c r="Q462" t="str">
        <f>VLOOKUP(G462,Merchants!A:C,3,TRUE)</f>
        <v>Entertainment</v>
      </c>
    </row>
    <row r="463" spans="1:17" x14ac:dyDescent="0.3">
      <c r="A463" t="s">
        <v>952</v>
      </c>
      <c r="B463" s="2">
        <v>46204.854212962957</v>
      </c>
      <c r="C463" s="2" t="str">
        <f t="shared" si="14"/>
        <v>Jul-2026</v>
      </c>
      <c r="D463" t="s">
        <v>953</v>
      </c>
      <c r="E463" t="str">
        <f>VLOOKUP(D463,Customers!A:H,7,0)</f>
        <v>Self-employed</v>
      </c>
      <c r="F463" t="s">
        <v>321</v>
      </c>
      <c r="G463" t="s">
        <v>164</v>
      </c>
      <c r="H463" t="str">
        <f>IFERROR(VLOOKUP(Transactions!G463,Merchants!A:B,2,FALSE),"Not Found")</f>
        <v>Green Foods</v>
      </c>
      <c r="I463" s="9">
        <v>4289.12</v>
      </c>
      <c r="J463" s="3">
        <v>8.58</v>
      </c>
      <c r="K463" t="s">
        <v>72</v>
      </c>
      <c r="L463" t="s">
        <v>59</v>
      </c>
      <c r="M463" t="s">
        <v>74</v>
      </c>
      <c r="N463" t="s">
        <v>67</v>
      </c>
      <c r="O463" t="s">
        <v>81</v>
      </c>
      <c r="P463" t="str">
        <f t="shared" si="15"/>
        <v>High Value</v>
      </c>
      <c r="Q463" t="str">
        <f>VLOOKUP(G463,Merchants!A:C,3,TRUE)</f>
        <v>Grocery</v>
      </c>
    </row>
    <row r="464" spans="1:17" x14ac:dyDescent="0.3">
      <c r="A464" t="s">
        <v>954</v>
      </c>
      <c r="B464" s="2">
        <v>46008.963564814818</v>
      </c>
      <c r="C464" s="2" t="str">
        <f t="shared" si="14"/>
        <v>Dec-2025</v>
      </c>
      <c r="D464" t="s">
        <v>364</v>
      </c>
      <c r="E464" t="str">
        <f>VLOOKUP(D464,Customers!A:H,7,0)</f>
        <v>Self-employed</v>
      </c>
      <c r="F464" t="s">
        <v>467</v>
      </c>
      <c r="G464" t="s">
        <v>85</v>
      </c>
      <c r="H464" t="str">
        <f>IFERROR(VLOOKUP(Transactions!G464,Merchants!A:B,2,FALSE),"Not Found")</f>
        <v>Metro Pay</v>
      </c>
      <c r="I464" s="9">
        <v>15755.5</v>
      </c>
      <c r="J464" s="3">
        <v>157.56</v>
      </c>
      <c r="K464" t="s">
        <v>72</v>
      </c>
      <c r="L464" t="s">
        <v>80</v>
      </c>
      <c r="M464" t="s">
        <v>60</v>
      </c>
      <c r="N464" t="s">
        <v>67</v>
      </c>
      <c r="O464" t="s">
        <v>75</v>
      </c>
      <c r="P464" t="str">
        <f t="shared" si="15"/>
        <v>High Value</v>
      </c>
      <c r="Q464" t="str">
        <f>VLOOKUP(G464,Merchants!A:C,3,TRUE)</f>
        <v>Travel</v>
      </c>
    </row>
    <row r="465" spans="1:17" x14ac:dyDescent="0.3">
      <c r="A465" t="s">
        <v>955</v>
      </c>
      <c r="B465" s="2">
        <v>46271.49827546296</v>
      </c>
      <c r="C465" s="2" t="str">
        <f t="shared" si="14"/>
        <v>Sep-2026</v>
      </c>
      <c r="D465" t="s">
        <v>435</v>
      </c>
      <c r="E465" t="str">
        <f>VLOOKUP(D465,Customers!A:H,7,0)</f>
        <v>Business Owner</v>
      </c>
      <c r="F465" t="s">
        <v>475</v>
      </c>
      <c r="G465" t="s">
        <v>229</v>
      </c>
      <c r="H465" t="str">
        <f>IFERROR(VLOOKUP(Transactions!G465,Merchants!A:B,2,FALSE),"Not Found")</f>
        <v>Urban Services</v>
      </c>
      <c r="I465" s="9">
        <v>1050.8900000000001</v>
      </c>
      <c r="J465" s="3">
        <v>2.1</v>
      </c>
      <c r="K465" t="s">
        <v>58</v>
      </c>
      <c r="L465" t="s">
        <v>80</v>
      </c>
      <c r="M465" t="s">
        <v>111</v>
      </c>
      <c r="N465" t="s">
        <v>61</v>
      </c>
      <c r="O465" t="s">
        <v>75</v>
      </c>
      <c r="P465" t="str">
        <f t="shared" si="15"/>
        <v>Standard</v>
      </c>
      <c r="Q465" t="str">
        <f>VLOOKUP(G465,Merchants!A:C,3,TRUE)</f>
        <v>Fashion</v>
      </c>
    </row>
    <row r="466" spans="1:17" x14ac:dyDescent="0.3">
      <c r="A466" t="s">
        <v>956</v>
      </c>
      <c r="B466" s="2">
        <v>46060.816354166673</v>
      </c>
      <c r="C466" s="2" t="str">
        <f t="shared" si="14"/>
        <v>Feb-2026</v>
      </c>
      <c r="D466" t="s">
        <v>275</v>
      </c>
      <c r="E466" t="str">
        <f>VLOOKUP(D466,Customers!A:H,7,0)</f>
        <v>Student</v>
      </c>
      <c r="F466" t="s">
        <v>304</v>
      </c>
      <c r="G466" t="s">
        <v>85</v>
      </c>
      <c r="H466" t="str">
        <f>IFERROR(VLOOKUP(Transactions!G466,Merchants!A:B,2,FALSE),"Not Found")</f>
        <v>Metro Pay</v>
      </c>
      <c r="I466" s="9">
        <v>4960.8100000000004</v>
      </c>
      <c r="J466" s="3">
        <v>9.92</v>
      </c>
      <c r="K466" t="s">
        <v>96</v>
      </c>
      <c r="L466" t="s">
        <v>73</v>
      </c>
      <c r="M466" t="s">
        <v>86</v>
      </c>
      <c r="N466" t="s">
        <v>61</v>
      </c>
      <c r="O466" t="s">
        <v>75</v>
      </c>
      <c r="P466" t="str">
        <f t="shared" si="15"/>
        <v>High Value</v>
      </c>
      <c r="Q466" t="str">
        <f>VLOOKUP(G466,Merchants!A:C,3,TRUE)</f>
        <v>Travel</v>
      </c>
    </row>
    <row r="467" spans="1:17" x14ac:dyDescent="0.3">
      <c r="A467" t="s">
        <v>957</v>
      </c>
      <c r="B467" s="2">
        <v>46273.543043981481</v>
      </c>
      <c r="C467" s="2" t="str">
        <f t="shared" si="14"/>
        <v>Sep-2026</v>
      </c>
      <c r="D467" t="s">
        <v>93</v>
      </c>
      <c r="E467" t="str">
        <f>VLOOKUP(D467,Customers!A:H,7,0)</f>
        <v>Student</v>
      </c>
      <c r="F467" t="s">
        <v>188</v>
      </c>
      <c r="G467" t="s">
        <v>100</v>
      </c>
      <c r="H467" t="str">
        <f>IFERROR(VLOOKUP(Transactions!G467,Merchants!A:B,2,FALSE),"Not Found")</f>
        <v>Metro Stores</v>
      </c>
      <c r="I467" s="9">
        <v>23266.39</v>
      </c>
      <c r="J467" s="3">
        <v>46.53</v>
      </c>
      <c r="K467" t="s">
        <v>90</v>
      </c>
      <c r="L467" t="s">
        <v>73</v>
      </c>
      <c r="M467" t="s">
        <v>74</v>
      </c>
      <c r="N467" t="s">
        <v>67</v>
      </c>
      <c r="O467" t="s">
        <v>62</v>
      </c>
      <c r="P467" t="str">
        <f t="shared" si="15"/>
        <v>High Value</v>
      </c>
      <c r="Q467" t="str">
        <f>VLOOKUP(G467,Merchants!A:C,3,TRUE)</f>
        <v>Healthcare</v>
      </c>
    </row>
    <row r="468" spans="1:17" x14ac:dyDescent="0.3">
      <c r="A468" t="s">
        <v>958</v>
      </c>
      <c r="B468" s="2">
        <v>45678.426481481481</v>
      </c>
      <c r="C468" s="2" t="str">
        <f t="shared" si="14"/>
        <v>Jan-2025</v>
      </c>
      <c r="D468" t="s">
        <v>98</v>
      </c>
      <c r="E468" t="str">
        <f>VLOOKUP(D468,Customers!A:H,7,0)</f>
        <v>Self-employed</v>
      </c>
      <c r="F468" t="s">
        <v>56</v>
      </c>
      <c r="G468" t="s">
        <v>208</v>
      </c>
      <c r="H468" t="str">
        <f>IFERROR(VLOOKUP(Transactions!G468,Merchants!A:B,2,FALSE),"Not Found")</f>
        <v>Blue Retail</v>
      </c>
      <c r="I468" s="9">
        <v>40865.21</v>
      </c>
      <c r="J468" s="3">
        <v>122.6</v>
      </c>
      <c r="K468" t="s">
        <v>72</v>
      </c>
      <c r="L468" t="s">
        <v>80</v>
      </c>
      <c r="M468" t="s">
        <v>111</v>
      </c>
      <c r="N468" t="s">
        <v>67</v>
      </c>
      <c r="O468" t="s">
        <v>75</v>
      </c>
      <c r="P468" t="str">
        <f t="shared" si="15"/>
        <v>High Value</v>
      </c>
      <c r="Q468" t="str">
        <f>VLOOKUP(G468,Merchants!A:C,3,TRUE)</f>
        <v>Healthcare</v>
      </c>
    </row>
    <row r="469" spans="1:17" x14ac:dyDescent="0.3">
      <c r="A469" t="s">
        <v>959</v>
      </c>
      <c r="B469" s="2">
        <v>46029.055810185193</v>
      </c>
      <c r="C469" s="2" t="str">
        <f t="shared" si="14"/>
        <v>Jan-2026</v>
      </c>
      <c r="D469" t="s">
        <v>658</v>
      </c>
      <c r="E469" t="str">
        <f>VLOOKUP(D469,Customers!A:H,7,0)</f>
        <v>Self-employed</v>
      </c>
      <c r="F469" t="s">
        <v>197</v>
      </c>
      <c r="G469" t="s">
        <v>237</v>
      </c>
      <c r="H469" t="str">
        <f>IFERROR(VLOOKUP(Transactions!G469,Merchants!A:B,2,FALSE),"Not Found")</f>
        <v>Metro Pay</v>
      </c>
      <c r="I469" s="9">
        <v>16917.310000000001</v>
      </c>
      <c r="J469" s="3">
        <v>50.75</v>
      </c>
      <c r="K469" t="s">
        <v>96</v>
      </c>
      <c r="L469" t="s">
        <v>157</v>
      </c>
      <c r="M469" t="s">
        <v>86</v>
      </c>
      <c r="N469" t="s">
        <v>61</v>
      </c>
      <c r="O469" t="s">
        <v>75</v>
      </c>
      <c r="P469" t="str">
        <f t="shared" si="15"/>
        <v>High Value</v>
      </c>
      <c r="Q469" t="str">
        <f>VLOOKUP(G469,Merchants!A:C,3,TRUE)</f>
        <v>Healthcare</v>
      </c>
    </row>
    <row r="470" spans="1:17" x14ac:dyDescent="0.3">
      <c r="A470" t="s">
        <v>960</v>
      </c>
      <c r="B470" s="2">
        <v>45832.837071759262</v>
      </c>
      <c r="C470" s="2" t="str">
        <f t="shared" si="14"/>
        <v>Jun-2025</v>
      </c>
      <c r="D470" t="s">
        <v>741</v>
      </c>
      <c r="E470" t="str">
        <f>VLOOKUP(D470,Customers!A:H,7,0)</f>
        <v>Salaried</v>
      </c>
      <c r="F470" t="s">
        <v>479</v>
      </c>
      <c r="G470" t="s">
        <v>146</v>
      </c>
      <c r="H470" t="str">
        <f>IFERROR(VLOOKUP(Transactions!G470,Merchants!A:B,2,FALSE),"Not Found")</f>
        <v>Prime Mart</v>
      </c>
      <c r="I470" s="9">
        <v>11706.84</v>
      </c>
      <c r="J470" s="3">
        <v>35.119999999999997</v>
      </c>
      <c r="K470" t="s">
        <v>58</v>
      </c>
      <c r="L470" t="s">
        <v>80</v>
      </c>
      <c r="M470" t="s">
        <v>111</v>
      </c>
      <c r="N470" t="s">
        <v>61</v>
      </c>
      <c r="O470" t="s">
        <v>62</v>
      </c>
      <c r="P470" t="str">
        <f t="shared" si="15"/>
        <v>High Value</v>
      </c>
      <c r="Q470" t="str">
        <f>VLOOKUP(G470,Merchants!A:C,3,TRUE)</f>
        <v>Food &amp; Dining</v>
      </c>
    </row>
    <row r="471" spans="1:17" x14ac:dyDescent="0.3">
      <c r="A471" t="s">
        <v>961</v>
      </c>
      <c r="B471" s="2">
        <v>46193.41615740741</v>
      </c>
      <c r="C471" s="2" t="str">
        <f t="shared" si="14"/>
        <v>Jun-2026</v>
      </c>
      <c r="D471" t="s">
        <v>303</v>
      </c>
      <c r="E471" t="str">
        <f>VLOOKUP(D471,Customers!A:H,7,0)</f>
        <v>Self-employed</v>
      </c>
      <c r="F471" t="s">
        <v>384</v>
      </c>
      <c r="G471" t="s">
        <v>554</v>
      </c>
      <c r="H471" t="str">
        <f>IFERROR(VLOOKUP(Transactions!G471,Merchants!A:B,2,FALSE),"Not Found")</f>
        <v>Green Pay</v>
      </c>
      <c r="I471" s="9">
        <v>11591.91</v>
      </c>
      <c r="J471" s="3">
        <v>57.96</v>
      </c>
      <c r="K471" t="s">
        <v>58</v>
      </c>
      <c r="L471" t="s">
        <v>80</v>
      </c>
      <c r="M471" t="s">
        <v>74</v>
      </c>
      <c r="N471" t="s">
        <v>67</v>
      </c>
      <c r="O471" t="s">
        <v>81</v>
      </c>
      <c r="P471" t="str">
        <f t="shared" si="15"/>
        <v>High Value</v>
      </c>
      <c r="Q471" t="str">
        <f>VLOOKUP(G471,Merchants!A:C,3,TRUE)</f>
        <v>Utilities</v>
      </c>
    </row>
    <row r="472" spans="1:17" x14ac:dyDescent="0.3">
      <c r="A472" t="s">
        <v>962</v>
      </c>
      <c r="B472" s="2">
        <v>46100.617245370369</v>
      </c>
      <c r="C472" s="2" t="str">
        <f t="shared" si="14"/>
        <v>Mar-2026</v>
      </c>
      <c r="D472" t="s">
        <v>122</v>
      </c>
      <c r="E472" t="str">
        <f>VLOOKUP(D472,Customers!A:H,7,0)</f>
        <v>Self-employed</v>
      </c>
      <c r="F472" t="s">
        <v>963</v>
      </c>
      <c r="G472" t="s">
        <v>233</v>
      </c>
      <c r="H472" t="str">
        <f>IFERROR(VLOOKUP(Transactions!G472,Merchants!A:B,2,FALSE),"Not Found")</f>
        <v>Urban Retail</v>
      </c>
      <c r="I472" s="9">
        <v>16514.73</v>
      </c>
      <c r="J472" s="3">
        <v>165.15</v>
      </c>
      <c r="K472" t="s">
        <v>58</v>
      </c>
      <c r="L472" t="s">
        <v>80</v>
      </c>
      <c r="M472" t="s">
        <v>111</v>
      </c>
      <c r="N472" t="s">
        <v>67</v>
      </c>
      <c r="O472" t="s">
        <v>81</v>
      </c>
      <c r="P472" t="str">
        <f t="shared" si="15"/>
        <v>High Value</v>
      </c>
      <c r="Q472" t="str">
        <f>VLOOKUP(G472,Merchants!A:C,3,TRUE)</f>
        <v>Utilities</v>
      </c>
    </row>
    <row r="473" spans="1:17" x14ac:dyDescent="0.3">
      <c r="A473" t="s">
        <v>964</v>
      </c>
      <c r="B473" s="2">
        <v>46088.807685185187</v>
      </c>
      <c r="C473" s="2" t="str">
        <f t="shared" si="14"/>
        <v>Mar-2026</v>
      </c>
      <c r="D473" t="s">
        <v>170</v>
      </c>
      <c r="E473" t="str">
        <f>VLOOKUP(D473,Customers!A:H,7,0)</f>
        <v>Self-employed</v>
      </c>
      <c r="F473" t="s">
        <v>764</v>
      </c>
      <c r="G473" t="s">
        <v>71</v>
      </c>
      <c r="H473" t="str">
        <f>IFERROR(VLOOKUP(Transactions!G473,Merchants!A:B,2,FALSE),"Not Found")</f>
        <v>Metro Pay</v>
      </c>
      <c r="I473" s="9">
        <v>26986.799999999999</v>
      </c>
      <c r="J473" s="3">
        <v>80.959999999999994</v>
      </c>
      <c r="K473" t="s">
        <v>58</v>
      </c>
      <c r="L473" t="s">
        <v>59</v>
      </c>
      <c r="M473" t="s">
        <v>111</v>
      </c>
      <c r="N473" t="s">
        <v>61</v>
      </c>
      <c r="O473" t="s">
        <v>91</v>
      </c>
      <c r="P473" t="str">
        <f t="shared" si="15"/>
        <v>High Value</v>
      </c>
      <c r="Q473" t="str">
        <f>VLOOKUP(G473,Merchants!A:C,3,TRUE)</f>
        <v>Fashion</v>
      </c>
    </row>
    <row r="474" spans="1:17" x14ac:dyDescent="0.3">
      <c r="A474" t="s">
        <v>965</v>
      </c>
      <c r="B474" s="2">
        <v>45913.298668981479</v>
      </c>
      <c r="C474" s="2" t="str">
        <f t="shared" si="14"/>
        <v>Sep-2025</v>
      </c>
      <c r="D474" t="s">
        <v>203</v>
      </c>
      <c r="E474" t="str">
        <f>VLOOKUP(D474,Customers!A:H,7,0)</f>
        <v>Salaried</v>
      </c>
      <c r="F474" t="s">
        <v>228</v>
      </c>
      <c r="G474" t="s">
        <v>117</v>
      </c>
      <c r="H474" t="str">
        <f>IFERROR(VLOOKUP(Transactions!G474,Merchants!A:B,2,FALSE),"Not Found")</f>
        <v>Prime Pay</v>
      </c>
      <c r="I474" s="9">
        <v>9952.4500000000007</v>
      </c>
      <c r="J474" s="3">
        <v>19.899999999999999</v>
      </c>
      <c r="K474" t="s">
        <v>58</v>
      </c>
      <c r="L474" t="s">
        <v>59</v>
      </c>
      <c r="M474" t="s">
        <v>60</v>
      </c>
      <c r="N474" t="s">
        <v>61</v>
      </c>
      <c r="O474" t="s">
        <v>62</v>
      </c>
      <c r="P474" t="str">
        <f t="shared" si="15"/>
        <v>High Value</v>
      </c>
      <c r="Q474" t="str">
        <f>VLOOKUP(G474,Merchants!A:C,3,TRUE)</f>
        <v>Travel</v>
      </c>
    </row>
    <row r="475" spans="1:17" x14ac:dyDescent="0.3">
      <c r="A475" t="s">
        <v>966</v>
      </c>
      <c r="B475" s="2">
        <v>45768.718425925923</v>
      </c>
      <c r="C475" s="2" t="str">
        <f t="shared" si="14"/>
        <v>Apr-2025</v>
      </c>
      <c r="D475" t="s">
        <v>170</v>
      </c>
      <c r="E475" t="str">
        <f>VLOOKUP(D475,Customers!A:H,7,0)</f>
        <v>Self-employed</v>
      </c>
      <c r="F475" t="s">
        <v>805</v>
      </c>
      <c r="G475" t="s">
        <v>192</v>
      </c>
      <c r="H475" t="str">
        <f>IFERROR(VLOOKUP(Transactions!G475,Merchants!A:B,2,FALSE),"Not Found")</f>
        <v>Blue Foods</v>
      </c>
      <c r="I475" s="9">
        <v>14377.72</v>
      </c>
      <c r="J475" s="3">
        <v>28.76</v>
      </c>
      <c r="K475" t="s">
        <v>58</v>
      </c>
      <c r="L475" t="s">
        <v>59</v>
      </c>
      <c r="M475" t="s">
        <v>74</v>
      </c>
      <c r="N475" t="s">
        <v>67</v>
      </c>
      <c r="O475" t="s">
        <v>75</v>
      </c>
      <c r="P475" t="str">
        <f t="shared" si="15"/>
        <v>High Value</v>
      </c>
      <c r="Q475" t="str">
        <f>VLOOKUP(G475,Merchants!A:C,3,TRUE)</f>
        <v>Travel</v>
      </c>
    </row>
    <row r="476" spans="1:17" x14ac:dyDescent="0.3">
      <c r="A476" t="s">
        <v>967</v>
      </c>
      <c r="B476" s="2">
        <v>46250.189363425918</v>
      </c>
      <c r="C476" s="2" t="str">
        <f t="shared" si="14"/>
        <v>Aug-2026</v>
      </c>
      <c r="D476" t="s">
        <v>968</v>
      </c>
      <c r="E476" t="str">
        <f>VLOOKUP(D476,Customers!A:H,7,0)</f>
        <v>Self-employed</v>
      </c>
      <c r="F476" t="s">
        <v>110</v>
      </c>
      <c r="G476" t="s">
        <v>107</v>
      </c>
      <c r="H476" t="str">
        <f>IFERROR(VLOOKUP(Transactions!G476,Merchants!A:B,2,FALSE),"Not Found")</f>
        <v>Blue Services</v>
      </c>
      <c r="I476" s="9">
        <v>5223.53</v>
      </c>
      <c r="J476" s="3">
        <v>10.45</v>
      </c>
      <c r="K476" t="s">
        <v>58</v>
      </c>
      <c r="L476" t="s">
        <v>59</v>
      </c>
      <c r="M476" t="s">
        <v>111</v>
      </c>
      <c r="N476" t="s">
        <v>67</v>
      </c>
      <c r="O476" t="s">
        <v>75</v>
      </c>
      <c r="P476" t="str">
        <f t="shared" si="15"/>
        <v>High Value</v>
      </c>
      <c r="Q476" t="str">
        <f>VLOOKUP(G476,Merchants!A:C,3,TRUE)</f>
        <v>Travel</v>
      </c>
    </row>
    <row r="477" spans="1:17" x14ac:dyDescent="0.3">
      <c r="A477" t="s">
        <v>969</v>
      </c>
      <c r="B477" s="2">
        <v>45714.457337962973</v>
      </c>
      <c r="C477" s="2" t="str">
        <f t="shared" si="14"/>
        <v>Feb-2025</v>
      </c>
      <c r="D477" t="s">
        <v>477</v>
      </c>
      <c r="E477" t="str">
        <f>VLOOKUP(D477,Customers!A:H,7,0)</f>
        <v>Student</v>
      </c>
      <c r="F477" t="s">
        <v>334</v>
      </c>
      <c r="G477" t="s">
        <v>164</v>
      </c>
      <c r="H477" t="str">
        <f>IFERROR(VLOOKUP(Transactions!G477,Merchants!A:B,2,FALSE),"Not Found")</f>
        <v>Green Foods</v>
      </c>
      <c r="I477" s="9">
        <v>36683.24</v>
      </c>
      <c r="J477" s="3">
        <v>73.37</v>
      </c>
      <c r="K477" t="s">
        <v>58</v>
      </c>
      <c r="L477" t="s">
        <v>59</v>
      </c>
      <c r="M477" t="s">
        <v>60</v>
      </c>
      <c r="N477" t="s">
        <v>61</v>
      </c>
      <c r="O477" t="s">
        <v>75</v>
      </c>
      <c r="P477" t="str">
        <f t="shared" si="15"/>
        <v>High Value</v>
      </c>
      <c r="Q477" t="str">
        <f>VLOOKUP(G477,Merchants!A:C,3,TRUE)</f>
        <v>Grocery</v>
      </c>
    </row>
    <row r="478" spans="1:17" x14ac:dyDescent="0.3">
      <c r="A478" t="s">
        <v>970</v>
      </c>
      <c r="B478" s="2">
        <v>45756.936469907407</v>
      </c>
      <c r="C478" s="2" t="str">
        <f t="shared" si="14"/>
        <v>Apr-2025</v>
      </c>
      <c r="D478" t="s">
        <v>736</v>
      </c>
      <c r="E478" t="str">
        <f>VLOOKUP(D478,Customers!A:H,7,0)</f>
        <v>Student</v>
      </c>
      <c r="F478" t="s">
        <v>123</v>
      </c>
      <c r="G478" t="s">
        <v>554</v>
      </c>
      <c r="H478" t="str">
        <f>IFERROR(VLOOKUP(Transactions!G478,Merchants!A:B,2,FALSE),"Not Found")</f>
        <v>Green Pay</v>
      </c>
      <c r="I478" s="9">
        <v>45142.61</v>
      </c>
      <c r="J478" s="3">
        <v>90.29</v>
      </c>
      <c r="K478" t="s">
        <v>96</v>
      </c>
      <c r="L478" t="s">
        <v>59</v>
      </c>
      <c r="M478" t="s">
        <v>86</v>
      </c>
      <c r="N478" t="s">
        <v>61</v>
      </c>
      <c r="O478" t="s">
        <v>91</v>
      </c>
      <c r="P478" t="str">
        <f t="shared" si="15"/>
        <v>High Value</v>
      </c>
      <c r="Q478" t="str">
        <f>VLOOKUP(G478,Merchants!A:C,3,TRUE)</f>
        <v>Utilities</v>
      </c>
    </row>
    <row r="479" spans="1:17" x14ac:dyDescent="0.3">
      <c r="A479" t="s">
        <v>971</v>
      </c>
      <c r="B479" s="2">
        <v>46122.784629629627</v>
      </c>
      <c r="C479" s="2" t="str">
        <f t="shared" si="14"/>
        <v>Apr-2026</v>
      </c>
      <c r="D479" t="s">
        <v>338</v>
      </c>
      <c r="E479" t="str">
        <f>VLOOKUP(D479,Customers!A:H,7,0)</f>
        <v>Student</v>
      </c>
      <c r="F479" t="s">
        <v>972</v>
      </c>
      <c r="G479" t="s">
        <v>430</v>
      </c>
      <c r="H479" t="str">
        <f>IFERROR(VLOOKUP(Transactions!G479,Merchants!A:B,2,FALSE),"Not Found")</f>
        <v>Prime Foods</v>
      </c>
      <c r="I479" s="9">
        <v>19758.8</v>
      </c>
      <c r="J479" s="3">
        <v>39.520000000000003</v>
      </c>
      <c r="K479" t="s">
        <v>133</v>
      </c>
      <c r="L479" t="s">
        <v>59</v>
      </c>
      <c r="M479" t="s">
        <v>111</v>
      </c>
      <c r="N479" t="s">
        <v>67</v>
      </c>
      <c r="O479" t="s">
        <v>81</v>
      </c>
      <c r="P479" t="str">
        <f t="shared" si="15"/>
        <v>High Value</v>
      </c>
      <c r="Q479" t="str">
        <f>VLOOKUP(G479,Merchants!A:C,3,TRUE)</f>
        <v>Entertainment</v>
      </c>
    </row>
    <row r="480" spans="1:17" x14ac:dyDescent="0.3">
      <c r="A480" t="s">
        <v>973</v>
      </c>
      <c r="B480" s="2">
        <v>46021.638680555552</v>
      </c>
      <c r="C480" s="2" t="str">
        <f t="shared" si="14"/>
        <v>Dec-2025</v>
      </c>
      <c r="D480" t="s">
        <v>646</v>
      </c>
      <c r="E480" t="str">
        <f>VLOOKUP(D480,Customers!A:H,7,0)</f>
        <v>Business Owner</v>
      </c>
      <c r="F480" t="s">
        <v>456</v>
      </c>
      <c r="G480" t="s">
        <v>175</v>
      </c>
      <c r="H480" t="str">
        <f>IFERROR(VLOOKUP(Transactions!G480,Merchants!A:B,2,FALSE),"Not Found")</f>
        <v>Fresh Mart</v>
      </c>
      <c r="I480" s="9">
        <v>28935.82</v>
      </c>
      <c r="J480" s="3">
        <v>86.81</v>
      </c>
      <c r="K480" t="s">
        <v>58</v>
      </c>
      <c r="L480" t="s">
        <v>80</v>
      </c>
      <c r="M480" t="s">
        <v>111</v>
      </c>
      <c r="N480" t="s">
        <v>61</v>
      </c>
      <c r="O480" t="s">
        <v>75</v>
      </c>
      <c r="P480" t="str">
        <f t="shared" si="15"/>
        <v>High Value</v>
      </c>
      <c r="Q480" t="str">
        <f>VLOOKUP(G480,Merchants!A:C,3,TRUE)</f>
        <v>Electronics</v>
      </c>
    </row>
    <row r="481" spans="1:17" x14ac:dyDescent="0.3">
      <c r="A481" t="s">
        <v>974</v>
      </c>
      <c r="B481" s="2">
        <v>46183.988657407397</v>
      </c>
      <c r="C481" s="2" t="str">
        <f t="shared" si="14"/>
        <v>Jun-2026</v>
      </c>
      <c r="D481" t="s">
        <v>524</v>
      </c>
      <c r="E481" t="str">
        <f>VLOOKUP(D481,Customers!A:H,7,0)</f>
        <v>Salaried</v>
      </c>
      <c r="F481" t="s">
        <v>904</v>
      </c>
      <c r="G481" t="s">
        <v>263</v>
      </c>
      <c r="H481" t="str">
        <f>IFERROR(VLOOKUP(Transactions!G481,Merchants!A:B,2,FALSE),"Not Found")</f>
        <v>Urban Retail</v>
      </c>
      <c r="I481" s="9">
        <v>45286.98</v>
      </c>
      <c r="J481" s="3">
        <v>135.86000000000001</v>
      </c>
      <c r="K481" t="s">
        <v>133</v>
      </c>
      <c r="L481" t="s">
        <v>59</v>
      </c>
      <c r="M481" t="s">
        <v>60</v>
      </c>
      <c r="N481" t="s">
        <v>61</v>
      </c>
      <c r="O481" t="s">
        <v>81</v>
      </c>
      <c r="P481" t="str">
        <f t="shared" si="15"/>
        <v>High Value</v>
      </c>
      <c r="Q481" t="str">
        <f>VLOOKUP(G481,Merchants!A:C,3,TRUE)</f>
        <v>Grocery</v>
      </c>
    </row>
    <row r="482" spans="1:17" x14ac:dyDescent="0.3">
      <c r="A482" t="s">
        <v>975</v>
      </c>
      <c r="B482" s="2">
        <v>45666.78533564815</v>
      </c>
      <c r="C482" s="2" t="str">
        <f t="shared" si="14"/>
        <v>Jan-2025</v>
      </c>
      <c r="D482" t="s">
        <v>618</v>
      </c>
      <c r="E482" t="str">
        <f>VLOOKUP(D482,Customers!A:H,7,0)</f>
        <v>Business Owner</v>
      </c>
      <c r="F482" t="s">
        <v>131</v>
      </c>
      <c r="G482" t="s">
        <v>164</v>
      </c>
      <c r="H482" t="str">
        <f>IFERROR(VLOOKUP(Transactions!G482,Merchants!A:B,2,FALSE),"Not Found")</f>
        <v>Green Foods</v>
      </c>
      <c r="I482" s="9">
        <v>35227.75</v>
      </c>
      <c r="J482" s="3">
        <v>70.459999999999994</v>
      </c>
      <c r="K482" t="s">
        <v>58</v>
      </c>
      <c r="L482" t="s">
        <v>80</v>
      </c>
      <c r="M482" t="s">
        <v>74</v>
      </c>
      <c r="N482" t="s">
        <v>61</v>
      </c>
      <c r="O482" t="s">
        <v>62</v>
      </c>
      <c r="P482" t="str">
        <f t="shared" si="15"/>
        <v>High Value</v>
      </c>
      <c r="Q482" t="str">
        <f>VLOOKUP(G482,Merchants!A:C,3,TRUE)</f>
        <v>Grocery</v>
      </c>
    </row>
    <row r="483" spans="1:17" x14ac:dyDescent="0.3">
      <c r="A483" t="s">
        <v>976</v>
      </c>
      <c r="B483" s="2">
        <v>45863.971736111111</v>
      </c>
      <c r="C483" s="2" t="str">
        <f t="shared" si="14"/>
        <v>Jul-2025</v>
      </c>
      <c r="D483" t="s">
        <v>633</v>
      </c>
      <c r="E483" t="str">
        <f>VLOOKUP(D483,Customers!A:H,7,0)</f>
        <v>Student</v>
      </c>
      <c r="F483" t="s">
        <v>777</v>
      </c>
      <c r="G483" t="s">
        <v>277</v>
      </c>
      <c r="H483" t="str">
        <f>IFERROR(VLOOKUP(Transactions!G483,Merchants!A:B,2,FALSE),"Not Found")</f>
        <v>Daily Digital</v>
      </c>
      <c r="I483" s="9">
        <v>54519.16</v>
      </c>
      <c r="J483" s="3">
        <v>272.60000000000002</v>
      </c>
      <c r="K483" t="s">
        <v>96</v>
      </c>
      <c r="L483" t="s">
        <v>73</v>
      </c>
      <c r="M483" t="s">
        <v>60</v>
      </c>
      <c r="N483" t="s">
        <v>61</v>
      </c>
      <c r="O483" t="s">
        <v>81</v>
      </c>
      <c r="P483" t="str">
        <f t="shared" si="15"/>
        <v>High Value</v>
      </c>
      <c r="Q483" t="str">
        <f>VLOOKUP(G483,Merchants!A:C,3,TRUE)</f>
        <v>Grocery</v>
      </c>
    </row>
    <row r="484" spans="1:17" x14ac:dyDescent="0.3">
      <c r="A484" t="s">
        <v>977</v>
      </c>
      <c r="B484" s="2">
        <v>46086.498518518521</v>
      </c>
      <c r="C484" s="2" t="str">
        <f t="shared" si="14"/>
        <v>Mar-2026</v>
      </c>
      <c r="D484" t="s">
        <v>122</v>
      </c>
      <c r="E484" t="str">
        <f>VLOOKUP(D484,Customers!A:H,7,0)</f>
        <v>Self-employed</v>
      </c>
      <c r="F484" t="s">
        <v>417</v>
      </c>
      <c r="G484" t="s">
        <v>229</v>
      </c>
      <c r="H484" t="str">
        <f>IFERROR(VLOOKUP(Transactions!G484,Merchants!A:B,2,FALSE),"Not Found")</f>
        <v>Urban Services</v>
      </c>
      <c r="I484" s="9">
        <v>9820.57</v>
      </c>
      <c r="J484" s="3">
        <v>19.64</v>
      </c>
      <c r="K484" t="s">
        <v>90</v>
      </c>
      <c r="L484" t="s">
        <v>59</v>
      </c>
      <c r="M484" t="s">
        <v>111</v>
      </c>
      <c r="N484" t="s">
        <v>61</v>
      </c>
      <c r="O484" t="s">
        <v>62</v>
      </c>
      <c r="P484" t="str">
        <f t="shared" si="15"/>
        <v>High Value</v>
      </c>
      <c r="Q484" t="str">
        <f>VLOOKUP(G484,Merchants!A:C,3,TRUE)</f>
        <v>Fashion</v>
      </c>
    </row>
    <row r="485" spans="1:17" x14ac:dyDescent="0.3">
      <c r="A485" t="s">
        <v>978</v>
      </c>
      <c r="B485" s="2">
        <v>45902.729305555556</v>
      </c>
      <c r="C485" s="2" t="str">
        <f t="shared" si="14"/>
        <v>Sep-2025</v>
      </c>
      <c r="D485" t="s">
        <v>968</v>
      </c>
      <c r="E485" t="str">
        <f>VLOOKUP(D485,Customers!A:H,7,0)</f>
        <v>Self-employed</v>
      </c>
      <c r="F485" t="s">
        <v>485</v>
      </c>
      <c r="G485" t="s">
        <v>198</v>
      </c>
      <c r="H485" t="str">
        <f>IFERROR(VLOOKUP(Transactions!G485,Merchants!A:B,2,FALSE),"Not Found")</f>
        <v>Metro Services</v>
      </c>
      <c r="I485" s="9">
        <v>44101.71</v>
      </c>
      <c r="J485" s="3">
        <v>220.51</v>
      </c>
      <c r="K485" t="s">
        <v>90</v>
      </c>
      <c r="L485" t="s">
        <v>157</v>
      </c>
      <c r="M485" t="s">
        <v>86</v>
      </c>
      <c r="N485" t="s">
        <v>61</v>
      </c>
      <c r="O485" t="s">
        <v>91</v>
      </c>
      <c r="P485" t="str">
        <f t="shared" si="15"/>
        <v>High Value</v>
      </c>
      <c r="Q485" t="str">
        <f>VLOOKUP(G485,Merchants!A:C,3,TRUE)</f>
        <v>Travel</v>
      </c>
    </row>
    <row r="486" spans="1:17" x14ac:dyDescent="0.3">
      <c r="A486" t="s">
        <v>979</v>
      </c>
      <c r="B486" s="2">
        <v>45733.542916666673</v>
      </c>
      <c r="C486" s="2" t="str">
        <f t="shared" si="14"/>
        <v>Mar-2025</v>
      </c>
      <c r="D486" t="s">
        <v>113</v>
      </c>
      <c r="E486" t="str">
        <f>VLOOKUP(D486,Customers!A:H,7,0)</f>
        <v>Business Owner</v>
      </c>
      <c r="F486" t="s">
        <v>557</v>
      </c>
      <c r="G486" t="s">
        <v>237</v>
      </c>
      <c r="H486" t="str">
        <f>IFERROR(VLOOKUP(Transactions!G486,Merchants!A:B,2,FALSE),"Not Found")</f>
        <v>Metro Pay</v>
      </c>
      <c r="I486" s="9">
        <v>1898.05</v>
      </c>
      <c r="J486" s="3">
        <v>9.49</v>
      </c>
      <c r="K486" t="s">
        <v>133</v>
      </c>
      <c r="L486" t="s">
        <v>59</v>
      </c>
      <c r="M486" t="s">
        <v>60</v>
      </c>
      <c r="N486" t="s">
        <v>67</v>
      </c>
      <c r="O486" t="s">
        <v>91</v>
      </c>
      <c r="P486" t="str">
        <f t="shared" si="15"/>
        <v>Standard</v>
      </c>
      <c r="Q486" t="str">
        <f>VLOOKUP(G486,Merchants!A:C,3,TRUE)</f>
        <v>Healthcare</v>
      </c>
    </row>
    <row r="487" spans="1:17" x14ac:dyDescent="0.3">
      <c r="A487" t="s">
        <v>980</v>
      </c>
      <c r="B487" s="2">
        <v>45861.300104166658</v>
      </c>
      <c r="C487" s="2" t="str">
        <f t="shared" si="14"/>
        <v>Jul-2025</v>
      </c>
      <c r="D487" t="s">
        <v>289</v>
      </c>
      <c r="E487" t="str">
        <f>VLOOKUP(D487,Customers!A:H,7,0)</f>
        <v>Business Owner</v>
      </c>
      <c r="F487" t="s">
        <v>739</v>
      </c>
      <c r="G487" t="s">
        <v>164</v>
      </c>
      <c r="H487" t="str">
        <f>IFERROR(VLOOKUP(Transactions!G487,Merchants!A:B,2,FALSE),"Not Found")</f>
        <v>Green Foods</v>
      </c>
      <c r="I487" s="9">
        <v>17117.64</v>
      </c>
      <c r="J487" s="3">
        <v>85.59</v>
      </c>
      <c r="K487" t="s">
        <v>90</v>
      </c>
      <c r="L487" t="s">
        <v>59</v>
      </c>
      <c r="M487" t="s">
        <v>111</v>
      </c>
      <c r="N487" t="s">
        <v>67</v>
      </c>
      <c r="O487" t="s">
        <v>91</v>
      </c>
      <c r="P487" t="str">
        <f t="shared" si="15"/>
        <v>High Value</v>
      </c>
      <c r="Q487" t="str">
        <f>VLOOKUP(G487,Merchants!A:C,3,TRUE)</f>
        <v>Grocery</v>
      </c>
    </row>
    <row r="488" spans="1:17" x14ac:dyDescent="0.3">
      <c r="A488" t="s">
        <v>981</v>
      </c>
      <c r="B488" s="2">
        <v>45838.397141203714</v>
      </c>
      <c r="C488" s="2" t="str">
        <f t="shared" si="14"/>
        <v>Jun-2025</v>
      </c>
      <c r="D488" t="s">
        <v>270</v>
      </c>
      <c r="E488" t="str">
        <f>VLOOKUP(D488,Customers!A:H,7,0)</f>
        <v>Business Owner</v>
      </c>
      <c r="F488" t="s">
        <v>99</v>
      </c>
      <c r="G488" t="s">
        <v>124</v>
      </c>
      <c r="H488" t="str">
        <f>IFERROR(VLOOKUP(Transactions!G488,Merchants!A:B,2,FALSE),"Not Found")</f>
        <v>Daily Services</v>
      </c>
      <c r="I488" s="9">
        <v>54647.87</v>
      </c>
      <c r="J488" s="3">
        <v>163.94</v>
      </c>
      <c r="K488" t="s">
        <v>72</v>
      </c>
      <c r="L488" t="s">
        <v>59</v>
      </c>
      <c r="M488" t="s">
        <v>111</v>
      </c>
      <c r="N488" t="s">
        <v>61</v>
      </c>
      <c r="O488" t="s">
        <v>75</v>
      </c>
      <c r="P488" t="str">
        <f t="shared" si="15"/>
        <v>High Value</v>
      </c>
      <c r="Q488" t="str">
        <f>VLOOKUP(G488,Merchants!A:C,3,TRUE)</f>
        <v>Food &amp; Dining</v>
      </c>
    </row>
    <row r="489" spans="1:17" x14ac:dyDescent="0.3">
      <c r="A489" t="s">
        <v>982</v>
      </c>
      <c r="B489" s="2">
        <v>45903.560752314806</v>
      </c>
      <c r="C489" s="2" t="str">
        <f t="shared" si="14"/>
        <v>Sep-2025</v>
      </c>
      <c r="D489" t="s">
        <v>741</v>
      </c>
      <c r="E489" t="str">
        <f>VLOOKUP(D489,Customers!A:H,7,0)</f>
        <v>Salaried</v>
      </c>
      <c r="F489" t="s">
        <v>409</v>
      </c>
      <c r="G489" t="s">
        <v>413</v>
      </c>
      <c r="H489" t="str">
        <f>IFERROR(VLOOKUP(Transactions!G489,Merchants!A:B,2,FALSE),"Not Found")</f>
        <v>Blue Hub</v>
      </c>
      <c r="I489" s="9">
        <v>48588.32</v>
      </c>
      <c r="J489" s="3">
        <v>485.88</v>
      </c>
      <c r="K489" t="s">
        <v>90</v>
      </c>
      <c r="L489" t="s">
        <v>80</v>
      </c>
      <c r="M489" t="s">
        <v>111</v>
      </c>
      <c r="N489" t="s">
        <v>67</v>
      </c>
      <c r="O489" t="s">
        <v>75</v>
      </c>
      <c r="P489" t="str">
        <f t="shared" si="15"/>
        <v>High Value</v>
      </c>
      <c r="Q489" t="str">
        <f>VLOOKUP(G489,Merchants!A:C,3,TRUE)</f>
        <v>Utilities</v>
      </c>
    </row>
    <row r="490" spans="1:17" x14ac:dyDescent="0.3">
      <c r="A490" t="s">
        <v>983</v>
      </c>
      <c r="B490" s="2">
        <v>46041.48233796296</v>
      </c>
      <c r="C490" s="2" t="str">
        <f t="shared" si="14"/>
        <v>Jan-2026</v>
      </c>
      <c r="D490" t="s">
        <v>639</v>
      </c>
      <c r="E490" t="str">
        <f>VLOOKUP(D490,Customers!A:H,7,0)</f>
        <v>Self-employed</v>
      </c>
      <c r="F490" t="s">
        <v>588</v>
      </c>
      <c r="G490" t="s">
        <v>208</v>
      </c>
      <c r="H490" t="str">
        <f>IFERROR(VLOOKUP(Transactions!G490,Merchants!A:B,2,FALSE),"Not Found")</f>
        <v>Blue Retail</v>
      </c>
      <c r="I490" s="9">
        <v>36012.99</v>
      </c>
      <c r="J490" s="3">
        <v>108.04</v>
      </c>
      <c r="K490" t="s">
        <v>133</v>
      </c>
      <c r="L490" t="s">
        <v>157</v>
      </c>
      <c r="M490" t="s">
        <v>111</v>
      </c>
      <c r="N490" t="s">
        <v>61</v>
      </c>
      <c r="O490" t="s">
        <v>62</v>
      </c>
      <c r="P490" t="str">
        <f t="shared" si="15"/>
        <v>High Value</v>
      </c>
      <c r="Q490" t="str">
        <f>VLOOKUP(G490,Merchants!A:C,3,TRUE)</f>
        <v>Healthcare</v>
      </c>
    </row>
    <row r="491" spans="1:17" x14ac:dyDescent="0.3">
      <c r="A491" t="s">
        <v>984</v>
      </c>
      <c r="B491" s="2">
        <v>45993.374965277777</v>
      </c>
      <c r="C491" s="2" t="str">
        <f t="shared" si="14"/>
        <v>Dec-2025</v>
      </c>
      <c r="D491" t="s">
        <v>822</v>
      </c>
      <c r="E491" t="str">
        <f>VLOOKUP(D491,Customers!A:H,7,0)</f>
        <v>Student</v>
      </c>
      <c r="F491" t="s">
        <v>875</v>
      </c>
      <c r="G491" t="s">
        <v>168</v>
      </c>
      <c r="H491" t="str">
        <f>IFERROR(VLOOKUP(Transactions!G491,Merchants!A:B,2,FALSE),"Not Found")</f>
        <v>Quick Hub</v>
      </c>
      <c r="I491" s="9">
        <v>3290.21</v>
      </c>
      <c r="J491" s="3">
        <v>9.8699999999999992</v>
      </c>
      <c r="K491" t="s">
        <v>96</v>
      </c>
      <c r="L491" t="s">
        <v>73</v>
      </c>
      <c r="M491" t="s">
        <v>111</v>
      </c>
      <c r="N491" t="s">
        <v>67</v>
      </c>
      <c r="O491" t="s">
        <v>75</v>
      </c>
      <c r="P491" t="str">
        <f t="shared" si="15"/>
        <v>High Value</v>
      </c>
      <c r="Q491" t="str">
        <f>VLOOKUP(G491,Merchants!A:C,3,TRUE)</f>
        <v>Utilities</v>
      </c>
    </row>
    <row r="492" spans="1:17" x14ac:dyDescent="0.3">
      <c r="A492" t="s">
        <v>985</v>
      </c>
      <c r="B492" s="2">
        <v>46287.098414351851</v>
      </c>
      <c r="C492" s="2" t="str">
        <f t="shared" si="14"/>
        <v>Sep-2026</v>
      </c>
      <c r="D492" t="s">
        <v>148</v>
      </c>
      <c r="E492" t="str">
        <f>VLOOKUP(D492,Customers!A:H,7,0)</f>
        <v>Salaried</v>
      </c>
      <c r="F492" t="s">
        <v>700</v>
      </c>
      <c r="G492" t="s">
        <v>554</v>
      </c>
      <c r="H492" t="str">
        <f>IFERROR(VLOOKUP(Transactions!G492,Merchants!A:B,2,FALSE),"Not Found")</f>
        <v>Green Pay</v>
      </c>
      <c r="I492" s="9">
        <v>10129.27</v>
      </c>
      <c r="J492" s="3">
        <v>50.65</v>
      </c>
      <c r="K492" t="s">
        <v>90</v>
      </c>
      <c r="L492" t="s">
        <v>59</v>
      </c>
      <c r="M492" t="s">
        <v>60</v>
      </c>
      <c r="N492" t="s">
        <v>61</v>
      </c>
      <c r="O492" t="s">
        <v>75</v>
      </c>
      <c r="P492" t="str">
        <f t="shared" si="15"/>
        <v>High Value</v>
      </c>
      <c r="Q492" t="str">
        <f>VLOOKUP(G492,Merchants!A:C,3,TRUE)</f>
        <v>Utilities</v>
      </c>
    </row>
    <row r="493" spans="1:17" x14ac:dyDescent="0.3">
      <c r="A493" t="s">
        <v>986</v>
      </c>
      <c r="B493" s="2">
        <v>46164.7187037037</v>
      </c>
      <c r="C493" s="2" t="str">
        <f t="shared" si="14"/>
        <v>May-2026</v>
      </c>
      <c r="D493" t="s">
        <v>609</v>
      </c>
      <c r="E493" t="str">
        <f>VLOOKUP(D493,Customers!A:H,7,0)</f>
        <v>Self-employed</v>
      </c>
      <c r="F493" t="s">
        <v>417</v>
      </c>
      <c r="G493" t="s">
        <v>225</v>
      </c>
      <c r="H493" t="str">
        <f>IFERROR(VLOOKUP(Transactions!G493,Merchants!A:B,2,FALSE),"Not Found")</f>
        <v>Quick Retail</v>
      </c>
      <c r="I493" s="9">
        <v>16173.29</v>
      </c>
      <c r="J493" s="3">
        <v>32.35</v>
      </c>
      <c r="K493" t="s">
        <v>96</v>
      </c>
      <c r="L493" t="s">
        <v>59</v>
      </c>
      <c r="M493" t="s">
        <v>111</v>
      </c>
      <c r="N493" t="s">
        <v>61</v>
      </c>
      <c r="O493" t="s">
        <v>62</v>
      </c>
      <c r="P493" t="str">
        <f t="shared" si="15"/>
        <v>High Value</v>
      </c>
      <c r="Q493" t="str">
        <f>VLOOKUP(G493,Merchants!A:C,3,TRUE)</f>
        <v>Grocery</v>
      </c>
    </row>
    <row r="494" spans="1:17" x14ac:dyDescent="0.3">
      <c r="A494" t="s">
        <v>987</v>
      </c>
      <c r="B494" s="2">
        <v>45971.644768518519</v>
      </c>
      <c r="C494" s="2" t="str">
        <f t="shared" si="14"/>
        <v>Nov-2025</v>
      </c>
      <c r="D494" t="s">
        <v>356</v>
      </c>
      <c r="E494" t="str">
        <f>VLOOKUP(D494,Customers!A:H,7,0)</f>
        <v>Self-employed</v>
      </c>
      <c r="F494" t="s">
        <v>89</v>
      </c>
      <c r="G494" t="s">
        <v>103</v>
      </c>
      <c r="H494" t="str">
        <f>IFERROR(VLOOKUP(Transactions!G494,Merchants!A:B,2,FALSE),"Not Found")</f>
        <v>Nova Pay</v>
      </c>
      <c r="I494" s="9">
        <v>53333.66</v>
      </c>
      <c r="J494" s="3">
        <v>266.67</v>
      </c>
      <c r="K494" t="s">
        <v>90</v>
      </c>
      <c r="L494" t="s">
        <v>59</v>
      </c>
      <c r="M494" t="s">
        <v>86</v>
      </c>
      <c r="N494" t="s">
        <v>61</v>
      </c>
      <c r="O494" t="s">
        <v>75</v>
      </c>
      <c r="P494" t="str">
        <f t="shared" si="15"/>
        <v>High Value</v>
      </c>
      <c r="Q494" t="str">
        <f>VLOOKUP(G494,Merchants!A:C,3,TRUE)</f>
        <v>Fashion</v>
      </c>
    </row>
    <row r="495" spans="1:17" x14ac:dyDescent="0.3">
      <c r="A495" t="s">
        <v>988</v>
      </c>
      <c r="B495" s="2">
        <v>46189.53334490741</v>
      </c>
      <c r="C495" s="2" t="str">
        <f t="shared" si="14"/>
        <v>Jun-2026</v>
      </c>
      <c r="D495" t="s">
        <v>102</v>
      </c>
      <c r="E495" t="str">
        <f>VLOOKUP(D495,Customers!A:H,7,0)</f>
        <v>Business Owner</v>
      </c>
      <c r="F495" t="s">
        <v>950</v>
      </c>
      <c r="G495" t="s">
        <v>554</v>
      </c>
      <c r="H495" t="str">
        <f>IFERROR(VLOOKUP(Transactions!G495,Merchants!A:B,2,FALSE),"Not Found")</f>
        <v>Green Pay</v>
      </c>
      <c r="I495" s="9">
        <v>13887.64</v>
      </c>
      <c r="J495" s="3">
        <v>69.44</v>
      </c>
      <c r="K495" t="s">
        <v>96</v>
      </c>
      <c r="L495" t="s">
        <v>59</v>
      </c>
      <c r="M495" t="s">
        <v>74</v>
      </c>
      <c r="N495" t="s">
        <v>61</v>
      </c>
      <c r="O495" t="s">
        <v>75</v>
      </c>
      <c r="P495" t="str">
        <f t="shared" si="15"/>
        <v>High Value</v>
      </c>
      <c r="Q495" t="str">
        <f>VLOOKUP(G495,Merchants!A:C,3,TRUE)</f>
        <v>Utilities</v>
      </c>
    </row>
    <row r="496" spans="1:17" x14ac:dyDescent="0.3">
      <c r="A496" t="s">
        <v>989</v>
      </c>
      <c r="B496" s="2">
        <v>45982.414178240739</v>
      </c>
      <c r="C496" s="2" t="str">
        <f t="shared" si="14"/>
        <v>Nov-2025</v>
      </c>
      <c r="D496" t="s">
        <v>352</v>
      </c>
      <c r="E496" t="str">
        <f>VLOOKUP(D496,Customers!A:H,7,0)</f>
        <v>Self-employed</v>
      </c>
      <c r="F496" t="s">
        <v>855</v>
      </c>
      <c r="G496" t="s">
        <v>430</v>
      </c>
      <c r="H496" t="str">
        <f>IFERROR(VLOOKUP(Transactions!G496,Merchants!A:B,2,FALSE),"Not Found")</f>
        <v>Prime Foods</v>
      </c>
      <c r="I496" s="9">
        <v>23004.02</v>
      </c>
      <c r="J496" s="3">
        <v>69.010000000000005</v>
      </c>
      <c r="K496" t="s">
        <v>72</v>
      </c>
      <c r="L496" t="s">
        <v>59</v>
      </c>
      <c r="M496" t="s">
        <v>86</v>
      </c>
      <c r="N496" t="s">
        <v>61</v>
      </c>
      <c r="O496" t="s">
        <v>91</v>
      </c>
      <c r="P496" t="str">
        <f t="shared" si="15"/>
        <v>High Value</v>
      </c>
      <c r="Q496" t="str">
        <f>VLOOKUP(G496,Merchants!A:C,3,TRUE)</f>
        <v>Entertainment</v>
      </c>
    </row>
    <row r="497" spans="1:17" x14ac:dyDescent="0.3">
      <c r="A497" t="s">
        <v>990</v>
      </c>
      <c r="B497" s="2">
        <v>45941.345486111109</v>
      </c>
      <c r="C497" s="2" t="str">
        <f t="shared" si="14"/>
        <v>Oct-2025</v>
      </c>
      <c r="D497" t="s">
        <v>437</v>
      </c>
      <c r="E497" t="str">
        <f>VLOOKUP(D497,Customers!A:H,7,0)</f>
        <v>Salaried</v>
      </c>
      <c r="F497" t="s">
        <v>211</v>
      </c>
      <c r="G497" t="s">
        <v>201</v>
      </c>
      <c r="H497" t="str">
        <f>IFERROR(VLOOKUP(Transactions!G497,Merchants!A:B,2,FALSE),"Not Found")</f>
        <v>Urban Stores</v>
      </c>
      <c r="I497" s="9">
        <v>5994.71</v>
      </c>
      <c r="J497" s="3">
        <v>11.99</v>
      </c>
      <c r="K497" t="s">
        <v>90</v>
      </c>
      <c r="L497" t="s">
        <v>59</v>
      </c>
      <c r="M497" t="s">
        <v>60</v>
      </c>
      <c r="N497" t="s">
        <v>61</v>
      </c>
      <c r="O497" t="s">
        <v>81</v>
      </c>
      <c r="P497" t="str">
        <f t="shared" si="15"/>
        <v>High Value</v>
      </c>
      <c r="Q497" t="str">
        <f>VLOOKUP(G497,Merchants!A:C,3,TRUE)</f>
        <v>Entertainment</v>
      </c>
    </row>
    <row r="498" spans="1:17" x14ac:dyDescent="0.3">
      <c r="A498" t="s">
        <v>991</v>
      </c>
      <c r="B498" s="2">
        <v>45939.289201388892</v>
      </c>
      <c r="C498" s="2" t="str">
        <f t="shared" si="14"/>
        <v>Oct-2025</v>
      </c>
      <c r="D498" t="s">
        <v>105</v>
      </c>
      <c r="E498" t="str">
        <f>VLOOKUP(D498,Customers!A:H,7,0)</f>
        <v>Student</v>
      </c>
      <c r="F498" t="s">
        <v>541</v>
      </c>
      <c r="G498" t="s">
        <v>263</v>
      </c>
      <c r="H498" t="str">
        <f>IFERROR(VLOOKUP(Transactions!G498,Merchants!A:B,2,FALSE),"Not Found")</f>
        <v>Urban Retail</v>
      </c>
      <c r="I498" s="9">
        <v>42367.99</v>
      </c>
      <c r="J498" s="3">
        <v>211.84</v>
      </c>
      <c r="K498" t="s">
        <v>72</v>
      </c>
      <c r="L498" t="s">
        <v>157</v>
      </c>
      <c r="M498" t="s">
        <v>60</v>
      </c>
      <c r="N498" t="s">
        <v>61</v>
      </c>
      <c r="O498" t="s">
        <v>75</v>
      </c>
      <c r="P498" t="str">
        <f t="shared" si="15"/>
        <v>High Value</v>
      </c>
      <c r="Q498" t="str">
        <f>VLOOKUP(G498,Merchants!A:C,3,TRUE)</f>
        <v>Grocery</v>
      </c>
    </row>
    <row r="499" spans="1:17" x14ac:dyDescent="0.3">
      <c r="A499" t="s">
        <v>992</v>
      </c>
      <c r="B499" s="2">
        <v>46251.994120370371</v>
      </c>
      <c r="C499" s="2" t="str">
        <f t="shared" si="14"/>
        <v>Aug-2026</v>
      </c>
      <c r="D499" t="s">
        <v>130</v>
      </c>
      <c r="E499" t="str">
        <f>VLOOKUP(D499,Customers!A:H,7,0)</f>
        <v>Student</v>
      </c>
      <c r="F499" t="s">
        <v>344</v>
      </c>
      <c r="G499" t="s">
        <v>322</v>
      </c>
      <c r="H499" t="str">
        <f>IFERROR(VLOOKUP(Transactions!G499,Merchants!A:B,2,FALSE),"Not Found")</f>
        <v>Metro Pay</v>
      </c>
      <c r="I499" s="9">
        <v>812.25</v>
      </c>
      <c r="J499" s="3">
        <v>2.44</v>
      </c>
      <c r="K499" t="s">
        <v>90</v>
      </c>
      <c r="L499" t="s">
        <v>80</v>
      </c>
      <c r="M499" t="s">
        <v>74</v>
      </c>
      <c r="N499" t="s">
        <v>67</v>
      </c>
      <c r="O499" t="s">
        <v>75</v>
      </c>
      <c r="P499" t="str">
        <f t="shared" si="15"/>
        <v>Standard</v>
      </c>
      <c r="Q499" t="str">
        <f>VLOOKUP(G499,Merchants!A:C,3,TRUE)</f>
        <v>Grocery</v>
      </c>
    </row>
    <row r="500" spans="1:17" x14ac:dyDescent="0.3">
      <c r="A500" t="s">
        <v>993</v>
      </c>
      <c r="B500" s="2">
        <v>46130.516782407409</v>
      </c>
      <c r="C500" s="2" t="str">
        <f t="shared" si="14"/>
        <v>Apr-2026</v>
      </c>
      <c r="D500" t="s">
        <v>102</v>
      </c>
      <c r="E500" t="str">
        <f>VLOOKUP(D500,Customers!A:H,7,0)</f>
        <v>Business Owner</v>
      </c>
      <c r="F500" t="s">
        <v>541</v>
      </c>
      <c r="G500" t="s">
        <v>107</v>
      </c>
      <c r="H500" t="str">
        <f>IFERROR(VLOOKUP(Transactions!G500,Merchants!A:B,2,FALSE),"Not Found")</f>
        <v>Blue Services</v>
      </c>
      <c r="I500" s="9">
        <v>47535.7</v>
      </c>
      <c r="J500" s="3">
        <v>142.61000000000001</v>
      </c>
      <c r="K500" t="s">
        <v>96</v>
      </c>
      <c r="L500" t="s">
        <v>59</v>
      </c>
      <c r="M500" t="s">
        <v>111</v>
      </c>
      <c r="N500" t="s">
        <v>61</v>
      </c>
      <c r="O500" t="s">
        <v>75</v>
      </c>
      <c r="P500" t="str">
        <f t="shared" si="15"/>
        <v>High Value</v>
      </c>
      <c r="Q500" t="str">
        <f>VLOOKUP(G500,Merchants!A:C,3,TRUE)</f>
        <v>Travel</v>
      </c>
    </row>
    <row r="501" spans="1:17" x14ac:dyDescent="0.3">
      <c r="A501" t="s">
        <v>994</v>
      </c>
      <c r="B501" s="2">
        <v>46229.045659722222</v>
      </c>
      <c r="C501" s="2" t="str">
        <f t="shared" si="14"/>
        <v>Jul-2026</v>
      </c>
      <c r="D501" t="s">
        <v>187</v>
      </c>
      <c r="E501" t="str">
        <f>VLOOKUP(D501,Customers!A:H,7,0)</f>
        <v>Business Owner</v>
      </c>
      <c r="F501" t="s">
        <v>259</v>
      </c>
      <c r="G501" t="s">
        <v>229</v>
      </c>
      <c r="H501" t="str">
        <f>IFERROR(VLOOKUP(Transactions!G501,Merchants!A:B,2,FALSE),"Not Found")</f>
        <v>Urban Services</v>
      </c>
      <c r="I501" s="9">
        <v>22544.54</v>
      </c>
      <c r="J501" s="3">
        <v>67.63</v>
      </c>
      <c r="K501" t="s">
        <v>96</v>
      </c>
      <c r="L501" t="s">
        <v>59</v>
      </c>
      <c r="M501" t="s">
        <v>60</v>
      </c>
      <c r="N501" t="s">
        <v>61</v>
      </c>
      <c r="O501" t="s">
        <v>62</v>
      </c>
      <c r="P501" t="str">
        <f t="shared" si="15"/>
        <v>High Value</v>
      </c>
      <c r="Q501" t="str">
        <f>VLOOKUP(G501,Merchants!A:C,3,TRUE)</f>
        <v>Fashion</v>
      </c>
    </row>
    <row r="502" spans="1:17" x14ac:dyDescent="0.3">
      <c r="A502" t="s">
        <v>995</v>
      </c>
      <c r="B502" s="2">
        <v>46087.645821759259</v>
      </c>
      <c r="C502" s="2" t="str">
        <f t="shared" si="14"/>
        <v>Mar-2026</v>
      </c>
      <c r="D502" t="s">
        <v>162</v>
      </c>
      <c r="E502" t="str">
        <f>VLOOKUP(D502,Customers!A:H,7,0)</f>
        <v>Self-employed</v>
      </c>
      <c r="F502" t="s">
        <v>479</v>
      </c>
      <c r="G502" t="s">
        <v>783</v>
      </c>
      <c r="H502" t="str">
        <f>IFERROR(VLOOKUP(Transactions!G502,Merchants!A:B,2,FALSE),"Not Found")</f>
        <v>Daily Stores</v>
      </c>
      <c r="I502" s="9">
        <v>41177.19</v>
      </c>
      <c r="J502" s="3">
        <v>205.89</v>
      </c>
      <c r="K502" t="s">
        <v>133</v>
      </c>
      <c r="L502" t="s">
        <v>59</v>
      </c>
      <c r="M502" t="s">
        <v>86</v>
      </c>
      <c r="N502" t="s">
        <v>67</v>
      </c>
      <c r="O502" t="s">
        <v>62</v>
      </c>
      <c r="P502" t="str">
        <f t="shared" si="15"/>
        <v>High Value</v>
      </c>
      <c r="Q502" t="str">
        <f>VLOOKUP(G502,Merchants!A:C,3,TRUE)</f>
        <v>Entertainment</v>
      </c>
    </row>
    <row r="503" spans="1:17" x14ac:dyDescent="0.3">
      <c r="A503" t="s">
        <v>996</v>
      </c>
      <c r="B503" s="2">
        <v>45996.861956018518</v>
      </c>
      <c r="C503" s="2" t="str">
        <f t="shared" si="14"/>
        <v>Dec-2025</v>
      </c>
      <c r="D503" t="s">
        <v>270</v>
      </c>
      <c r="E503" t="str">
        <f>VLOOKUP(D503,Customers!A:H,7,0)</f>
        <v>Business Owner</v>
      </c>
      <c r="F503" t="s">
        <v>485</v>
      </c>
      <c r="G503" t="s">
        <v>198</v>
      </c>
      <c r="H503" t="str">
        <f>IFERROR(VLOOKUP(Transactions!G503,Merchants!A:B,2,FALSE),"Not Found")</f>
        <v>Metro Services</v>
      </c>
      <c r="I503" s="9">
        <v>37827.370000000003</v>
      </c>
      <c r="J503" s="3">
        <v>378.27</v>
      </c>
      <c r="K503" t="s">
        <v>58</v>
      </c>
      <c r="L503" t="s">
        <v>59</v>
      </c>
      <c r="M503" t="s">
        <v>74</v>
      </c>
      <c r="N503" t="s">
        <v>67</v>
      </c>
      <c r="O503" t="s">
        <v>75</v>
      </c>
      <c r="P503" t="str">
        <f t="shared" si="15"/>
        <v>High Value</v>
      </c>
      <c r="Q503" t="str">
        <f>VLOOKUP(G503,Merchants!A:C,3,TRUE)</f>
        <v>Travel</v>
      </c>
    </row>
    <row r="504" spans="1:17" x14ac:dyDescent="0.3">
      <c r="A504" t="s">
        <v>997</v>
      </c>
      <c r="B504" s="2">
        <v>45769.498854166668</v>
      </c>
      <c r="C504" s="2" t="str">
        <f t="shared" si="14"/>
        <v>Apr-2025</v>
      </c>
      <c r="D504" t="s">
        <v>98</v>
      </c>
      <c r="E504" t="str">
        <f>VLOOKUP(D504,Customers!A:H,7,0)</f>
        <v>Self-employed</v>
      </c>
      <c r="F504" t="s">
        <v>497</v>
      </c>
      <c r="G504" t="s">
        <v>244</v>
      </c>
      <c r="H504" t="str">
        <f>IFERROR(VLOOKUP(Transactions!G504,Merchants!A:B,2,FALSE),"Not Found")</f>
        <v>Blue Hub</v>
      </c>
      <c r="I504" s="9">
        <v>34213.949999999997</v>
      </c>
      <c r="J504" s="3">
        <v>171.07</v>
      </c>
      <c r="K504" t="s">
        <v>133</v>
      </c>
      <c r="L504" t="s">
        <v>59</v>
      </c>
      <c r="M504" t="s">
        <v>111</v>
      </c>
      <c r="N504" t="s">
        <v>67</v>
      </c>
      <c r="O504" t="s">
        <v>75</v>
      </c>
      <c r="P504" t="str">
        <f t="shared" si="15"/>
        <v>High Value</v>
      </c>
      <c r="Q504" t="str">
        <f>VLOOKUP(G504,Merchants!A:C,3,TRUE)</f>
        <v>Healthcare</v>
      </c>
    </row>
    <row r="505" spans="1:17" x14ac:dyDescent="0.3">
      <c r="A505" t="s">
        <v>998</v>
      </c>
      <c r="B505" s="2">
        <v>45685.283217592587</v>
      </c>
      <c r="C505" s="2" t="str">
        <f t="shared" si="14"/>
        <v>Jan-2025</v>
      </c>
      <c r="D505" t="s">
        <v>481</v>
      </c>
      <c r="E505" t="str">
        <f>VLOOKUP(D505,Customers!A:H,7,0)</f>
        <v>Student</v>
      </c>
      <c r="F505" t="s">
        <v>485</v>
      </c>
      <c r="G505" t="s">
        <v>322</v>
      </c>
      <c r="H505" t="str">
        <f>IFERROR(VLOOKUP(Transactions!G505,Merchants!A:B,2,FALSE),"Not Found")</f>
        <v>Metro Pay</v>
      </c>
      <c r="I505" s="9">
        <v>12020.02</v>
      </c>
      <c r="J505" s="3">
        <v>120.2</v>
      </c>
      <c r="K505" t="s">
        <v>72</v>
      </c>
      <c r="L505" t="s">
        <v>157</v>
      </c>
      <c r="M505" t="s">
        <v>86</v>
      </c>
      <c r="N505" t="s">
        <v>61</v>
      </c>
      <c r="O505" t="s">
        <v>91</v>
      </c>
      <c r="P505" t="str">
        <f t="shared" si="15"/>
        <v>High Value</v>
      </c>
      <c r="Q505" t="str">
        <f>VLOOKUP(G505,Merchants!A:C,3,TRUE)</f>
        <v>Grocery</v>
      </c>
    </row>
    <row r="506" spans="1:17" x14ac:dyDescent="0.3">
      <c r="A506" t="s">
        <v>999</v>
      </c>
      <c r="B506" s="2">
        <v>46035.786620370367</v>
      </c>
      <c r="C506" s="2" t="str">
        <f t="shared" si="14"/>
        <v>Jan-2026</v>
      </c>
      <c r="D506" t="s">
        <v>771</v>
      </c>
      <c r="E506" t="str">
        <f>VLOOKUP(D506,Customers!A:H,7,0)</f>
        <v>Salaried</v>
      </c>
      <c r="F506" t="s">
        <v>863</v>
      </c>
      <c r="G506" t="s">
        <v>124</v>
      </c>
      <c r="H506" t="str">
        <f>IFERROR(VLOOKUP(Transactions!G506,Merchants!A:B,2,FALSE),"Not Found")</f>
        <v>Daily Services</v>
      </c>
      <c r="I506" s="9">
        <v>761.72</v>
      </c>
      <c r="J506" s="3">
        <v>7.62</v>
      </c>
      <c r="K506" t="s">
        <v>90</v>
      </c>
      <c r="L506" t="s">
        <v>59</v>
      </c>
      <c r="M506" t="s">
        <v>74</v>
      </c>
      <c r="N506" t="s">
        <v>61</v>
      </c>
      <c r="O506" t="s">
        <v>91</v>
      </c>
      <c r="P506" t="str">
        <f t="shared" si="15"/>
        <v>Standard</v>
      </c>
      <c r="Q506" t="str">
        <f>VLOOKUP(G506,Merchants!A:C,3,TRUE)</f>
        <v>Food &amp; Dining</v>
      </c>
    </row>
    <row r="507" spans="1:17" x14ac:dyDescent="0.3">
      <c r="A507" t="s">
        <v>1000</v>
      </c>
      <c r="B507" s="2">
        <v>46056.31322916667</v>
      </c>
      <c r="C507" s="2" t="str">
        <f t="shared" si="14"/>
        <v>Feb-2026</v>
      </c>
      <c r="D507" t="s">
        <v>141</v>
      </c>
      <c r="E507" t="str">
        <f>VLOOKUP(D507,Customers!A:H,7,0)</f>
        <v>Salaried</v>
      </c>
      <c r="F507" t="s">
        <v>475</v>
      </c>
      <c r="G507" t="s">
        <v>95</v>
      </c>
      <c r="H507" t="str">
        <f>IFERROR(VLOOKUP(Transactions!G507,Merchants!A:B,2,FALSE),"Not Found")</f>
        <v>Quick Pay</v>
      </c>
      <c r="I507" s="9">
        <v>7882.94</v>
      </c>
      <c r="J507" s="3">
        <v>78.83</v>
      </c>
      <c r="K507" t="s">
        <v>133</v>
      </c>
      <c r="L507" t="s">
        <v>59</v>
      </c>
      <c r="M507" t="s">
        <v>60</v>
      </c>
      <c r="N507" t="s">
        <v>67</v>
      </c>
      <c r="O507" t="s">
        <v>75</v>
      </c>
      <c r="P507" t="str">
        <f t="shared" si="15"/>
        <v>High Value</v>
      </c>
      <c r="Q507" t="str">
        <f>VLOOKUP(G507,Merchants!A:C,3,TRUE)</f>
        <v>Healthcare</v>
      </c>
    </row>
    <row r="508" spans="1:17" x14ac:dyDescent="0.3">
      <c r="A508" t="s">
        <v>1001</v>
      </c>
      <c r="B508" s="2">
        <v>45940.305983796286</v>
      </c>
      <c r="C508" s="2" t="str">
        <f t="shared" si="14"/>
        <v>Oct-2025</v>
      </c>
      <c r="D508" t="s">
        <v>521</v>
      </c>
      <c r="E508" t="str">
        <f>VLOOKUP(D508,Customers!A:H,7,0)</f>
        <v>Self-employed</v>
      </c>
      <c r="F508" t="s">
        <v>1002</v>
      </c>
      <c r="G508" t="s">
        <v>192</v>
      </c>
      <c r="H508" t="str">
        <f>IFERROR(VLOOKUP(Transactions!G508,Merchants!A:B,2,FALSE),"Not Found")</f>
        <v>Blue Foods</v>
      </c>
      <c r="I508" s="9">
        <v>545.85</v>
      </c>
      <c r="J508" s="3">
        <v>1.0900000000000001</v>
      </c>
      <c r="K508" t="s">
        <v>133</v>
      </c>
      <c r="L508" t="s">
        <v>59</v>
      </c>
      <c r="M508" t="s">
        <v>60</v>
      </c>
      <c r="N508" t="s">
        <v>61</v>
      </c>
      <c r="O508" t="s">
        <v>75</v>
      </c>
      <c r="P508" t="str">
        <f t="shared" si="15"/>
        <v>Standard</v>
      </c>
      <c r="Q508" t="str">
        <f>VLOOKUP(G508,Merchants!A:C,3,TRUE)</f>
        <v>Travel</v>
      </c>
    </row>
    <row r="509" spans="1:17" x14ac:dyDescent="0.3">
      <c r="A509" t="s">
        <v>1003</v>
      </c>
      <c r="B509" s="2">
        <v>46131.87400462963</v>
      </c>
      <c r="C509" s="2" t="str">
        <f t="shared" si="14"/>
        <v>Apr-2026</v>
      </c>
      <c r="D509" t="s">
        <v>501</v>
      </c>
      <c r="E509" t="str">
        <f>VLOOKUP(D509,Customers!A:H,7,0)</f>
        <v>Salaried</v>
      </c>
      <c r="F509" t="s">
        <v>396</v>
      </c>
      <c r="G509" t="s">
        <v>263</v>
      </c>
      <c r="H509" t="str">
        <f>IFERROR(VLOOKUP(Transactions!G509,Merchants!A:B,2,FALSE),"Not Found")</f>
        <v>Urban Retail</v>
      </c>
      <c r="I509" s="9">
        <v>2441.1799999999998</v>
      </c>
      <c r="J509" s="3">
        <v>24.41</v>
      </c>
      <c r="K509" t="s">
        <v>96</v>
      </c>
      <c r="L509" t="s">
        <v>59</v>
      </c>
      <c r="M509" t="s">
        <v>111</v>
      </c>
      <c r="N509" t="s">
        <v>61</v>
      </c>
      <c r="O509" t="s">
        <v>62</v>
      </c>
      <c r="P509" t="str">
        <f t="shared" si="15"/>
        <v>Standard</v>
      </c>
      <c r="Q509" t="str">
        <f>VLOOKUP(G509,Merchants!A:C,3,TRUE)</f>
        <v>Grocery</v>
      </c>
    </row>
    <row r="510" spans="1:17" x14ac:dyDescent="0.3">
      <c r="A510" t="s">
        <v>1004</v>
      </c>
      <c r="B510" s="2">
        <v>45841.937118055554</v>
      </c>
      <c r="C510" s="2" t="str">
        <f t="shared" si="14"/>
        <v>Jul-2025</v>
      </c>
      <c r="D510" t="s">
        <v>1005</v>
      </c>
      <c r="E510" t="str">
        <f>VLOOKUP(D510,Customers!A:H,7,0)</f>
        <v>Business Owner</v>
      </c>
      <c r="F510" t="s">
        <v>627</v>
      </c>
      <c r="G510" t="s">
        <v>244</v>
      </c>
      <c r="H510" t="str">
        <f>IFERROR(VLOOKUP(Transactions!G510,Merchants!A:B,2,FALSE),"Not Found")</f>
        <v>Blue Hub</v>
      </c>
      <c r="I510" s="9">
        <v>44021.31</v>
      </c>
      <c r="J510" s="3">
        <v>132.06</v>
      </c>
      <c r="K510" t="s">
        <v>96</v>
      </c>
      <c r="L510" t="s">
        <v>59</v>
      </c>
      <c r="M510" t="s">
        <v>86</v>
      </c>
      <c r="N510" t="s">
        <v>67</v>
      </c>
      <c r="O510" t="s">
        <v>62</v>
      </c>
      <c r="P510" t="str">
        <f t="shared" si="15"/>
        <v>High Value</v>
      </c>
      <c r="Q510" t="str">
        <f>VLOOKUP(G510,Merchants!A:C,3,TRUE)</f>
        <v>Healthcare</v>
      </c>
    </row>
    <row r="511" spans="1:17" x14ac:dyDescent="0.3">
      <c r="A511" t="s">
        <v>1006</v>
      </c>
      <c r="B511" s="2">
        <v>45938.952824074076</v>
      </c>
      <c r="C511" s="2" t="str">
        <f t="shared" si="14"/>
        <v>Oct-2025</v>
      </c>
      <c r="D511" t="s">
        <v>1005</v>
      </c>
      <c r="E511" t="str">
        <f>VLOOKUP(D511,Customers!A:H,7,0)</f>
        <v>Business Owner</v>
      </c>
      <c r="F511" t="s">
        <v>321</v>
      </c>
      <c r="G511" t="s">
        <v>57</v>
      </c>
      <c r="H511" t="str">
        <f>IFERROR(VLOOKUP(Transactions!G511,Merchants!A:B,2,FALSE),"Not Found")</f>
        <v>Daily Stores</v>
      </c>
      <c r="I511" s="9">
        <v>32310.48</v>
      </c>
      <c r="J511" s="3">
        <v>64.62</v>
      </c>
      <c r="K511" t="s">
        <v>96</v>
      </c>
      <c r="L511" t="s">
        <v>80</v>
      </c>
      <c r="M511" t="s">
        <v>74</v>
      </c>
      <c r="N511" t="s">
        <v>67</v>
      </c>
      <c r="O511" t="s">
        <v>81</v>
      </c>
      <c r="P511" t="str">
        <f t="shared" si="15"/>
        <v>High Value</v>
      </c>
      <c r="Q511" t="str">
        <f>VLOOKUP(G511,Merchants!A:C,3,TRUE)</f>
        <v>Travel</v>
      </c>
    </row>
    <row r="512" spans="1:17" x14ac:dyDescent="0.3">
      <c r="A512" t="s">
        <v>1007</v>
      </c>
      <c r="B512" s="2">
        <v>45736.159618055557</v>
      </c>
      <c r="C512" s="2" t="str">
        <f t="shared" si="14"/>
        <v>Mar-2025</v>
      </c>
      <c r="D512" t="s">
        <v>530</v>
      </c>
      <c r="E512" t="str">
        <f>VLOOKUP(D512,Customers!A:H,7,0)</f>
        <v>Business Owner</v>
      </c>
      <c r="F512" t="s">
        <v>426</v>
      </c>
      <c r="G512" t="s">
        <v>189</v>
      </c>
      <c r="H512" t="str">
        <f>IFERROR(VLOOKUP(Transactions!G512,Merchants!A:B,2,FALSE),"Not Found")</f>
        <v>Quick Services</v>
      </c>
      <c r="I512" s="9">
        <v>30313.25</v>
      </c>
      <c r="J512" s="3">
        <v>303.13</v>
      </c>
      <c r="K512" t="s">
        <v>90</v>
      </c>
      <c r="L512" t="s">
        <v>80</v>
      </c>
      <c r="M512" t="s">
        <v>86</v>
      </c>
      <c r="N512" t="s">
        <v>61</v>
      </c>
      <c r="O512" t="s">
        <v>91</v>
      </c>
      <c r="P512" t="str">
        <f t="shared" si="15"/>
        <v>High Value</v>
      </c>
      <c r="Q512" t="str">
        <f>VLOOKUP(G512,Merchants!A:C,3,TRUE)</f>
        <v>Food &amp; Dining</v>
      </c>
    </row>
    <row r="513" spans="1:17" x14ac:dyDescent="0.3">
      <c r="A513" t="s">
        <v>1008</v>
      </c>
      <c r="B513" s="2">
        <v>45732.969178240739</v>
      </c>
      <c r="C513" s="2" t="str">
        <f t="shared" si="14"/>
        <v>Mar-2025</v>
      </c>
      <c r="D513" t="s">
        <v>320</v>
      </c>
      <c r="E513" t="str">
        <f>VLOOKUP(D513,Customers!A:H,7,0)</f>
        <v>Student</v>
      </c>
      <c r="F513" t="s">
        <v>531</v>
      </c>
      <c r="G513" t="s">
        <v>198</v>
      </c>
      <c r="H513" t="str">
        <f>IFERROR(VLOOKUP(Transactions!G513,Merchants!A:B,2,FALSE),"Not Found")</f>
        <v>Metro Services</v>
      </c>
      <c r="I513" s="9">
        <v>41699.69</v>
      </c>
      <c r="J513" s="3">
        <v>417</v>
      </c>
      <c r="K513" t="s">
        <v>90</v>
      </c>
      <c r="L513" t="s">
        <v>80</v>
      </c>
      <c r="M513" t="s">
        <v>74</v>
      </c>
      <c r="N513" t="s">
        <v>67</v>
      </c>
      <c r="O513" t="s">
        <v>91</v>
      </c>
      <c r="P513" t="str">
        <f t="shared" si="15"/>
        <v>High Value</v>
      </c>
      <c r="Q513" t="str">
        <f>VLOOKUP(G513,Merchants!A:C,3,TRUE)</f>
        <v>Travel</v>
      </c>
    </row>
    <row r="514" spans="1:17" x14ac:dyDescent="0.3">
      <c r="A514" t="s">
        <v>1009</v>
      </c>
      <c r="B514" s="2">
        <v>45914.17396990741</v>
      </c>
      <c r="C514" s="2" t="str">
        <f t="shared" si="14"/>
        <v>Sep-2025</v>
      </c>
      <c r="D514" t="s">
        <v>527</v>
      </c>
      <c r="E514" t="str">
        <f>VLOOKUP(D514,Customers!A:H,7,0)</f>
        <v>Student</v>
      </c>
      <c r="F514" t="s">
        <v>188</v>
      </c>
      <c r="G514" t="s">
        <v>430</v>
      </c>
      <c r="H514" t="str">
        <f>IFERROR(VLOOKUP(Transactions!G514,Merchants!A:B,2,FALSE),"Not Found")</f>
        <v>Prime Foods</v>
      </c>
      <c r="I514" s="9">
        <v>42575.07</v>
      </c>
      <c r="J514" s="3">
        <v>425.75</v>
      </c>
      <c r="K514" t="s">
        <v>58</v>
      </c>
      <c r="L514" t="s">
        <v>59</v>
      </c>
      <c r="M514" t="s">
        <v>111</v>
      </c>
      <c r="N514" t="s">
        <v>61</v>
      </c>
      <c r="O514" t="s">
        <v>62</v>
      </c>
      <c r="P514" t="str">
        <f t="shared" si="15"/>
        <v>High Value</v>
      </c>
      <c r="Q514" t="str">
        <f>VLOOKUP(G514,Merchants!A:C,3,TRUE)</f>
        <v>Entertainment</v>
      </c>
    </row>
    <row r="515" spans="1:17" x14ac:dyDescent="0.3">
      <c r="A515" t="s">
        <v>1010</v>
      </c>
      <c r="B515" s="2">
        <v>46140.423460648148</v>
      </c>
      <c r="C515" s="2" t="str">
        <f t="shared" ref="C515:C578" si="16">TEXT(B515,"mmm-yyyy")</f>
        <v>Apr-2026</v>
      </c>
      <c r="D515" t="s">
        <v>435</v>
      </c>
      <c r="E515" t="str">
        <f>VLOOKUP(D515,Customers!A:H,7,0)</f>
        <v>Business Owner</v>
      </c>
      <c r="F515" t="s">
        <v>443</v>
      </c>
      <c r="G515" t="s">
        <v>215</v>
      </c>
      <c r="H515" t="str">
        <f>IFERROR(VLOOKUP(Transactions!G515,Merchants!A:B,2,FALSE),"Not Found")</f>
        <v>Daily Hub</v>
      </c>
      <c r="I515" s="9">
        <v>50509.599999999999</v>
      </c>
      <c r="J515" s="3">
        <v>101.02</v>
      </c>
      <c r="K515" t="s">
        <v>72</v>
      </c>
      <c r="L515" t="s">
        <v>59</v>
      </c>
      <c r="M515" t="s">
        <v>86</v>
      </c>
      <c r="N515" t="s">
        <v>61</v>
      </c>
      <c r="O515" t="s">
        <v>62</v>
      </c>
      <c r="P515" t="str">
        <f t="shared" ref="P515:P578" si="17">IF(I515&gt;=2500,"High Value","Standard")</f>
        <v>High Value</v>
      </c>
      <c r="Q515" t="str">
        <f>VLOOKUP(G515,Merchants!A:C,3,TRUE)</f>
        <v>Fashion</v>
      </c>
    </row>
    <row r="516" spans="1:17" x14ac:dyDescent="0.3">
      <c r="A516" t="s">
        <v>1011</v>
      </c>
      <c r="B516" s="2">
        <v>45737.017002314817</v>
      </c>
      <c r="C516" s="2" t="str">
        <f t="shared" si="16"/>
        <v>Mar-2025</v>
      </c>
      <c r="D516" t="s">
        <v>474</v>
      </c>
      <c r="E516" t="str">
        <f>VLOOKUP(D516,Customers!A:H,7,0)</f>
        <v>Self-employed</v>
      </c>
      <c r="F516" t="s">
        <v>1012</v>
      </c>
      <c r="G516" t="s">
        <v>175</v>
      </c>
      <c r="H516" t="str">
        <f>IFERROR(VLOOKUP(Transactions!G516,Merchants!A:B,2,FALSE),"Not Found")</f>
        <v>Fresh Mart</v>
      </c>
      <c r="I516" s="9">
        <v>40675.25</v>
      </c>
      <c r="J516" s="3">
        <v>203.38</v>
      </c>
      <c r="K516" t="s">
        <v>133</v>
      </c>
      <c r="L516" t="s">
        <v>59</v>
      </c>
      <c r="M516" t="s">
        <v>111</v>
      </c>
      <c r="N516" t="s">
        <v>61</v>
      </c>
      <c r="O516" t="s">
        <v>91</v>
      </c>
      <c r="P516" t="str">
        <f t="shared" si="17"/>
        <v>High Value</v>
      </c>
      <c r="Q516" t="str">
        <f>VLOOKUP(G516,Merchants!A:C,3,TRUE)</f>
        <v>Electronics</v>
      </c>
    </row>
    <row r="517" spans="1:17" x14ac:dyDescent="0.3">
      <c r="A517" t="s">
        <v>1013</v>
      </c>
      <c r="B517" s="2">
        <v>46193.972430555557</v>
      </c>
      <c r="C517" s="2" t="str">
        <f t="shared" si="16"/>
        <v>Jun-2026</v>
      </c>
      <c r="D517" t="s">
        <v>213</v>
      </c>
      <c r="E517" t="str">
        <f>VLOOKUP(D517,Customers!A:H,7,0)</f>
        <v>Student</v>
      </c>
      <c r="F517" t="s">
        <v>1014</v>
      </c>
      <c r="G517" t="s">
        <v>263</v>
      </c>
      <c r="H517" t="str">
        <f>IFERROR(VLOOKUP(Transactions!G517,Merchants!A:B,2,FALSE),"Not Found")</f>
        <v>Urban Retail</v>
      </c>
      <c r="I517" s="9">
        <v>39786.14</v>
      </c>
      <c r="J517" s="3">
        <v>79.569999999999993</v>
      </c>
      <c r="K517" t="s">
        <v>96</v>
      </c>
      <c r="L517" t="s">
        <v>80</v>
      </c>
      <c r="M517" t="s">
        <v>86</v>
      </c>
      <c r="N517" t="s">
        <v>67</v>
      </c>
      <c r="O517" t="s">
        <v>91</v>
      </c>
      <c r="P517" t="str">
        <f t="shared" si="17"/>
        <v>High Value</v>
      </c>
      <c r="Q517" t="str">
        <f>VLOOKUP(G517,Merchants!A:C,3,TRUE)</f>
        <v>Grocery</v>
      </c>
    </row>
    <row r="518" spans="1:17" x14ac:dyDescent="0.3">
      <c r="A518" t="s">
        <v>1015</v>
      </c>
      <c r="B518" s="2">
        <v>46044.306041666663</v>
      </c>
      <c r="C518" s="2" t="str">
        <f t="shared" si="16"/>
        <v>Jan-2026</v>
      </c>
      <c r="D518" t="s">
        <v>281</v>
      </c>
      <c r="E518" t="str">
        <f>VLOOKUP(D518,Customers!A:H,7,0)</f>
        <v>Salaried</v>
      </c>
      <c r="F518" t="s">
        <v>174</v>
      </c>
      <c r="G518" t="s">
        <v>783</v>
      </c>
      <c r="H518" t="str">
        <f>IFERROR(VLOOKUP(Transactions!G518,Merchants!A:B,2,FALSE),"Not Found")</f>
        <v>Daily Stores</v>
      </c>
      <c r="I518" s="9">
        <v>55736.35</v>
      </c>
      <c r="J518" s="3">
        <v>167.21</v>
      </c>
      <c r="K518" t="s">
        <v>96</v>
      </c>
      <c r="L518" t="s">
        <v>59</v>
      </c>
      <c r="M518" t="s">
        <v>86</v>
      </c>
      <c r="N518" t="s">
        <v>67</v>
      </c>
      <c r="O518" t="s">
        <v>81</v>
      </c>
      <c r="P518" t="str">
        <f t="shared" si="17"/>
        <v>High Value</v>
      </c>
      <c r="Q518" t="str">
        <f>VLOOKUP(G518,Merchants!A:C,3,TRUE)</f>
        <v>Entertainment</v>
      </c>
    </row>
    <row r="519" spans="1:17" x14ac:dyDescent="0.3">
      <c r="A519" t="s">
        <v>1016</v>
      </c>
      <c r="B519" s="2">
        <v>45854.095833333333</v>
      </c>
      <c r="C519" s="2" t="str">
        <f t="shared" si="16"/>
        <v>Jul-2025</v>
      </c>
      <c r="D519" t="s">
        <v>144</v>
      </c>
      <c r="E519" t="str">
        <f>VLOOKUP(D519,Customers!A:H,7,0)</f>
        <v>Self-employed</v>
      </c>
      <c r="F519" t="s">
        <v>1017</v>
      </c>
      <c r="G519" t="s">
        <v>66</v>
      </c>
      <c r="H519" t="str">
        <f>IFERROR(VLOOKUP(Transactions!G519,Merchants!A:B,2,FALSE),"Not Found")</f>
        <v>Prime Digital</v>
      </c>
      <c r="I519" s="9">
        <v>13312.01</v>
      </c>
      <c r="J519" s="3">
        <v>39.94</v>
      </c>
      <c r="K519" t="s">
        <v>133</v>
      </c>
      <c r="L519" t="s">
        <v>73</v>
      </c>
      <c r="M519" t="s">
        <v>86</v>
      </c>
      <c r="N519" t="s">
        <v>61</v>
      </c>
      <c r="O519" t="s">
        <v>81</v>
      </c>
      <c r="P519" t="str">
        <f t="shared" si="17"/>
        <v>High Value</v>
      </c>
      <c r="Q519" t="str">
        <f>VLOOKUP(G519,Merchants!A:C,3,TRUE)</f>
        <v>Fuel</v>
      </c>
    </row>
    <row r="520" spans="1:17" x14ac:dyDescent="0.3">
      <c r="A520" t="s">
        <v>1018</v>
      </c>
      <c r="B520" s="2">
        <v>46233.950856481482</v>
      </c>
      <c r="C520" s="2" t="str">
        <f t="shared" si="16"/>
        <v>Jul-2026</v>
      </c>
      <c r="D520" t="s">
        <v>102</v>
      </c>
      <c r="E520" t="str">
        <f>VLOOKUP(D520,Customers!A:H,7,0)</f>
        <v>Business Owner</v>
      </c>
      <c r="F520" t="s">
        <v>409</v>
      </c>
      <c r="G520" t="s">
        <v>322</v>
      </c>
      <c r="H520" t="str">
        <f>IFERROR(VLOOKUP(Transactions!G520,Merchants!A:B,2,FALSE),"Not Found")</f>
        <v>Metro Pay</v>
      </c>
      <c r="I520" s="9">
        <v>11453.9</v>
      </c>
      <c r="J520" s="3">
        <v>114.54</v>
      </c>
      <c r="K520" t="s">
        <v>90</v>
      </c>
      <c r="L520" t="s">
        <v>59</v>
      </c>
      <c r="M520" t="s">
        <v>86</v>
      </c>
      <c r="N520" t="s">
        <v>61</v>
      </c>
      <c r="O520" t="s">
        <v>81</v>
      </c>
      <c r="P520" t="str">
        <f t="shared" si="17"/>
        <v>High Value</v>
      </c>
      <c r="Q520" t="str">
        <f>VLOOKUP(G520,Merchants!A:C,3,TRUE)</f>
        <v>Grocery</v>
      </c>
    </row>
    <row r="521" spans="1:17" x14ac:dyDescent="0.3">
      <c r="A521" t="s">
        <v>1019</v>
      </c>
      <c r="B521" s="2">
        <v>45835.022743055553</v>
      </c>
      <c r="C521" s="2" t="str">
        <f t="shared" si="16"/>
        <v>Jun-2025</v>
      </c>
      <c r="D521" t="s">
        <v>491</v>
      </c>
      <c r="E521" t="str">
        <f>VLOOKUP(D521,Customers!A:H,7,0)</f>
        <v>Student</v>
      </c>
      <c r="F521" t="s">
        <v>285</v>
      </c>
      <c r="G521" t="s">
        <v>322</v>
      </c>
      <c r="H521" t="str">
        <f>IFERROR(VLOOKUP(Transactions!G521,Merchants!A:B,2,FALSE),"Not Found")</f>
        <v>Metro Pay</v>
      </c>
      <c r="I521" s="9">
        <v>24188.16</v>
      </c>
      <c r="J521" s="3">
        <v>241.88</v>
      </c>
      <c r="K521" t="s">
        <v>58</v>
      </c>
      <c r="L521" t="s">
        <v>59</v>
      </c>
      <c r="M521" t="s">
        <v>60</v>
      </c>
      <c r="N521" t="s">
        <v>61</v>
      </c>
      <c r="O521" t="s">
        <v>91</v>
      </c>
      <c r="P521" t="str">
        <f t="shared" si="17"/>
        <v>High Value</v>
      </c>
      <c r="Q521" t="str">
        <f>VLOOKUP(G521,Merchants!A:C,3,TRUE)</f>
        <v>Grocery</v>
      </c>
    </row>
    <row r="522" spans="1:17" x14ac:dyDescent="0.3">
      <c r="A522" t="s">
        <v>1020</v>
      </c>
      <c r="B522" s="2">
        <v>45726.331562500003</v>
      </c>
      <c r="C522" s="2" t="str">
        <f t="shared" si="16"/>
        <v>Mar-2025</v>
      </c>
      <c r="D522" t="s">
        <v>109</v>
      </c>
      <c r="E522" t="str">
        <f>VLOOKUP(D522,Customers!A:H,7,0)</f>
        <v>Salaried</v>
      </c>
      <c r="F522" t="s">
        <v>191</v>
      </c>
      <c r="G522" t="s">
        <v>347</v>
      </c>
      <c r="H522" t="str">
        <f>IFERROR(VLOOKUP(Transactions!G522,Merchants!A:B,2,FALSE),"Not Found")</f>
        <v>Nova Hub</v>
      </c>
      <c r="I522" s="9">
        <v>24724.7</v>
      </c>
      <c r="J522" s="3">
        <v>247.25</v>
      </c>
      <c r="K522" t="s">
        <v>133</v>
      </c>
      <c r="L522" t="s">
        <v>80</v>
      </c>
      <c r="M522" t="s">
        <v>111</v>
      </c>
      <c r="N522" t="s">
        <v>61</v>
      </c>
      <c r="O522" t="s">
        <v>91</v>
      </c>
      <c r="P522" t="str">
        <f t="shared" si="17"/>
        <v>High Value</v>
      </c>
      <c r="Q522" t="str">
        <f>VLOOKUP(G522,Merchants!A:C,3,TRUE)</f>
        <v>Fuel</v>
      </c>
    </row>
    <row r="523" spans="1:17" x14ac:dyDescent="0.3">
      <c r="A523" t="s">
        <v>1021</v>
      </c>
      <c r="B523" s="2">
        <v>46272.492048611108</v>
      </c>
      <c r="C523" s="2" t="str">
        <f t="shared" si="16"/>
        <v>Sep-2026</v>
      </c>
      <c r="D523" t="s">
        <v>170</v>
      </c>
      <c r="E523" t="str">
        <f>VLOOKUP(D523,Customers!A:H,7,0)</f>
        <v>Self-employed</v>
      </c>
      <c r="F523" t="s">
        <v>766</v>
      </c>
      <c r="G523" t="s">
        <v>237</v>
      </c>
      <c r="H523" t="str">
        <f>IFERROR(VLOOKUP(Transactions!G523,Merchants!A:B,2,FALSE),"Not Found")</f>
        <v>Metro Pay</v>
      </c>
      <c r="I523" s="9">
        <v>58886.81</v>
      </c>
      <c r="J523" s="3">
        <v>176.66</v>
      </c>
      <c r="K523" t="s">
        <v>72</v>
      </c>
      <c r="L523" t="s">
        <v>80</v>
      </c>
      <c r="M523" t="s">
        <v>74</v>
      </c>
      <c r="N523" t="s">
        <v>67</v>
      </c>
      <c r="O523" t="s">
        <v>81</v>
      </c>
      <c r="P523" t="str">
        <f t="shared" si="17"/>
        <v>High Value</v>
      </c>
      <c r="Q523" t="str">
        <f>VLOOKUP(G523,Merchants!A:C,3,TRUE)</f>
        <v>Healthcare</v>
      </c>
    </row>
    <row r="524" spans="1:17" x14ac:dyDescent="0.3">
      <c r="A524" t="s">
        <v>1022</v>
      </c>
      <c r="B524" s="2">
        <v>45676.923159722217</v>
      </c>
      <c r="C524" s="2" t="str">
        <f t="shared" si="16"/>
        <v>Jan-2025</v>
      </c>
      <c r="D524" t="s">
        <v>895</v>
      </c>
      <c r="E524" t="str">
        <f>VLOOKUP(D524,Customers!A:H,7,0)</f>
        <v>Business Owner</v>
      </c>
      <c r="F524" t="s">
        <v>479</v>
      </c>
      <c r="G524" t="s">
        <v>229</v>
      </c>
      <c r="H524" t="str">
        <f>IFERROR(VLOOKUP(Transactions!G524,Merchants!A:B,2,FALSE),"Not Found")</f>
        <v>Urban Services</v>
      </c>
      <c r="I524" s="9">
        <v>54734.98</v>
      </c>
      <c r="J524" s="3">
        <v>164.2</v>
      </c>
      <c r="K524" t="s">
        <v>90</v>
      </c>
      <c r="L524" t="s">
        <v>59</v>
      </c>
      <c r="M524" t="s">
        <v>86</v>
      </c>
      <c r="N524" t="s">
        <v>67</v>
      </c>
      <c r="O524" t="s">
        <v>81</v>
      </c>
      <c r="P524" t="str">
        <f t="shared" si="17"/>
        <v>High Value</v>
      </c>
      <c r="Q524" t="str">
        <f>VLOOKUP(G524,Merchants!A:C,3,TRUE)</f>
        <v>Fashion</v>
      </c>
    </row>
    <row r="525" spans="1:17" x14ac:dyDescent="0.3">
      <c r="A525" t="s">
        <v>1023</v>
      </c>
      <c r="B525" s="2">
        <v>45900.650046296287</v>
      </c>
      <c r="C525" s="2" t="str">
        <f t="shared" si="16"/>
        <v>Aug-2025</v>
      </c>
      <c r="D525" t="s">
        <v>953</v>
      </c>
      <c r="E525" t="str">
        <f>VLOOKUP(D525,Customers!A:H,7,0)</f>
        <v>Self-employed</v>
      </c>
      <c r="F525" t="s">
        <v>145</v>
      </c>
      <c r="G525" t="s">
        <v>318</v>
      </c>
      <c r="H525" t="str">
        <f>IFERROR(VLOOKUP(Transactions!G525,Merchants!A:B,2,FALSE),"Not Found")</f>
        <v>Urban Digital</v>
      </c>
      <c r="I525" s="9">
        <v>45459.02</v>
      </c>
      <c r="J525" s="3">
        <v>90.92</v>
      </c>
      <c r="K525" t="s">
        <v>72</v>
      </c>
      <c r="L525" t="s">
        <v>59</v>
      </c>
      <c r="M525" t="s">
        <v>111</v>
      </c>
      <c r="N525" t="s">
        <v>67</v>
      </c>
      <c r="O525" t="s">
        <v>75</v>
      </c>
      <c r="P525" t="str">
        <f t="shared" si="17"/>
        <v>High Value</v>
      </c>
      <c r="Q525" t="str">
        <f>VLOOKUP(G525,Merchants!A:C,3,TRUE)</f>
        <v>Utilities</v>
      </c>
    </row>
    <row r="526" spans="1:17" x14ac:dyDescent="0.3">
      <c r="A526" t="s">
        <v>1024</v>
      </c>
      <c r="B526" s="2">
        <v>45867.973993055559</v>
      </c>
      <c r="C526" s="2" t="str">
        <f t="shared" si="16"/>
        <v>Jul-2025</v>
      </c>
      <c r="D526" t="s">
        <v>327</v>
      </c>
      <c r="E526" t="str">
        <f>VLOOKUP(D526,Customers!A:H,7,0)</f>
        <v>Salaried</v>
      </c>
      <c r="F526" t="s">
        <v>753</v>
      </c>
      <c r="G526" t="s">
        <v>79</v>
      </c>
      <c r="H526" t="str">
        <f>IFERROR(VLOOKUP(Transactions!G526,Merchants!A:B,2,FALSE),"Not Found")</f>
        <v>Nova Retail</v>
      </c>
      <c r="I526" s="9">
        <v>2370.61</v>
      </c>
      <c r="J526" s="3">
        <v>23.71</v>
      </c>
      <c r="K526" t="s">
        <v>72</v>
      </c>
      <c r="L526" t="s">
        <v>157</v>
      </c>
      <c r="M526" t="s">
        <v>86</v>
      </c>
      <c r="N526" t="s">
        <v>61</v>
      </c>
      <c r="O526" t="s">
        <v>81</v>
      </c>
      <c r="P526" t="str">
        <f t="shared" si="17"/>
        <v>Standard</v>
      </c>
      <c r="Q526" t="str">
        <f>VLOOKUP(G526,Merchants!A:C,3,TRUE)</f>
        <v>Grocery</v>
      </c>
    </row>
    <row r="527" spans="1:17" x14ac:dyDescent="0.3">
      <c r="A527" t="s">
        <v>1025</v>
      </c>
      <c r="B527" s="2">
        <v>45682.347407407397</v>
      </c>
      <c r="C527" s="2" t="str">
        <f t="shared" si="16"/>
        <v>Jan-2025</v>
      </c>
      <c r="D527" t="s">
        <v>55</v>
      </c>
      <c r="E527" t="str">
        <f>VLOOKUP(D527,Customers!A:H,7,0)</f>
        <v>Self-employed</v>
      </c>
      <c r="F527" t="s">
        <v>423</v>
      </c>
      <c r="G527" t="s">
        <v>607</v>
      </c>
      <c r="H527" t="str">
        <f>IFERROR(VLOOKUP(Transactions!G527,Merchants!A:B,2,FALSE),"Not Found")</f>
        <v>Daily Digital</v>
      </c>
      <c r="I527" s="9">
        <v>50831.4</v>
      </c>
      <c r="J527" s="3">
        <v>152.49</v>
      </c>
      <c r="K527" t="s">
        <v>90</v>
      </c>
      <c r="L527" t="s">
        <v>59</v>
      </c>
      <c r="M527" t="s">
        <v>111</v>
      </c>
      <c r="N527" t="s">
        <v>61</v>
      </c>
      <c r="O527" t="s">
        <v>81</v>
      </c>
      <c r="P527" t="str">
        <f t="shared" si="17"/>
        <v>High Value</v>
      </c>
      <c r="Q527" t="str">
        <f>VLOOKUP(G527,Merchants!A:C,3,TRUE)</f>
        <v>Healthcare</v>
      </c>
    </row>
    <row r="528" spans="1:17" x14ac:dyDescent="0.3">
      <c r="A528" t="s">
        <v>1026</v>
      </c>
      <c r="B528" s="2">
        <v>45845.671076388891</v>
      </c>
      <c r="C528" s="2" t="str">
        <f t="shared" si="16"/>
        <v>Jul-2025</v>
      </c>
      <c r="D528" t="s">
        <v>570</v>
      </c>
      <c r="E528" t="str">
        <f>VLOOKUP(D528,Customers!A:H,7,0)</f>
        <v>Business Owner</v>
      </c>
      <c r="F528" t="s">
        <v>1027</v>
      </c>
      <c r="G528" t="s">
        <v>225</v>
      </c>
      <c r="H528" t="str">
        <f>IFERROR(VLOOKUP(Transactions!G528,Merchants!A:B,2,FALSE),"Not Found")</f>
        <v>Quick Retail</v>
      </c>
      <c r="I528" s="9">
        <v>37823.97</v>
      </c>
      <c r="J528" s="3">
        <v>378.24</v>
      </c>
      <c r="K528" t="s">
        <v>58</v>
      </c>
      <c r="L528" t="s">
        <v>59</v>
      </c>
      <c r="M528" t="s">
        <v>111</v>
      </c>
      <c r="N528" t="s">
        <v>67</v>
      </c>
      <c r="O528" t="s">
        <v>62</v>
      </c>
      <c r="P528" t="str">
        <f t="shared" si="17"/>
        <v>High Value</v>
      </c>
      <c r="Q528" t="str">
        <f>VLOOKUP(G528,Merchants!A:C,3,TRUE)</f>
        <v>Grocery</v>
      </c>
    </row>
    <row r="529" spans="1:17" x14ac:dyDescent="0.3">
      <c r="A529" t="s">
        <v>1028</v>
      </c>
      <c r="B529" s="2">
        <v>45751.263472222221</v>
      </c>
      <c r="C529" s="2" t="str">
        <f t="shared" si="16"/>
        <v>Apr-2025</v>
      </c>
      <c r="D529" t="s">
        <v>618</v>
      </c>
      <c r="E529" t="str">
        <f>VLOOKUP(D529,Customers!A:H,7,0)</f>
        <v>Business Owner</v>
      </c>
      <c r="F529" t="s">
        <v>131</v>
      </c>
      <c r="G529" t="s">
        <v>103</v>
      </c>
      <c r="H529" t="str">
        <f>IFERROR(VLOOKUP(Transactions!G529,Merchants!A:B,2,FALSE),"Not Found")</f>
        <v>Nova Pay</v>
      </c>
      <c r="I529" s="9">
        <v>35598.58</v>
      </c>
      <c r="J529" s="3">
        <v>106.8</v>
      </c>
      <c r="K529" t="s">
        <v>96</v>
      </c>
      <c r="L529" t="s">
        <v>73</v>
      </c>
      <c r="M529" t="s">
        <v>74</v>
      </c>
      <c r="N529" t="s">
        <v>61</v>
      </c>
      <c r="O529" t="s">
        <v>62</v>
      </c>
      <c r="P529" t="str">
        <f t="shared" si="17"/>
        <v>High Value</v>
      </c>
      <c r="Q529" t="str">
        <f>VLOOKUP(G529,Merchants!A:C,3,TRUE)</f>
        <v>Fashion</v>
      </c>
    </row>
    <row r="530" spans="1:17" x14ac:dyDescent="0.3">
      <c r="A530" t="s">
        <v>1029</v>
      </c>
      <c r="B530" s="2">
        <v>45860.371550925927</v>
      </c>
      <c r="C530" s="2" t="str">
        <f t="shared" si="16"/>
        <v>Jul-2025</v>
      </c>
      <c r="D530" t="s">
        <v>642</v>
      </c>
      <c r="E530" t="str">
        <f>VLOOKUP(D530,Customers!A:H,7,0)</f>
        <v>Business Owner</v>
      </c>
      <c r="F530" t="s">
        <v>533</v>
      </c>
      <c r="G530" t="s">
        <v>250</v>
      </c>
      <c r="H530" t="str">
        <f>IFERROR(VLOOKUP(Transactions!G530,Merchants!A:B,2,FALSE),"Not Found")</f>
        <v>Fresh Hub</v>
      </c>
      <c r="I530" s="9">
        <v>25498.6</v>
      </c>
      <c r="J530" s="3">
        <v>127.49</v>
      </c>
      <c r="K530" t="s">
        <v>90</v>
      </c>
      <c r="L530" t="s">
        <v>59</v>
      </c>
      <c r="M530" t="s">
        <v>60</v>
      </c>
      <c r="N530" t="s">
        <v>61</v>
      </c>
      <c r="O530" t="s">
        <v>91</v>
      </c>
      <c r="P530" t="str">
        <f t="shared" si="17"/>
        <v>High Value</v>
      </c>
      <c r="Q530" t="str">
        <f>VLOOKUP(G530,Merchants!A:C,3,TRUE)</f>
        <v>Healthcare</v>
      </c>
    </row>
    <row r="531" spans="1:17" x14ac:dyDescent="0.3">
      <c r="A531" t="s">
        <v>1030</v>
      </c>
      <c r="B531" s="2">
        <v>46026.604143518518</v>
      </c>
      <c r="C531" s="2" t="str">
        <f t="shared" si="16"/>
        <v>Jan-2026</v>
      </c>
      <c r="D531" t="s">
        <v>392</v>
      </c>
      <c r="E531" t="str">
        <f>VLOOKUP(D531,Customers!A:H,7,0)</f>
        <v>Self-employed</v>
      </c>
      <c r="F531" t="s">
        <v>737</v>
      </c>
      <c r="G531" t="s">
        <v>117</v>
      </c>
      <c r="H531" t="str">
        <f>IFERROR(VLOOKUP(Transactions!G531,Merchants!A:B,2,FALSE),"Not Found")</f>
        <v>Prime Pay</v>
      </c>
      <c r="I531" s="9">
        <v>22725.279999999999</v>
      </c>
      <c r="J531" s="3">
        <v>227.25</v>
      </c>
      <c r="K531" t="s">
        <v>90</v>
      </c>
      <c r="L531" t="s">
        <v>59</v>
      </c>
      <c r="M531" t="s">
        <v>74</v>
      </c>
      <c r="N531" t="s">
        <v>67</v>
      </c>
      <c r="O531" t="s">
        <v>75</v>
      </c>
      <c r="P531" t="str">
        <f t="shared" si="17"/>
        <v>High Value</v>
      </c>
      <c r="Q531" t="str">
        <f>VLOOKUP(G531,Merchants!A:C,3,TRUE)</f>
        <v>Travel</v>
      </c>
    </row>
    <row r="532" spans="1:17" x14ac:dyDescent="0.3">
      <c r="A532" t="s">
        <v>1031</v>
      </c>
      <c r="B532" s="2">
        <v>46095.126261574071</v>
      </c>
      <c r="C532" s="2" t="str">
        <f t="shared" si="16"/>
        <v>Mar-2026</v>
      </c>
      <c r="D532" t="s">
        <v>390</v>
      </c>
      <c r="E532" t="str">
        <f>VLOOKUP(D532,Customers!A:H,7,0)</f>
        <v>Student</v>
      </c>
      <c r="F532" t="s">
        <v>841</v>
      </c>
      <c r="G532" t="s">
        <v>215</v>
      </c>
      <c r="H532" t="str">
        <f>IFERROR(VLOOKUP(Transactions!G532,Merchants!A:B,2,FALSE),"Not Found")</f>
        <v>Daily Hub</v>
      </c>
      <c r="I532" s="9">
        <v>45555.61</v>
      </c>
      <c r="J532" s="3">
        <v>136.66999999999999</v>
      </c>
      <c r="K532" t="s">
        <v>72</v>
      </c>
      <c r="L532" t="s">
        <v>157</v>
      </c>
      <c r="M532" t="s">
        <v>74</v>
      </c>
      <c r="N532" t="s">
        <v>61</v>
      </c>
      <c r="O532" t="s">
        <v>81</v>
      </c>
      <c r="P532" t="str">
        <f t="shared" si="17"/>
        <v>High Value</v>
      </c>
      <c r="Q532" t="str">
        <f>VLOOKUP(G532,Merchants!A:C,3,TRUE)</f>
        <v>Fashion</v>
      </c>
    </row>
    <row r="533" spans="1:17" x14ac:dyDescent="0.3">
      <c r="A533" t="s">
        <v>1032</v>
      </c>
      <c r="B533" s="2">
        <v>46122.429652777777</v>
      </c>
      <c r="C533" s="2" t="str">
        <f t="shared" si="16"/>
        <v>Apr-2026</v>
      </c>
      <c r="D533" t="s">
        <v>170</v>
      </c>
      <c r="E533" t="str">
        <f>VLOOKUP(D533,Customers!A:H,7,0)</f>
        <v>Self-employed</v>
      </c>
      <c r="F533" t="s">
        <v>753</v>
      </c>
      <c r="G533" t="s">
        <v>277</v>
      </c>
      <c r="H533" t="str">
        <f>IFERROR(VLOOKUP(Transactions!G533,Merchants!A:B,2,FALSE),"Not Found")</f>
        <v>Daily Digital</v>
      </c>
      <c r="I533" s="9">
        <v>22571.3</v>
      </c>
      <c r="J533" s="3">
        <v>45.14</v>
      </c>
      <c r="K533" t="s">
        <v>90</v>
      </c>
      <c r="L533" t="s">
        <v>59</v>
      </c>
      <c r="M533" t="s">
        <v>111</v>
      </c>
      <c r="N533" t="s">
        <v>67</v>
      </c>
      <c r="O533" t="s">
        <v>91</v>
      </c>
      <c r="P533" t="str">
        <f t="shared" si="17"/>
        <v>High Value</v>
      </c>
      <c r="Q533" t="str">
        <f>VLOOKUP(G533,Merchants!A:C,3,TRUE)</f>
        <v>Grocery</v>
      </c>
    </row>
    <row r="534" spans="1:17" x14ac:dyDescent="0.3">
      <c r="A534" t="s">
        <v>1033</v>
      </c>
      <c r="B534" s="2">
        <v>45671.759571759263</v>
      </c>
      <c r="C534" s="2" t="str">
        <f t="shared" si="16"/>
        <v>Jan-2025</v>
      </c>
      <c r="D534" t="s">
        <v>368</v>
      </c>
      <c r="E534" t="str">
        <f>VLOOKUP(D534,Customers!A:H,7,0)</f>
        <v>Student</v>
      </c>
      <c r="F534" t="s">
        <v>516</v>
      </c>
      <c r="G534" t="s">
        <v>198</v>
      </c>
      <c r="H534" t="str">
        <f>IFERROR(VLOOKUP(Transactions!G534,Merchants!A:B,2,FALSE),"Not Found")</f>
        <v>Metro Services</v>
      </c>
      <c r="I534" s="9">
        <v>43849.08</v>
      </c>
      <c r="J534" s="3">
        <v>438.49</v>
      </c>
      <c r="K534" t="s">
        <v>72</v>
      </c>
      <c r="L534" t="s">
        <v>59</v>
      </c>
      <c r="M534" t="s">
        <v>74</v>
      </c>
      <c r="N534" t="s">
        <v>61</v>
      </c>
      <c r="O534" t="s">
        <v>81</v>
      </c>
      <c r="P534" t="str">
        <f t="shared" si="17"/>
        <v>High Value</v>
      </c>
      <c r="Q534" t="str">
        <f>VLOOKUP(G534,Merchants!A:C,3,TRUE)</f>
        <v>Travel</v>
      </c>
    </row>
    <row r="535" spans="1:17" x14ac:dyDescent="0.3">
      <c r="A535" t="s">
        <v>1034</v>
      </c>
      <c r="B535" s="2">
        <v>46260.108055555553</v>
      </c>
      <c r="C535" s="2" t="str">
        <f t="shared" si="16"/>
        <v>Aug-2026</v>
      </c>
      <c r="D535" t="s">
        <v>708</v>
      </c>
      <c r="E535" t="str">
        <f>VLOOKUP(D535,Customers!A:H,7,0)</f>
        <v>Student</v>
      </c>
      <c r="F535" t="s">
        <v>623</v>
      </c>
      <c r="G535" t="s">
        <v>71</v>
      </c>
      <c r="H535" t="str">
        <f>IFERROR(VLOOKUP(Transactions!G535,Merchants!A:B,2,FALSE),"Not Found")</f>
        <v>Metro Pay</v>
      </c>
      <c r="I535" s="9">
        <v>24586.38</v>
      </c>
      <c r="J535" s="3">
        <v>49.17</v>
      </c>
      <c r="K535" t="s">
        <v>90</v>
      </c>
      <c r="L535" t="s">
        <v>59</v>
      </c>
      <c r="M535" t="s">
        <v>111</v>
      </c>
      <c r="N535" t="s">
        <v>61</v>
      </c>
      <c r="O535" t="s">
        <v>81</v>
      </c>
      <c r="P535" t="str">
        <f t="shared" si="17"/>
        <v>High Value</v>
      </c>
      <c r="Q535" t="str">
        <f>VLOOKUP(G535,Merchants!A:C,3,TRUE)</f>
        <v>Fashion</v>
      </c>
    </row>
    <row r="536" spans="1:17" x14ac:dyDescent="0.3">
      <c r="A536" t="s">
        <v>1035</v>
      </c>
      <c r="B536" s="2">
        <v>46014.773090277777</v>
      </c>
      <c r="C536" s="2" t="str">
        <f t="shared" si="16"/>
        <v>Dec-2025</v>
      </c>
      <c r="D536" t="s">
        <v>1005</v>
      </c>
      <c r="E536" t="str">
        <f>VLOOKUP(D536,Customers!A:H,7,0)</f>
        <v>Business Owner</v>
      </c>
      <c r="F536" t="s">
        <v>334</v>
      </c>
      <c r="G536" t="s">
        <v>156</v>
      </c>
      <c r="H536" t="str">
        <f>IFERROR(VLOOKUP(Transactions!G536,Merchants!A:B,2,FALSE),"Not Found")</f>
        <v>Blue Digital</v>
      </c>
      <c r="I536" s="9">
        <v>42576.800000000003</v>
      </c>
      <c r="J536" s="3">
        <v>212.88</v>
      </c>
      <c r="K536" t="s">
        <v>96</v>
      </c>
      <c r="L536" t="s">
        <v>80</v>
      </c>
      <c r="M536" t="s">
        <v>74</v>
      </c>
      <c r="N536" t="s">
        <v>67</v>
      </c>
      <c r="O536" t="s">
        <v>62</v>
      </c>
      <c r="P536" t="str">
        <f t="shared" si="17"/>
        <v>High Value</v>
      </c>
      <c r="Q536" t="str">
        <f>VLOOKUP(G536,Merchants!A:C,3,TRUE)</f>
        <v>Electronics</v>
      </c>
    </row>
    <row r="537" spans="1:17" x14ac:dyDescent="0.3">
      <c r="A537" t="s">
        <v>1036</v>
      </c>
      <c r="B537" s="2">
        <v>46147.052337962959</v>
      </c>
      <c r="C537" s="2" t="str">
        <f t="shared" si="16"/>
        <v>May-2026</v>
      </c>
      <c r="D537" t="s">
        <v>1005</v>
      </c>
      <c r="E537" t="str">
        <f>VLOOKUP(D537,Customers!A:H,7,0)</f>
        <v>Business Owner</v>
      </c>
      <c r="F537" t="s">
        <v>777</v>
      </c>
      <c r="G537" t="s">
        <v>156</v>
      </c>
      <c r="H537" t="str">
        <f>IFERROR(VLOOKUP(Transactions!G537,Merchants!A:B,2,FALSE),"Not Found")</f>
        <v>Blue Digital</v>
      </c>
      <c r="I537" s="9">
        <v>55295.97</v>
      </c>
      <c r="J537" s="3">
        <v>110.59</v>
      </c>
      <c r="K537" t="s">
        <v>90</v>
      </c>
      <c r="L537" t="s">
        <v>59</v>
      </c>
      <c r="M537" t="s">
        <v>60</v>
      </c>
      <c r="N537" t="s">
        <v>61</v>
      </c>
      <c r="O537" t="s">
        <v>62</v>
      </c>
      <c r="P537" t="str">
        <f t="shared" si="17"/>
        <v>High Value</v>
      </c>
      <c r="Q537" t="str">
        <f>VLOOKUP(G537,Merchants!A:C,3,TRUE)</f>
        <v>Electronics</v>
      </c>
    </row>
    <row r="538" spans="1:17" x14ac:dyDescent="0.3">
      <c r="A538" t="s">
        <v>1037</v>
      </c>
      <c r="B538" s="2">
        <v>45918.375335648147</v>
      </c>
      <c r="C538" s="2" t="str">
        <f t="shared" si="16"/>
        <v>Sep-2025</v>
      </c>
      <c r="D538" t="s">
        <v>338</v>
      </c>
      <c r="E538" t="str">
        <f>VLOOKUP(D538,Customers!A:H,7,0)</f>
        <v>Student</v>
      </c>
      <c r="F538" t="s">
        <v>659</v>
      </c>
      <c r="G538" t="s">
        <v>103</v>
      </c>
      <c r="H538" t="str">
        <f>IFERROR(VLOOKUP(Transactions!G538,Merchants!A:B,2,FALSE),"Not Found")</f>
        <v>Nova Pay</v>
      </c>
      <c r="I538" s="9">
        <v>36168.74</v>
      </c>
      <c r="J538" s="3">
        <v>108.51</v>
      </c>
      <c r="K538" t="s">
        <v>96</v>
      </c>
      <c r="L538" t="s">
        <v>157</v>
      </c>
      <c r="M538" t="s">
        <v>74</v>
      </c>
      <c r="N538" t="s">
        <v>67</v>
      </c>
      <c r="O538" t="s">
        <v>62</v>
      </c>
      <c r="P538" t="str">
        <f t="shared" si="17"/>
        <v>High Value</v>
      </c>
      <c r="Q538" t="str">
        <f>VLOOKUP(G538,Merchants!A:C,3,TRUE)</f>
        <v>Fashion</v>
      </c>
    </row>
    <row r="539" spans="1:17" x14ac:dyDescent="0.3">
      <c r="A539" t="s">
        <v>1038</v>
      </c>
      <c r="B539" s="2">
        <v>46091.251550925917</v>
      </c>
      <c r="C539" s="2" t="str">
        <f t="shared" si="16"/>
        <v>Mar-2026</v>
      </c>
      <c r="D539" t="s">
        <v>895</v>
      </c>
      <c r="E539" t="str">
        <f>VLOOKUP(D539,Customers!A:H,7,0)</f>
        <v>Business Owner</v>
      </c>
      <c r="F539" t="s">
        <v>875</v>
      </c>
      <c r="G539" t="s">
        <v>347</v>
      </c>
      <c r="H539" t="str">
        <f>IFERROR(VLOOKUP(Transactions!G539,Merchants!A:B,2,FALSE),"Not Found")</f>
        <v>Nova Hub</v>
      </c>
      <c r="I539" s="9">
        <v>49802</v>
      </c>
      <c r="J539" s="3">
        <v>249.01</v>
      </c>
      <c r="K539" t="s">
        <v>96</v>
      </c>
      <c r="L539" t="s">
        <v>59</v>
      </c>
      <c r="M539" t="s">
        <v>60</v>
      </c>
      <c r="N539" t="s">
        <v>61</v>
      </c>
      <c r="O539" t="s">
        <v>91</v>
      </c>
      <c r="P539" t="str">
        <f t="shared" si="17"/>
        <v>High Value</v>
      </c>
      <c r="Q539" t="str">
        <f>VLOOKUP(G539,Merchants!A:C,3,TRUE)</f>
        <v>Fuel</v>
      </c>
    </row>
    <row r="540" spans="1:17" x14ac:dyDescent="0.3">
      <c r="A540" t="s">
        <v>1039</v>
      </c>
      <c r="B540" s="2">
        <v>45769.965104166673</v>
      </c>
      <c r="C540" s="2" t="str">
        <f t="shared" si="16"/>
        <v>Apr-2025</v>
      </c>
      <c r="D540" t="s">
        <v>307</v>
      </c>
      <c r="E540" t="str">
        <f>VLOOKUP(D540,Customers!A:H,7,0)</f>
        <v>Salaried</v>
      </c>
      <c r="F540" t="s">
        <v>78</v>
      </c>
      <c r="G540" t="s">
        <v>57</v>
      </c>
      <c r="H540" t="str">
        <f>IFERROR(VLOOKUP(Transactions!G540,Merchants!A:B,2,FALSE),"Not Found")</f>
        <v>Daily Stores</v>
      </c>
      <c r="I540" s="9">
        <v>34399.440000000002</v>
      </c>
      <c r="J540" s="3">
        <v>103.2</v>
      </c>
      <c r="K540" t="s">
        <v>96</v>
      </c>
      <c r="L540" t="s">
        <v>73</v>
      </c>
      <c r="M540" t="s">
        <v>60</v>
      </c>
      <c r="N540" t="s">
        <v>67</v>
      </c>
      <c r="O540" t="s">
        <v>62</v>
      </c>
      <c r="P540" t="str">
        <f t="shared" si="17"/>
        <v>High Value</v>
      </c>
      <c r="Q540" t="str">
        <f>VLOOKUP(G540,Merchants!A:C,3,TRUE)</f>
        <v>Travel</v>
      </c>
    </row>
    <row r="541" spans="1:17" x14ac:dyDescent="0.3">
      <c r="A541" t="s">
        <v>1040</v>
      </c>
      <c r="B541" s="2">
        <v>46161.002384259264</v>
      </c>
      <c r="C541" s="2" t="str">
        <f t="shared" si="16"/>
        <v>May-2026</v>
      </c>
      <c r="D541" t="s">
        <v>227</v>
      </c>
      <c r="E541" t="str">
        <f>VLOOKUP(D541,Customers!A:H,7,0)</f>
        <v>Self-employed</v>
      </c>
      <c r="F541" t="s">
        <v>405</v>
      </c>
      <c r="G541" t="s">
        <v>156</v>
      </c>
      <c r="H541" t="str">
        <f>IFERROR(VLOOKUP(Transactions!G541,Merchants!A:B,2,FALSE),"Not Found")</f>
        <v>Blue Digital</v>
      </c>
      <c r="I541" s="9">
        <v>5902.55</v>
      </c>
      <c r="J541" s="3">
        <v>59.03</v>
      </c>
      <c r="K541" t="s">
        <v>72</v>
      </c>
      <c r="L541" t="s">
        <v>80</v>
      </c>
      <c r="M541" t="s">
        <v>74</v>
      </c>
      <c r="N541" t="s">
        <v>67</v>
      </c>
      <c r="O541" t="s">
        <v>62</v>
      </c>
      <c r="P541" t="str">
        <f t="shared" si="17"/>
        <v>High Value</v>
      </c>
      <c r="Q541" t="str">
        <f>VLOOKUP(G541,Merchants!A:C,3,TRUE)</f>
        <v>Electronics</v>
      </c>
    </row>
    <row r="542" spans="1:17" x14ac:dyDescent="0.3">
      <c r="A542" t="s">
        <v>1041</v>
      </c>
      <c r="B542" s="2">
        <v>46041.282766203702</v>
      </c>
      <c r="C542" s="2" t="str">
        <f t="shared" si="16"/>
        <v>Jan-2026</v>
      </c>
      <c r="D542" t="s">
        <v>895</v>
      </c>
      <c r="E542" t="str">
        <f>VLOOKUP(D542,Customers!A:H,7,0)</f>
        <v>Business Owner</v>
      </c>
      <c r="F542" t="s">
        <v>224</v>
      </c>
      <c r="G542" t="s">
        <v>124</v>
      </c>
      <c r="H542" t="str">
        <f>IFERROR(VLOOKUP(Transactions!G542,Merchants!A:B,2,FALSE),"Not Found")</f>
        <v>Daily Services</v>
      </c>
      <c r="I542" s="9">
        <v>42272.43</v>
      </c>
      <c r="J542" s="3">
        <v>126.82</v>
      </c>
      <c r="K542" t="s">
        <v>96</v>
      </c>
      <c r="L542" t="s">
        <v>59</v>
      </c>
      <c r="M542" t="s">
        <v>111</v>
      </c>
      <c r="N542" t="s">
        <v>67</v>
      </c>
      <c r="O542" t="s">
        <v>62</v>
      </c>
      <c r="P542" t="str">
        <f t="shared" si="17"/>
        <v>High Value</v>
      </c>
      <c r="Q542" t="str">
        <f>VLOOKUP(G542,Merchants!A:C,3,TRUE)</f>
        <v>Food &amp; Dining</v>
      </c>
    </row>
    <row r="543" spans="1:17" x14ac:dyDescent="0.3">
      <c r="A543" t="s">
        <v>1042</v>
      </c>
      <c r="B543" s="2">
        <v>45718.277199074073</v>
      </c>
      <c r="C543" s="2" t="str">
        <f t="shared" si="16"/>
        <v>Mar-2025</v>
      </c>
      <c r="D543" t="s">
        <v>113</v>
      </c>
      <c r="E543" t="str">
        <f>VLOOKUP(D543,Customers!A:H,7,0)</f>
        <v>Business Owner</v>
      </c>
      <c r="F543" t="s">
        <v>583</v>
      </c>
      <c r="G543" t="s">
        <v>208</v>
      </c>
      <c r="H543" t="str">
        <f>IFERROR(VLOOKUP(Transactions!G543,Merchants!A:B,2,FALSE),"Not Found")</f>
        <v>Blue Retail</v>
      </c>
      <c r="I543" s="9">
        <v>48569.8</v>
      </c>
      <c r="J543" s="3">
        <v>485.7</v>
      </c>
      <c r="K543" t="s">
        <v>58</v>
      </c>
      <c r="L543" t="s">
        <v>59</v>
      </c>
      <c r="M543" t="s">
        <v>111</v>
      </c>
      <c r="N543" t="s">
        <v>67</v>
      </c>
      <c r="O543" t="s">
        <v>81</v>
      </c>
      <c r="P543" t="str">
        <f t="shared" si="17"/>
        <v>High Value</v>
      </c>
      <c r="Q543" t="str">
        <f>VLOOKUP(G543,Merchants!A:C,3,TRUE)</f>
        <v>Healthcare</v>
      </c>
    </row>
    <row r="544" spans="1:17" x14ac:dyDescent="0.3">
      <c r="A544" t="s">
        <v>1043</v>
      </c>
      <c r="B544" s="2">
        <v>45745.573020833333</v>
      </c>
      <c r="C544" s="2" t="str">
        <f t="shared" si="16"/>
        <v>Mar-2025</v>
      </c>
      <c r="D544" t="s">
        <v>217</v>
      </c>
      <c r="E544" t="str">
        <f>VLOOKUP(D544,Customers!A:H,7,0)</f>
        <v>Self-employed</v>
      </c>
      <c r="F544" t="s">
        <v>354</v>
      </c>
      <c r="G544" t="s">
        <v>277</v>
      </c>
      <c r="H544" t="str">
        <f>IFERROR(VLOOKUP(Transactions!G544,Merchants!A:B,2,FALSE),"Not Found")</f>
        <v>Daily Digital</v>
      </c>
      <c r="I544" s="9">
        <v>7568.43</v>
      </c>
      <c r="J544" s="3">
        <v>15.14</v>
      </c>
      <c r="K544" t="s">
        <v>96</v>
      </c>
      <c r="L544" t="s">
        <v>59</v>
      </c>
      <c r="M544" t="s">
        <v>86</v>
      </c>
      <c r="N544" t="s">
        <v>67</v>
      </c>
      <c r="O544" t="s">
        <v>91</v>
      </c>
      <c r="P544" t="str">
        <f t="shared" si="17"/>
        <v>High Value</v>
      </c>
      <c r="Q544" t="str">
        <f>VLOOKUP(G544,Merchants!A:C,3,TRUE)</f>
        <v>Grocery</v>
      </c>
    </row>
    <row r="545" spans="1:17" x14ac:dyDescent="0.3">
      <c r="A545" t="s">
        <v>1044</v>
      </c>
      <c r="B545" s="2">
        <v>45930.010960648149</v>
      </c>
      <c r="C545" s="2" t="str">
        <f t="shared" si="16"/>
        <v>Sep-2025</v>
      </c>
      <c r="D545" t="s">
        <v>425</v>
      </c>
      <c r="E545" t="str">
        <f>VLOOKUP(D545,Customers!A:H,7,0)</f>
        <v>Salaried</v>
      </c>
      <c r="F545" t="s">
        <v>592</v>
      </c>
      <c r="G545" t="s">
        <v>233</v>
      </c>
      <c r="H545" t="str">
        <f>IFERROR(VLOOKUP(Transactions!G545,Merchants!A:B,2,FALSE),"Not Found")</f>
        <v>Urban Retail</v>
      </c>
      <c r="I545" s="9">
        <v>39952.800000000003</v>
      </c>
      <c r="J545" s="3">
        <v>79.91</v>
      </c>
      <c r="K545" t="s">
        <v>58</v>
      </c>
      <c r="L545" t="s">
        <v>73</v>
      </c>
      <c r="M545" t="s">
        <v>74</v>
      </c>
      <c r="N545" t="s">
        <v>61</v>
      </c>
      <c r="O545" t="s">
        <v>75</v>
      </c>
      <c r="P545" t="str">
        <f t="shared" si="17"/>
        <v>High Value</v>
      </c>
      <c r="Q545" t="str">
        <f>VLOOKUP(G545,Merchants!A:C,3,TRUE)</f>
        <v>Utilities</v>
      </c>
    </row>
    <row r="546" spans="1:17" x14ac:dyDescent="0.3">
      <c r="A546" t="s">
        <v>1045</v>
      </c>
      <c r="B546" s="2">
        <v>46142.511284722219</v>
      </c>
      <c r="C546" s="2" t="str">
        <f t="shared" si="16"/>
        <v>Apr-2026</v>
      </c>
      <c r="D546" t="s">
        <v>714</v>
      </c>
      <c r="E546" t="str">
        <f>VLOOKUP(D546,Customers!A:H,7,0)</f>
        <v>Salaried</v>
      </c>
      <c r="F546" t="s">
        <v>429</v>
      </c>
      <c r="G546" t="s">
        <v>192</v>
      </c>
      <c r="H546" t="str">
        <f>IFERROR(VLOOKUP(Transactions!G546,Merchants!A:B,2,FALSE),"Not Found")</f>
        <v>Blue Foods</v>
      </c>
      <c r="I546" s="9">
        <v>36301.86</v>
      </c>
      <c r="J546" s="3">
        <v>181.51</v>
      </c>
      <c r="K546" t="s">
        <v>72</v>
      </c>
      <c r="L546" t="s">
        <v>59</v>
      </c>
      <c r="M546" t="s">
        <v>74</v>
      </c>
      <c r="N546" t="s">
        <v>61</v>
      </c>
      <c r="O546" t="s">
        <v>91</v>
      </c>
      <c r="P546" t="str">
        <f t="shared" si="17"/>
        <v>High Value</v>
      </c>
      <c r="Q546" t="str">
        <f>VLOOKUP(G546,Merchants!A:C,3,TRUE)</f>
        <v>Travel</v>
      </c>
    </row>
    <row r="547" spans="1:17" x14ac:dyDescent="0.3">
      <c r="A547" t="s">
        <v>1046</v>
      </c>
      <c r="B547" s="2">
        <v>46022.501006944447</v>
      </c>
      <c r="C547" s="2" t="str">
        <f t="shared" si="16"/>
        <v>Dec-2025</v>
      </c>
      <c r="D547" t="s">
        <v>953</v>
      </c>
      <c r="E547" t="str">
        <f>VLOOKUP(D547,Customers!A:H,7,0)</f>
        <v>Self-employed</v>
      </c>
      <c r="F547" t="s">
        <v>120</v>
      </c>
      <c r="G547" t="s">
        <v>382</v>
      </c>
      <c r="H547" t="str">
        <f>IFERROR(VLOOKUP(Transactions!G547,Merchants!A:B,2,FALSE),"Not Found")</f>
        <v>Fresh Foods</v>
      </c>
      <c r="I547" s="9">
        <v>48395.59</v>
      </c>
      <c r="J547" s="3">
        <v>483.96</v>
      </c>
      <c r="K547" t="s">
        <v>58</v>
      </c>
      <c r="L547" t="s">
        <v>59</v>
      </c>
      <c r="M547" t="s">
        <v>60</v>
      </c>
      <c r="N547" t="s">
        <v>67</v>
      </c>
      <c r="O547" t="s">
        <v>81</v>
      </c>
      <c r="P547" t="str">
        <f t="shared" si="17"/>
        <v>High Value</v>
      </c>
      <c r="Q547" t="str">
        <f>VLOOKUP(G547,Merchants!A:C,3,TRUE)</f>
        <v>Healthcare</v>
      </c>
    </row>
    <row r="548" spans="1:17" x14ac:dyDescent="0.3">
      <c r="A548" t="s">
        <v>1047</v>
      </c>
      <c r="B548" s="2">
        <v>46120.938055555547</v>
      </c>
      <c r="C548" s="2" t="str">
        <f t="shared" si="16"/>
        <v>Apr-2026</v>
      </c>
      <c r="D548" t="s">
        <v>261</v>
      </c>
      <c r="E548" t="str">
        <f>VLOOKUP(D548,Customers!A:H,7,0)</f>
        <v>Student</v>
      </c>
      <c r="F548" t="s">
        <v>774</v>
      </c>
      <c r="G548" t="s">
        <v>229</v>
      </c>
      <c r="H548" t="str">
        <f>IFERROR(VLOOKUP(Transactions!G548,Merchants!A:B,2,FALSE),"Not Found")</f>
        <v>Urban Services</v>
      </c>
      <c r="I548" s="9">
        <v>41202.480000000003</v>
      </c>
      <c r="J548" s="3">
        <v>412.02</v>
      </c>
      <c r="K548" t="s">
        <v>72</v>
      </c>
      <c r="L548" t="s">
        <v>73</v>
      </c>
      <c r="M548" t="s">
        <v>86</v>
      </c>
      <c r="N548" t="s">
        <v>61</v>
      </c>
      <c r="O548" t="s">
        <v>91</v>
      </c>
      <c r="P548" t="str">
        <f t="shared" si="17"/>
        <v>High Value</v>
      </c>
      <c r="Q548" t="str">
        <f>VLOOKUP(G548,Merchants!A:C,3,TRUE)</f>
        <v>Fashion</v>
      </c>
    </row>
    <row r="549" spans="1:17" x14ac:dyDescent="0.3">
      <c r="A549" t="s">
        <v>1048</v>
      </c>
      <c r="B549" s="2">
        <v>45991.674027777779</v>
      </c>
      <c r="C549" s="2" t="str">
        <f t="shared" si="16"/>
        <v>Nov-2025</v>
      </c>
      <c r="D549" t="s">
        <v>116</v>
      </c>
      <c r="E549" t="str">
        <f>VLOOKUP(D549,Customers!A:H,7,0)</f>
        <v>Business Owner</v>
      </c>
      <c r="F549" t="s">
        <v>266</v>
      </c>
      <c r="G549" t="s">
        <v>277</v>
      </c>
      <c r="H549" t="str">
        <f>IFERROR(VLOOKUP(Transactions!G549,Merchants!A:B,2,FALSE),"Not Found")</f>
        <v>Daily Digital</v>
      </c>
      <c r="I549" s="9">
        <v>14090.16</v>
      </c>
      <c r="J549" s="3">
        <v>28.18</v>
      </c>
      <c r="K549" t="s">
        <v>58</v>
      </c>
      <c r="L549" t="s">
        <v>59</v>
      </c>
      <c r="M549" t="s">
        <v>74</v>
      </c>
      <c r="N549" t="s">
        <v>61</v>
      </c>
      <c r="O549" t="s">
        <v>62</v>
      </c>
      <c r="P549" t="str">
        <f t="shared" si="17"/>
        <v>High Value</v>
      </c>
      <c r="Q549" t="str">
        <f>VLOOKUP(G549,Merchants!A:C,3,TRUE)</f>
        <v>Grocery</v>
      </c>
    </row>
    <row r="550" spans="1:17" x14ac:dyDescent="0.3">
      <c r="A550" t="s">
        <v>1049</v>
      </c>
      <c r="B550" s="2">
        <v>45804.788935185177</v>
      </c>
      <c r="C550" s="2" t="str">
        <f t="shared" si="16"/>
        <v>May-2025</v>
      </c>
      <c r="D550" t="s">
        <v>239</v>
      </c>
      <c r="E550" t="str">
        <f>VLOOKUP(D550,Customers!A:H,7,0)</f>
        <v>Salaried</v>
      </c>
      <c r="F550" t="s">
        <v>1050</v>
      </c>
      <c r="G550" t="s">
        <v>103</v>
      </c>
      <c r="H550" t="str">
        <f>IFERROR(VLOOKUP(Transactions!G550,Merchants!A:B,2,FALSE),"Not Found")</f>
        <v>Nova Pay</v>
      </c>
      <c r="I550" s="9">
        <v>52586.42</v>
      </c>
      <c r="J550" s="3">
        <v>105.17</v>
      </c>
      <c r="K550" t="s">
        <v>72</v>
      </c>
      <c r="L550" t="s">
        <v>73</v>
      </c>
      <c r="M550" t="s">
        <v>74</v>
      </c>
      <c r="N550" t="s">
        <v>67</v>
      </c>
      <c r="O550" t="s">
        <v>75</v>
      </c>
      <c r="P550" t="str">
        <f t="shared" si="17"/>
        <v>High Value</v>
      </c>
      <c r="Q550" t="str">
        <f>VLOOKUP(G550,Merchants!A:C,3,TRUE)</f>
        <v>Fashion</v>
      </c>
    </row>
    <row r="551" spans="1:17" x14ac:dyDescent="0.3">
      <c r="A551" t="s">
        <v>1051</v>
      </c>
      <c r="B551" s="2">
        <v>45776.731458333343</v>
      </c>
      <c r="C551" s="2" t="str">
        <f t="shared" si="16"/>
        <v>Apr-2025</v>
      </c>
      <c r="D551" t="s">
        <v>448</v>
      </c>
      <c r="E551" t="str">
        <f>VLOOKUP(D551,Customers!A:H,7,0)</f>
        <v>Business Owner</v>
      </c>
      <c r="F551" t="s">
        <v>273</v>
      </c>
      <c r="G551" t="s">
        <v>85</v>
      </c>
      <c r="H551" t="str">
        <f>IFERROR(VLOOKUP(Transactions!G551,Merchants!A:B,2,FALSE),"Not Found")</f>
        <v>Metro Pay</v>
      </c>
      <c r="I551" s="9">
        <v>39792.26</v>
      </c>
      <c r="J551" s="3">
        <v>119.38</v>
      </c>
      <c r="K551" t="s">
        <v>58</v>
      </c>
      <c r="L551" t="s">
        <v>59</v>
      </c>
      <c r="M551" t="s">
        <v>86</v>
      </c>
      <c r="N551" t="s">
        <v>61</v>
      </c>
      <c r="O551" t="s">
        <v>91</v>
      </c>
      <c r="P551" t="str">
        <f t="shared" si="17"/>
        <v>High Value</v>
      </c>
      <c r="Q551" t="str">
        <f>VLOOKUP(G551,Merchants!A:C,3,TRUE)</f>
        <v>Travel</v>
      </c>
    </row>
    <row r="552" spans="1:17" x14ac:dyDescent="0.3">
      <c r="A552" t="s">
        <v>1052</v>
      </c>
      <c r="B552" s="2">
        <v>45822.495312500003</v>
      </c>
      <c r="C552" s="2" t="str">
        <f t="shared" si="16"/>
        <v>Jun-2025</v>
      </c>
      <c r="D552" t="s">
        <v>356</v>
      </c>
      <c r="E552" t="str">
        <f>VLOOKUP(D552,Customers!A:H,7,0)</f>
        <v>Self-employed</v>
      </c>
      <c r="F552" t="s">
        <v>777</v>
      </c>
      <c r="G552" t="s">
        <v>277</v>
      </c>
      <c r="H552" t="str">
        <f>IFERROR(VLOOKUP(Transactions!G552,Merchants!A:B,2,FALSE),"Not Found")</f>
        <v>Daily Digital</v>
      </c>
      <c r="I552" s="9">
        <v>54168.65</v>
      </c>
      <c r="J552" s="3">
        <v>162.51</v>
      </c>
      <c r="K552" t="s">
        <v>58</v>
      </c>
      <c r="L552" t="s">
        <v>80</v>
      </c>
      <c r="M552" t="s">
        <v>111</v>
      </c>
      <c r="N552" t="s">
        <v>61</v>
      </c>
      <c r="O552" t="s">
        <v>91</v>
      </c>
      <c r="P552" t="str">
        <f t="shared" si="17"/>
        <v>High Value</v>
      </c>
      <c r="Q552" t="str">
        <f>VLOOKUP(G552,Merchants!A:C,3,TRUE)</f>
        <v>Grocery</v>
      </c>
    </row>
    <row r="553" spans="1:17" x14ac:dyDescent="0.3">
      <c r="A553" t="s">
        <v>1053</v>
      </c>
      <c r="B553" s="2">
        <v>45998.339513888888</v>
      </c>
      <c r="C553" s="2" t="str">
        <f t="shared" si="16"/>
        <v>Dec-2025</v>
      </c>
      <c r="D553" t="s">
        <v>847</v>
      </c>
      <c r="E553" t="str">
        <f>VLOOKUP(D553,Customers!A:H,7,0)</f>
        <v>Self-employed</v>
      </c>
      <c r="F553" t="s">
        <v>256</v>
      </c>
      <c r="G553" t="s">
        <v>366</v>
      </c>
      <c r="H553" t="str">
        <f>IFERROR(VLOOKUP(Transactions!G553,Merchants!A:B,2,FALSE),"Not Found")</f>
        <v>Smart Pay</v>
      </c>
      <c r="I553" s="9">
        <v>55913.62</v>
      </c>
      <c r="J553" s="3">
        <v>111.83</v>
      </c>
      <c r="K553" t="s">
        <v>96</v>
      </c>
      <c r="L553" t="s">
        <v>80</v>
      </c>
      <c r="M553" t="s">
        <v>74</v>
      </c>
      <c r="N553" t="s">
        <v>67</v>
      </c>
      <c r="O553" t="s">
        <v>62</v>
      </c>
      <c r="P553" t="str">
        <f t="shared" si="17"/>
        <v>High Value</v>
      </c>
      <c r="Q553" t="str">
        <f>VLOOKUP(G553,Merchants!A:C,3,TRUE)</f>
        <v>Fashion</v>
      </c>
    </row>
    <row r="554" spans="1:17" x14ac:dyDescent="0.3">
      <c r="A554" t="s">
        <v>1054</v>
      </c>
      <c r="B554" s="2">
        <v>45923.175497685188</v>
      </c>
      <c r="C554" s="2" t="str">
        <f t="shared" si="16"/>
        <v>Sep-2025</v>
      </c>
      <c r="D554" t="s">
        <v>776</v>
      </c>
      <c r="E554" t="str">
        <f>VLOOKUP(D554,Customers!A:H,7,0)</f>
        <v>Student</v>
      </c>
      <c r="F554" t="s">
        <v>221</v>
      </c>
      <c r="G554" t="s">
        <v>225</v>
      </c>
      <c r="H554" t="str">
        <f>IFERROR(VLOOKUP(Transactions!G554,Merchants!A:B,2,FALSE),"Not Found")</f>
        <v>Quick Retail</v>
      </c>
      <c r="I554" s="9">
        <v>17529.490000000002</v>
      </c>
      <c r="J554" s="3">
        <v>87.65</v>
      </c>
      <c r="K554" t="s">
        <v>58</v>
      </c>
      <c r="L554" t="s">
        <v>59</v>
      </c>
      <c r="M554" t="s">
        <v>60</v>
      </c>
      <c r="N554" t="s">
        <v>67</v>
      </c>
      <c r="O554" t="s">
        <v>81</v>
      </c>
      <c r="P554" t="str">
        <f t="shared" si="17"/>
        <v>High Value</v>
      </c>
      <c r="Q554" t="str">
        <f>VLOOKUP(G554,Merchants!A:C,3,TRUE)</f>
        <v>Grocery</v>
      </c>
    </row>
    <row r="555" spans="1:17" x14ac:dyDescent="0.3">
      <c r="A555" t="s">
        <v>1055</v>
      </c>
      <c r="B555" s="2">
        <v>46047.875196759262</v>
      </c>
      <c r="C555" s="2" t="str">
        <f t="shared" si="16"/>
        <v>Jan-2026</v>
      </c>
      <c r="D555" t="s">
        <v>213</v>
      </c>
      <c r="E555" t="str">
        <f>VLOOKUP(D555,Customers!A:H,7,0)</f>
        <v>Student</v>
      </c>
      <c r="F555" t="s">
        <v>1056</v>
      </c>
      <c r="G555" t="s">
        <v>182</v>
      </c>
      <c r="H555" t="str">
        <f>IFERROR(VLOOKUP(Transactions!G555,Merchants!A:B,2,FALSE),"Not Found")</f>
        <v>Fresh Hub</v>
      </c>
      <c r="I555" s="9">
        <v>44241.38</v>
      </c>
      <c r="J555" s="3">
        <v>132.72</v>
      </c>
      <c r="K555" t="s">
        <v>72</v>
      </c>
      <c r="L555" t="s">
        <v>59</v>
      </c>
      <c r="M555" t="s">
        <v>111</v>
      </c>
      <c r="N555" t="s">
        <v>67</v>
      </c>
      <c r="O555" t="s">
        <v>91</v>
      </c>
      <c r="P555" t="str">
        <f t="shared" si="17"/>
        <v>High Value</v>
      </c>
      <c r="Q555" t="str">
        <f>VLOOKUP(G555,Merchants!A:C,3,TRUE)</f>
        <v>Healthcare</v>
      </c>
    </row>
    <row r="556" spans="1:17" x14ac:dyDescent="0.3">
      <c r="A556" t="s">
        <v>1057</v>
      </c>
      <c r="B556" s="2">
        <v>46062.013935185183</v>
      </c>
      <c r="C556" s="2" t="str">
        <f t="shared" si="16"/>
        <v>Feb-2026</v>
      </c>
      <c r="D556" t="s">
        <v>1058</v>
      </c>
      <c r="E556" t="str">
        <f>VLOOKUP(D556,Customers!A:H,7,0)</f>
        <v>Business Owner</v>
      </c>
      <c r="F556" t="s">
        <v>1059</v>
      </c>
      <c r="G556" t="s">
        <v>322</v>
      </c>
      <c r="H556" t="str">
        <f>IFERROR(VLOOKUP(Transactions!G556,Merchants!A:B,2,FALSE),"Not Found")</f>
        <v>Metro Pay</v>
      </c>
      <c r="I556" s="9">
        <v>32343.75</v>
      </c>
      <c r="J556" s="3">
        <v>97.03</v>
      </c>
      <c r="K556" t="s">
        <v>96</v>
      </c>
      <c r="L556" t="s">
        <v>59</v>
      </c>
      <c r="M556" t="s">
        <v>74</v>
      </c>
      <c r="N556" t="s">
        <v>67</v>
      </c>
      <c r="O556" t="s">
        <v>81</v>
      </c>
      <c r="P556" t="str">
        <f t="shared" si="17"/>
        <v>High Value</v>
      </c>
      <c r="Q556" t="str">
        <f>VLOOKUP(G556,Merchants!A:C,3,TRUE)</f>
        <v>Grocery</v>
      </c>
    </row>
    <row r="557" spans="1:17" x14ac:dyDescent="0.3">
      <c r="A557" t="s">
        <v>1060</v>
      </c>
      <c r="B557" s="2">
        <v>45807.052094907413</v>
      </c>
      <c r="C557" s="2" t="str">
        <f t="shared" si="16"/>
        <v>May-2025</v>
      </c>
      <c r="D557" t="s">
        <v>314</v>
      </c>
      <c r="E557" t="str">
        <f>VLOOKUP(D557,Customers!A:H,7,0)</f>
        <v>Business Owner</v>
      </c>
      <c r="F557" t="s">
        <v>906</v>
      </c>
      <c r="G557" t="s">
        <v>71</v>
      </c>
      <c r="H557" t="str">
        <f>IFERROR(VLOOKUP(Transactions!G557,Merchants!A:B,2,FALSE),"Not Found")</f>
        <v>Metro Pay</v>
      </c>
      <c r="I557" s="9">
        <v>35972.93</v>
      </c>
      <c r="J557" s="3">
        <v>71.95</v>
      </c>
      <c r="K557" t="s">
        <v>96</v>
      </c>
      <c r="L557" t="s">
        <v>59</v>
      </c>
      <c r="M557" t="s">
        <v>111</v>
      </c>
      <c r="N557" t="s">
        <v>61</v>
      </c>
      <c r="O557" t="s">
        <v>81</v>
      </c>
      <c r="P557" t="str">
        <f t="shared" si="17"/>
        <v>High Value</v>
      </c>
      <c r="Q557" t="str">
        <f>VLOOKUP(G557,Merchants!A:C,3,TRUE)</f>
        <v>Fashion</v>
      </c>
    </row>
    <row r="558" spans="1:17" x14ac:dyDescent="0.3">
      <c r="A558" t="s">
        <v>1061</v>
      </c>
      <c r="B558" s="2">
        <v>46043.089212962957</v>
      </c>
      <c r="C558" s="2" t="str">
        <f t="shared" si="16"/>
        <v>Jan-2026</v>
      </c>
      <c r="D558" t="s">
        <v>407</v>
      </c>
      <c r="E558" t="str">
        <f>VLOOKUP(D558,Customers!A:H,7,0)</f>
        <v>Salaried</v>
      </c>
      <c r="F558" t="s">
        <v>396</v>
      </c>
      <c r="G558" t="s">
        <v>607</v>
      </c>
      <c r="H558" t="str">
        <f>IFERROR(VLOOKUP(Transactions!G558,Merchants!A:B,2,FALSE),"Not Found")</f>
        <v>Daily Digital</v>
      </c>
      <c r="I558" s="9">
        <v>58870.45</v>
      </c>
      <c r="J558" s="3">
        <v>176.61</v>
      </c>
      <c r="K558" t="s">
        <v>90</v>
      </c>
      <c r="L558" t="s">
        <v>59</v>
      </c>
      <c r="M558" t="s">
        <v>74</v>
      </c>
      <c r="N558" t="s">
        <v>61</v>
      </c>
      <c r="O558" t="s">
        <v>81</v>
      </c>
      <c r="P558" t="str">
        <f t="shared" si="17"/>
        <v>High Value</v>
      </c>
      <c r="Q558" t="str">
        <f>VLOOKUP(G558,Merchants!A:C,3,TRUE)</f>
        <v>Healthcare</v>
      </c>
    </row>
    <row r="559" spans="1:17" x14ac:dyDescent="0.3">
      <c r="A559" t="s">
        <v>1062</v>
      </c>
      <c r="B559" s="2">
        <v>45821.032708333332</v>
      </c>
      <c r="C559" s="2" t="str">
        <f t="shared" si="16"/>
        <v>Jun-2025</v>
      </c>
      <c r="D559" t="s">
        <v>116</v>
      </c>
      <c r="E559" t="str">
        <f>VLOOKUP(D559,Customers!A:H,7,0)</f>
        <v>Business Owner</v>
      </c>
      <c r="F559" t="s">
        <v>388</v>
      </c>
      <c r="G559" t="s">
        <v>198</v>
      </c>
      <c r="H559" t="str">
        <f>IFERROR(VLOOKUP(Transactions!G559,Merchants!A:B,2,FALSE),"Not Found")</f>
        <v>Metro Services</v>
      </c>
      <c r="I559" s="9">
        <v>32921.78</v>
      </c>
      <c r="J559" s="3">
        <v>329.22</v>
      </c>
      <c r="K559" t="s">
        <v>96</v>
      </c>
      <c r="L559" t="s">
        <v>59</v>
      </c>
      <c r="M559" t="s">
        <v>86</v>
      </c>
      <c r="N559" t="s">
        <v>61</v>
      </c>
      <c r="O559" t="s">
        <v>81</v>
      </c>
      <c r="P559" t="str">
        <f t="shared" si="17"/>
        <v>High Value</v>
      </c>
      <c r="Q559" t="str">
        <f>VLOOKUP(G559,Merchants!A:C,3,TRUE)</f>
        <v>Travel</v>
      </c>
    </row>
    <row r="560" spans="1:17" x14ac:dyDescent="0.3">
      <c r="A560" t="s">
        <v>1063</v>
      </c>
      <c r="B560" s="2">
        <v>45857.831342592603</v>
      </c>
      <c r="C560" s="2" t="str">
        <f t="shared" si="16"/>
        <v>Jul-2025</v>
      </c>
      <c r="D560" t="s">
        <v>948</v>
      </c>
      <c r="E560" t="str">
        <f>VLOOKUP(D560,Customers!A:H,7,0)</f>
        <v>Student</v>
      </c>
      <c r="F560" t="s">
        <v>285</v>
      </c>
      <c r="G560" t="s">
        <v>156</v>
      </c>
      <c r="H560" t="str">
        <f>IFERROR(VLOOKUP(Transactions!G560,Merchants!A:B,2,FALSE),"Not Found")</f>
        <v>Blue Digital</v>
      </c>
      <c r="I560" s="9">
        <v>23686.97</v>
      </c>
      <c r="J560" s="3">
        <v>47.37</v>
      </c>
      <c r="K560" t="s">
        <v>90</v>
      </c>
      <c r="L560" t="s">
        <v>59</v>
      </c>
      <c r="M560" t="s">
        <v>111</v>
      </c>
      <c r="N560" t="s">
        <v>61</v>
      </c>
      <c r="O560" t="s">
        <v>75</v>
      </c>
      <c r="P560" t="str">
        <f t="shared" si="17"/>
        <v>High Value</v>
      </c>
      <c r="Q560" t="str">
        <f>VLOOKUP(G560,Merchants!A:C,3,TRUE)</f>
        <v>Electronics</v>
      </c>
    </row>
    <row r="561" spans="1:17" x14ac:dyDescent="0.3">
      <c r="A561" t="s">
        <v>1064</v>
      </c>
      <c r="B561" s="2">
        <v>45956.219699074078</v>
      </c>
      <c r="C561" s="2" t="str">
        <f t="shared" si="16"/>
        <v>Oct-2025</v>
      </c>
      <c r="D561" t="s">
        <v>398</v>
      </c>
      <c r="E561" t="str">
        <f>VLOOKUP(D561,Customers!A:H,7,0)</f>
        <v>Salaried</v>
      </c>
      <c r="F561" t="s">
        <v>106</v>
      </c>
      <c r="G561" t="s">
        <v>100</v>
      </c>
      <c r="H561" t="str">
        <f>IFERROR(VLOOKUP(Transactions!G561,Merchants!A:B,2,FALSE),"Not Found")</f>
        <v>Metro Stores</v>
      </c>
      <c r="I561" s="9">
        <v>12665</v>
      </c>
      <c r="J561" s="3">
        <v>37.99</v>
      </c>
      <c r="K561" t="s">
        <v>133</v>
      </c>
      <c r="L561" t="s">
        <v>73</v>
      </c>
      <c r="M561" t="s">
        <v>86</v>
      </c>
      <c r="N561" t="s">
        <v>67</v>
      </c>
      <c r="O561" t="s">
        <v>75</v>
      </c>
      <c r="P561" t="str">
        <f t="shared" si="17"/>
        <v>High Value</v>
      </c>
      <c r="Q561" t="str">
        <f>VLOOKUP(G561,Merchants!A:C,3,TRUE)</f>
        <v>Healthcare</v>
      </c>
    </row>
    <row r="562" spans="1:17" x14ac:dyDescent="0.3">
      <c r="A562" t="s">
        <v>1065</v>
      </c>
      <c r="B562" s="2">
        <v>46095.255196759259</v>
      </c>
      <c r="C562" s="2" t="str">
        <f t="shared" si="16"/>
        <v>Mar-2026</v>
      </c>
      <c r="D562" t="s">
        <v>474</v>
      </c>
      <c r="E562" t="str">
        <f>VLOOKUP(D562,Customers!A:H,7,0)</f>
        <v>Self-employed</v>
      </c>
      <c r="F562" t="s">
        <v>259</v>
      </c>
      <c r="G562" t="s">
        <v>607</v>
      </c>
      <c r="H562" t="str">
        <f>IFERROR(VLOOKUP(Transactions!G562,Merchants!A:B,2,FALSE),"Not Found")</f>
        <v>Daily Digital</v>
      </c>
      <c r="I562" s="9">
        <v>55566.52</v>
      </c>
      <c r="J562" s="3">
        <v>555.66999999999996</v>
      </c>
      <c r="K562" t="s">
        <v>58</v>
      </c>
      <c r="L562" t="s">
        <v>59</v>
      </c>
      <c r="M562" t="s">
        <v>60</v>
      </c>
      <c r="N562" t="s">
        <v>61</v>
      </c>
      <c r="O562" t="s">
        <v>62</v>
      </c>
      <c r="P562" t="str">
        <f t="shared" si="17"/>
        <v>High Value</v>
      </c>
      <c r="Q562" t="str">
        <f>VLOOKUP(G562,Merchants!A:C,3,TRUE)</f>
        <v>Healthcare</v>
      </c>
    </row>
    <row r="563" spans="1:17" x14ac:dyDescent="0.3">
      <c r="A563" t="s">
        <v>1066</v>
      </c>
      <c r="B563" s="2">
        <v>46071.371666666673</v>
      </c>
      <c r="C563" s="2" t="str">
        <f t="shared" si="16"/>
        <v>Feb-2026</v>
      </c>
      <c r="D563" t="s">
        <v>948</v>
      </c>
      <c r="E563" t="str">
        <f>VLOOKUP(D563,Customers!A:H,7,0)</f>
        <v>Student</v>
      </c>
      <c r="F563" t="s">
        <v>1014</v>
      </c>
      <c r="G563" t="s">
        <v>382</v>
      </c>
      <c r="H563" t="str">
        <f>IFERROR(VLOOKUP(Transactions!G563,Merchants!A:B,2,FALSE),"Not Found")</f>
        <v>Fresh Foods</v>
      </c>
      <c r="I563" s="9">
        <v>2136.17</v>
      </c>
      <c r="J563" s="3">
        <v>21.36</v>
      </c>
      <c r="K563" t="s">
        <v>90</v>
      </c>
      <c r="L563" t="s">
        <v>59</v>
      </c>
      <c r="M563" t="s">
        <v>74</v>
      </c>
      <c r="N563" t="s">
        <v>67</v>
      </c>
      <c r="O563" t="s">
        <v>75</v>
      </c>
      <c r="P563" t="str">
        <f t="shared" si="17"/>
        <v>Standard</v>
      </c>
      <c r="Q563" t="str">
        <f>VLOOKUP(G563,Merchants!A:C,3,TRUE)</f>
        <v>Healthcare</v>
      </c>
    </row>
    <row r="564" spans="1:17" x14ac:dyDescent="0.3">
      <c r="A564" t="s">
        <v>1067</v>
      </c>
      <c r="B564" s="2">
        <v>46049.417511574073</v>
      </c>
      <c r="C564" s="2" t="str">
        <f t="shared" si="16"/>
        <v>Jan-2026</v>
      </c>
      <c r="D564" t="s">
        <v>159</v>
      </c>
      <c r="E564" t="str">
        <f>VLOOKUP(D564,Customers!A:H,7,0)</f>
        <v>Business Owner</v>
      </c>
      <c r="F564" t="s">
        <v>659</v>
      </c>
      <c r="G564" t="s">
        <v>103</v>
      </c>
      <c r="H564" t="str">
        <f>IFERROR(VLOOKUP(Transactions!G564,Merchants!A:B,2,FALSE),"Not Found")</f>
        <v>Nova Pay</v>
      </c>
      <c r="I564" s="9">
        <v>37976.78</v>
      </c>
      <c r="J564" s="3">
        <v>75.95</v>
      </c>
      <c r="K564" t="s">
        <v>58</v>
      </c>
      <c r="L564" t="s">
        <v>59</v>
      </c>
      <c r="M564" t="s">
        <v>74</v>
      </c>
      <c r="N564" t="s">
        <v>67</v>
      </c>
      <c r="O564" t="s">
        <v>91</v>
      </c>
      <c r="P564" t="str">
        <f t="shared" si="17"/>
        <v>High Value</v>
      </c>
      <c r="Q564" t="str">
        <f>VLOOKUP(G564,Merchants!A:C,3,TRUE)</f>
        <v>Fashion</v>
      </c>
    </row>
    <row r="565" spans="1:17" x14ac:dyDescent="0.3">
      <c r="A565" t="s">
        <v>1068</v>
      </c>
      <c r="B565" s="2">
        <v>46258.86922453704</v>
      </c>
      <c r="C565" s="2" t="str">
        <f t="shared" si="16"/>
        <v>Aug-2026</v>
      </c>
      <c r="D565" t="s">
        <v>776</v>
      </c>
      <c r="E565" t="str">
        <f>VLOOKUP(D565,Customers!A:H,7,0)</f>
        <v>Student</v>
      </c>
      <c r="F565" t="s">
        <v>1069</v>
      </c>
      <c r="G565" t="s">
        <v>366</v>
      </c>
      <c r="H565" t="str">
        <f>IFERROR(VLOOKUP(Transactions!G565,Merchants!A:B,2,FALSE),"Not Found")</f>
        <v>Smart Pay</v>
      </c>
      <c r="I565" s="9">
        <v>59242.23</v>
      </c>
      <c r="J565" s="3">
        <v>118.48</v>
      </c>
      <c r="K565" t="s">
        <v>96</v>
      </c>
      <c r="L565" t="s">
        <v>59</v>
      </c>
      <c r="M565" t="s">
        <v>74</v>
      </c>
      <c r="N565" t="s">
        <v>61</v>
      </c>
      <c r="O565" t="s">
        <v>62</v>
      </c>
      <c r="P565" t="str">
        <f t="shared" si="17"/>
        <v>High Value</v>
      </c>
      <c r="Q565" t="str">
        <f>VLOOKUP(G565,Merchants!A:C,3,TRUE)</f>
        <v>Fashion</v>
      </c>
    </row>
    <row r="566" spans="1:17" x14ac:dyDescent="0.3">
      <c r="A566" t="s">
        <v>1070</v>
      </c>
      <c r="B566" s="2">
        <v>45759.493379629632</v>
      </c>
      <c r="C566" s="2" t="str">
        <f t="shared" si="16"/>
        <v>Apr-2025</v>
      </c>
      <c r="D566" t="s">
        <v>732</v>
      </c>
      <c r="E566" t="str">
        <f>VLOOKUP(D566,Customers!A:H,7,0)</f>
        <v>Self-employed</v>
      </c>
      <c r="F566" t="s">
        <v>56</v>
      </c>
      <c r="G566" t="s">
        <v>107</v>
      </c>
      <c r="H566" t="str">
        <f>IFERROR(VLOOKUP(Transactions!G566,Merchants!A:B,2,FALSE),"Not Found")</f>
        <v>Blue Services</v>
      </c>
      <c r="I566" s="9">
        <v>3903.55</v>
      </c>
      <c r="J566" s="3">
        <v>11.71</v>
      </c>
      <c r="K566" t="s">
        <v>58</v>
      </c>
      <c r="L566" t="s">
        <v>157</v>
      </c>
      <c r="M566" t="s">
        <v>74</v>
      </c>
      <c r="N566" t="s">
        <v>61</v>
      </c>
      <c r="O566" t="s">
        <v>91</v>
      </c>
      <c r="P566" t="str">
        <f t="shared" si="17"/>
        <v>High Value</v>
      </c>
      <c r="Q566" t="str">
        <f>VLOOKUP(G566,Merchants!A:C,3,TRUE)</f>
        <v>Travel</v>
      </c>
    </row>
    <row r="567" spans="1:17" x14ac:dyDescent="0.3">
      <c r="A567" t="s">
        <v>1071</v>
      </c>
      <c r="B567" s="2">
        <v>46189.887037037042</v>
      </c>
      <c r="C567" s="2" t="str">
        <f t="shared" si="16"/>
        <v>Jun-2026</v>
      </c>
      <c r="D567" t="s">
        <v>609</v>
      </c>
      <c r="E567" t="str">
        <f>VLOOKUP(D567,Customers!A:H,7,0)</f>
        <v>Self-employed</v>
      </c>
      <c r="F567" t="s">
        <v>875</v>
      </c>
      <c r="G567" t="s">
        <v>85</v>
      </c>
      <c r="H567" t="str">
        <f>IFERROR(VLOOKUP(Transactions!G567,Merchants!A:B,2,FALSE),"Not Found")</f>
        <v>Metro Pay</v>
      </c>
      <c r="I567" s="9">
        <v>32385.01</v>
      </c>
      <c r="J567" s="3">
        <v>64.77</v>
      </c>
      <c r="K567" t="s">
        <v>58</v>
      </c>
      <c r="L567" t="s">
        <v>73</v>
      </c>
      <c r="M567" t="s">
        <v>111</v>
      </c>
      <c r="N567" t="s">
        <v>67</v>
      </c>
      <c r="O567" t="s">
        <v>91</v>
      </c>
      <c r="P567" t="str">
        <f t="shared" si="17"/>
        <v>High Value</v>
      </c>
      <c r="Q567" t="str">
        <f>VLOOKUP(G567,Merchants!A:C,3,TRUE)</f>
        <v>Travel</v>
      </c>
    </row>
    <row r="568" spans="1:17" x14ac:dyDescent="0.3">
      <c r="A568" t="s">
        <v>1072</v>
      </c>
      <c r="B568" s="2">
        <v>46226.678460648152</v>
      </c>
      <c r="C568" s="2" t="str">
        <f t="shared" si="16"/>
        <v>Jul-2026</v>
      </c>
      <c r="D568" t="s">
        <v>252</v>
      </c>
      <c r="E568" t="str">
        <f>VLOOKUP(D568,Customers!A:H,7,0)</f>
        <v>Business Owner</v>
      </c>
      <c r="F568" t="s">
        <v>485</v>
      </c>
      <c r="G568" t="s">
        <v>156</v>
      </c>
      <c r="H568" t="str">
        <f>IFERROR(VLOOKUP(Transactions!G568,Merchants!A:B,2,FALSE),"Not Found")</f>
        <v>Blue Digital</v>
      </c>
      <c r="I568" s="9">
        <v>48050.73</v>
      </c>
      <c r="J568" s="3">
        <v>144.15</v>
      </c>
      <c r="K568" t="s">
        <v>90</v>
      </c>
      <c r="L568" t="s">
        <v>59</v>
      </c>
      <c r="M568" t="s">
        <v>86</v>
      </c>
      <c r="N568" t="s">
        <v>61</v>
      </c>
      <c r="O568" t="s">
        <v>91</v>
      </c>
      <c r="P568" t="str">
        <f t="shared" si="17"/>
        <v>High Value</v>
      </c>
      <c r="Q568" t="str">
        <f>VLOOKUP(G568,Merchants!A:C,3,TRUE)</f>
        <v>Electronics</v>
      </c>
    </row>
    <row r="569" spans="1:17" x14ac:dyDescent="0.3">
      <c r="A569" t="s">
        <v>1073</v>
      </c>
      <c r="B569" s="2">
        <v>45744.189189814817</v>
      </c>
      <c r="C569" s="2" t="str">
        <f t="shared" si="16"/>
        <v>Mar-2025</v>
      </c>
      <c r="D569" t="s">
        <v>1074</v>
      </c>
      <c r="E569" t="str">
        <f>VLOOKUP(D569,Customers!A:H,7,0)</f>
        <v>Self-employed</v>
      </c>
      <c r="F569" t="s">
        <v>259</v>
      </c>
      <c r="G569" t="s">
        <v>85</v>
      </c>
      <c r="H569" t="str">
        <f>IFERROR(VLOOKUP(Transactions!G569,Merchants!A:B,2,FALSE),"Not Found")</f>
        <v>Metro Pay</v>
      </c>
      <c r="I569" s="9">
        <v>30418.28</v>
      </c>
      <c r="J569" s="3">
        <v>91.25</v>
      </c>
      <c r="K569" t="s">
        <v>58</v>
      </c>
      <c r="L569" t="s">
        <v>59</v>
      </c>
      <c r="M569" t="s">
        <v>111</v>
      </c>
      <c r="N569" t="s">
        <v>61</v>
      </c>
      <c r="O569" t="s">
        <v>91</v>
      </c>
      <c r="P569" t="str">
        <f t="shared" si="17"/>
        <v>High Value</v>
      </c>
      <c r="Q569" t="str">
        <f>VLOOKUP(G569,Merchants!A:C,3,TRUE)</f>
        <v>Travel</v>
      </c>
    </row>
    <row r="570" spans="1:17" x14ac:dyDescent="0.3">
      <c r="A570" t="s">
        <v>1075</v>
      </c>
      <c r="B570" s="2">
        <v>46189.445092592592</v>
      </c>
      <c r="C570" s="2" t="str">
        <f t="shared" si="16"/>
        <v>Jun-2026</v>
      </c>
      <c r="D570" t="s">
        <v>759</v>
      </c>
      <c r="E570" t="str">
        <f>VLOOKUP(D570,Customers!A:H,7,0)</f>
        <v>Business Owner</v>
      </c>
      <c r="F570" t="s">
        <v>110</v>
      </c>
      <c r="G570" t="s">
        <v>233</v>
      </c>
      <c r="H570" t="str">
        <f>IFERROR(VLOOKUP(Transactions!G570,Merchants!A:B,2,FALSE),"Not Found")</f>
        <v>Urban Retail</v>
      </c>
      <c r="I570" s="9">
        <v>39583.54</v>
      </c>
      <c r="J570" s="3">
        <v>395.84</v>
      </c>
      <c r="K570" t="s">
        <v>72</v>
      </c>
      <c r="L570" t="s">
        <v>59</v>
      </c>
      <c r="M570" t="s">
        <v>111</v>
      </c>
      <c r="N570" t="s">
        <v>67</v>
      </c>
      <c r="O570" t="s">
        <v>91</v>
      </c>
      <c r="P570" t="str">
        <f t="shared" si="17"/>
        <v>High Value</v>
      </c>
      <c r="Q570" t="str">
        <f>VLOOKUP(G570,Merchants!A:C,3,TRUE)</f>
        <v>Utilities</v>
      </c>
    </row>
    <row r="571" spans="1:17" x14ac:dyDescent="0.3">
      <c r="A571" t="s">
        <v>1076</v>
      </c>
      <c r="B571" s="2">
        <v>45900.055717592593</v>
      </c>
      <c r="C571" s="2" t="str">
        <f t="shared" si="16"/>
        <v>Aug-2025</v>
      </c>
      <c r="D571" t="s">
        <v>64</v>
      </c>
      <c r="E571" t="str">
        <f>VLOOKUP(D571,Customers!A:H,7,0)</f>
        <v>Student</v>
      </c>
      <c r="F571" t="s">
        <v>1002</v>
      </c>
      <c r="G571" t="s">
        <v>164</v>
      </c>
      <c r="H571" t="str">
        <f>IFERROR(VLOOKUP(Transactions!G571,Merchants!A:B,2,FALSE),"Not Found")</f>
        <v>Green Foods</v>
      </c>
      <c r="I571" s="9">
        <v>11365.61</v>
      </c>
      <c r="J571" s="3">
        <v>34.1</v>
      </c>
      <c r="K571" t="s">
        <v>90</v>
      </c>
      <c r="L571" t="s">
        <v>59</v>
      </c>
      <c r="M571" t="s">
        <v>60</v>
      </c>
      <c r="N571" t="s">
        <v>61</v>
      </c>
      <c r="O571" t="s">
        <v>62</v>
      </c>
      <c r="P571" t="str">
        <f t="shared" si="17"/>
        <v>High Value</v>
      </c>
      <c r="Q571" t="str">
        <f>VLOOKUP(G571,Merchants!A:C,3,TRUE)</f>
        <v>Grocery</v>
      </c>
    </row>
    <row r="572" spans="1:17" x14ac:dyDescent="0.3">
      <c r="A572" t="s">
        <v>1077</v>
      </c>
      <c r="B572" s="2">
        <v>46295.640208333331</v>
      </c>
      <c r="C572" s="2" t="str">
        <f t="shared" si="16"/>
        <v>Sep-2026</v>
      </c>
      <c r="D572" t="s">
        <v>398</v>
      </c>
      <c r="E572" t="str">
        <f>VLOOKUP(D572,Customers!A:H,7,0)</f>
        <v>Salaried</v>
      </c>
      <c r="F572" t="s">
        <v>200</v>
      </c>
      <c r="G572" t="s">
        <v>95</v>
      </c>
      <c r="H572" t="str">
        <f>IFERROR(VLOOKUP(Transactions!G572,Merchants!A:B,2,FALSE),"Not Found")</f>
        <v>Quick Pay</v>
      </c>
      <c r="I572" s="9">
        <v>4554.1400000000003</v>
      </c>
      <c r="J572" s="3">
        <v>45.54</v>
      </c>
      <c r="K572" t="s">
        <v>96</v>
      </c>
      <c r="L572" t="s">
        <v>59</v>
      </c>
      <c r="M572" t="s">
        <v>74</v>
      </c>
      <c r="N572" t="s">
        <v>67</v>
      </c>
      <c r="O572" t="s">
        <v>81</v>
      </c>
      <c r="P572" t="str">
        <f t="shared" si="17"/>
        <v>High Value</v>
      </c>
      <c r="Q572" t="str">
        <f>VLOOKUP(G572,Merchants!A:C,3,TRUE)</f>
        <v>Healthcare</v>
      </c>
    </row>
    <row r="573" spans="1:17" x14ac:dyDescent="0.3">
      <c r="A573" t="s">
        <v>1078</v>
      </c>
      <c r="B573" s="2">
        <v>46093.217303240737</v>
      </c>
      <c r="C573" s="2" t="str">
        <f t="shared" si="16"/>
        <v>Mar-2026</v>
      </c>
      <c r="D573" t="s">
        <v>333</v>
      </c>
      <c r="E573" t="str">
        <f>VLOOKUP(D573,Customers!A:H,7,0)</f>
        <v>Student</v>
      </c>
      <c r="F573" t="s">
        <v>139</v>
      </c>
      <c r="G573" t="s">
        <v>156</v>
      </c>
      <c r="H573" t="str">
        <f>IFERROR(VLOOKUP(Transactions!G573,Merchants!A:B,2,FALSE),"Not Found")</f>
        <v>Blue Digital</v>
      </c>
      <c r="I573" s="9">
        <v>32200.67</v>
      </c>
      <c r="J573" s="3">
        <v>161</v>
      </c>
      <c r="K573" t="s">
        <v>90</v>
      </c>
      <c r="L573" t="s">
        <v>59</v>
      </c>
      <c r="M573" t="s">
        <v>60</v>
      </c>
      <c r="N573" t="s">
        <v>67</v>
      </c>
      <c r="O573" t="s">
        <v>75</v>
      </c>
      <c r="P573" t="str">
        <f t="shared" si="17"/>
        <v>High Value</v>
      </c>
      <c r="Q573" t="str">
        <f>VLOOKUP(G573,Merchants!A:C,3,TRUE)</f>
        <v>Electronics</v>
      </c>
    </row>
    <row r="574" spans="1:17" x14ac:dyDescent="0.3">
      <c r="A574" t="s">
        <v>1079</v>
      </c>
      <c r="B574" s="2">
        <v>45815.47991898148</v>
      </c>
      <c r="C574" s="2" t="str">
        <f t="shared" si="16"/>
        <v>Jun-2025</v>
      </c>
      <c r="D574" t="s">
        <v>395</v>
      </c>
      <c r="E574" t="str">
        <f>VLOOKUP(D574,Customers!A:H,7,0)</f>
        <v>Student</v>
      </c>
      <c r="F574" t="s">
        <v>301</v>
      </c>
      <c r="G574" t="s">
        <v>430</v>
      </c>
      <c r="H574" t="str">
        <f>IFERROR(VLOOKUP(Transactions!G574,Merchants!A:B,2,FALSE),"Not Found")</f>
        <v>Prime Foods</v>
      </c>
      <c r="I574" s="9">
        <v>59547.69</v>
      </c>
      <c r="J574" s="3">
        <v>119.1</v>
      </c>
      <c r="K574" t="s">
        <v>72</v>
      </c>
      <c r="L574" t="s">
        <v>59</v>
      </c>
      <c r="M574" t="s">
        <v>86</v>
      </c>
      <c r="N574" t="s">
        <v>67</v>
      </c>
      <c r="O574" t="s">
        <v>75</v>
      </c>
      <c r="P574" t="str">
        <f t="shared" si="17"/>
        <v>High Value</v>
      </c>
      <c r="Q574" t="str">
        <f>VLOOKUP(G574,Merchants!A:C,3,TRUE)</f>
        <v>Entertainment</v>
      </c>
    </row>
    <row r="575" spans="1:17" x14ac:dyDescent="0.3">
      <c r="A575" t="s">
        <v>1080</v>
      </c>
      <c r="B575" s="2">
        <v>45725.499641203707</v>
      </c>
      <c r="C575" s="2" t="str">
        <f t="shared" si="16"/>
        <v>Mar-2025</v>
      </c>
      <c r="D575" t="s">
        <v>364</v>
      </c>
      <c r="E575" t="str">
        <f>VLOOKUP(D575,Customers!A:H,7,0)</f>
        <v>Self-employed</v>
      </c>
      <c r="F575" t="s">
        <v>1081</v>
      </c>
      <c r="G575" t="s">
        <v>322</v>
      </c>
      <c r="H575" t="str">
        <f>IFERROR(VLOOKUP(Transactions!G575,Merchants!A:B,2,FALSE),"Not Found")</f>
        <v>Metro Pay</v>
      </c>
      <c r="I575" s="9">
        <v>38446.629999999997</v>
      </c>
      <c r="J575" s="3">
        <v>192.23</v>
      </c>
      <c r="K575" t="s">
        <v>72</v>
      </c>
      <c r="L575" t="s">
        <v>59</v>
      </c>
      <c r="M575" t="s">
        <v>86</v>
      </c>
      <c r="N575" t="s">
        <v>67</v>
      </c>
      <c r="O575" t="s">
        <v>75</v>
      </c>
      <c r="P575" t="str">
        <f t="shared" si="17"/>
        <v>High Value</v>
      </c>
      <c r="Q575" t="str">
        <f>VLOOKUP(G575,Merchants!A:C,3,TRUE)</f>
        <v>Grocery</v>
      </c>
    </row>
    <row r="576" spans="1:17" x14ac:dyDescent="0.3">
      <c r="A576" t="s">
        <v>1082</v>
      </c>
      <c r="B576" s="2">
        <v>45885.57439814815</v>
      </c>
      <c r="C576" s="2" t="str">
        <f t="shared" si="16"/>
        <v>Aug-2025</v>
      </c>
      <c r="D576" t="s">
        <v>289</v>
      </c>
      <c r="E576" t="str">
        <f>VLOOKUP(D576,Customers!A:H,7,0)</f>
        <v>Business Owner</v>
      </c>
      <c r="F576" t="s">
        <v>787</v>
      </c>
      <c r="G576" t="s">
        <v>263</v>
      </c>
      <c r="H576" t="str">
        <f>IFERROR(VLOOKUP(Transactions!G576,Merchants!A:B,2,FALSE),"Not Found")</f>
        <v>Urban Retail</v>
      </c>
      <c r="I576" s="9">
        <v>57111.79</v>
      </c>
      <c r="J576" s="3">
        <v>114.22</v>
      </c>
      <c r="K576" t="s">
        <v>133</v>
      </c>
      <c r="L576" t="s">
        <v>73</v>
      </c>
      <c r="M576" t="s">
        <v>74</v>
      </c>
      <c r="N576" t="s">
        <v>67</v>
      </c>
      <c r="O576" t="s">
        <v>81</v>
      </c>
      <c r="P576" t="str">
        <f t="shared" si="17"/>
        <v>High Value</v>
      </c>
      <c r="Q576" t="str">
        <f>VLOOKUP(G576,Merchants!A:C,3,TRUE)</f>
        <v>Grocery</v>
      </c>
    </row>
    <row r="577" spans="1:17" x14ac:dyDescent="0.3">
      <c r="A577" t="s">
        <v>1083</v>
      </c>
      <c r="B577" s="2">
        <v>46243.427789351852</v>
      </c>
      <c r="C577" s="2" t="str">
        <f t="shared" si="16"/>
        <v>Aug-2026</v>
      </c>
      <c r="D577" t="s">
        <v>448</v>
      </c>
      <c r="E577" t="str">
        <f>VLOOKUP(D577,Customers!A:H,7,0)</f>
        <v>Business Owner</v>
      </c>
      <c r="F577" t="s">
        <v>446</v>
      </c>
      <c r="G577" t="s">
        <v>366</v>
      </c>
      <c r="H577" t="str">
        <f>IFERROR(VLOOKUP(Transactions!G577,Merchants!A:B,2,FALSE),"Not Found")</f>
        <v>Smart Pay</v>
      </c>
      <c r="I577" s="9">
        <v>33137.379999999997</v>
      </c>
      <c r="J577" s="3">
        <v>66.27</v>
      </c>
      <c r="K577" t="s">
        <v>90</v>
      </c>
      <c r="L577" t="s">
        <v>59</v>
      </c>
      <c r="M577" t="s">
        <v>60</v>
      </c>
      <c r="N577" t="s">
        <v>61</v>
      </c>
      <c r="O577" t="s">
        <v>75</v>
      </c>
      <c r="P577" t="str">
        <f t="shared" si="17"/>
        <v>High Value</v>
      </c>
      <c r="Q577" t="str">
        <f>VLOOKUP(G577,Merchants!A:C,3,TRUE)</f>
        <v>Fashion</v>
      </c>
    </row>
    <row r="578" spans="1:17" x14ac:dyDescent="0.3">
      <c r="A578" t="s">
        <v>1084</v>
      </c>
      <c r="B578" s="2">
        <v>46264.193530092591</v>
      </c>
      <c r="C578" s="2" t="str">
        <f t="shared" si="16"/>
        <v>Aug-2026</v>
      </c>
      <c r="D578" t="s">
        <v>620</v>
      </c>
      <c r="E578" t="str">
        <f>VLOOKUP(D578,Customers!A:H,7,0)</f>
        <v>Salaried</v>
      </c>
      <c r="F578" t="s">
        <v>325</v>
      </c>
      <c r="G578" t="s">
        <v>413</v>
      </c>
      <c r="H578" t="str">
        <f>IFERROR(VLOOKUP(Transactions!G578,Merchants!A:B,2,FALSE),"Not Found")</f>
        <v>Blue Hub</v>
      </c>
      <c r="I578" s="9">
        <v>15617.76</v>
      </c>
      <c r="J578" s="3">
        <v>46.85</v>
      </c>
      <c r="K578" t="s">
        <v>96</v>
      </c>
      <c r="L578" t="s">
        <v>80</v>
      </c>
      <c r="M578" t="s">
        <v>60</v>
      </c>
      <c r="N578" t="s">
        <v>67</v>
      </c>
      <c r="O578" t="s">
        <v>81</v>
      </c>
      <c r="P578" t="str">
        <f t="shared" si="17"/>
        <v>High Value</v>
      </c>
      <c r="Q578" t="str">
        <f>VLOOKUP(G578,Merchants!A:C,3,TRUE)</f>
        <v>Utilities</v>
      </c>
    </row>
    <row r="579" spans="1:17" x14ac:dyDescent="0.3">
      <c r="A579" t="s">
        <v>1085</v>
      </c>
      <c r="B579" s="2">
        <v>45913.923414351862</v>
      </c>
      <c r="C579" s="2" t="str">
        <f t="shared" ref="C579:C642" si="18">TEXT(B579,"mmm-yyyy")</f>
        <v>Sep-2025</v>
      </c>
      <c r="D579" t="s">
        <v>220</v>
      </c>
      <c r="E579" t="str">
        <f>VLOOKUP(D579,Customers!A:H,7,0)</f>
        <v>Student</v>
      </c>
      <c r="F579" t="s">
        <v>525</v>
      </c>
      <c r="G579" t="s">
        <v>554</v>
      </c>
      <c r="H579" t="str">
        <f>IFERROR(VLOOKUP(Transactions!G579,Merchants!A:B,2,FALSE),"Not Found")</f>
        <v>Green Pay</v>
      </c>
      <c r="I579" s="9">
        <v>25152.799999999999</v>
      </c>
      <c r="J579" s="3">
        <v>251.53</v>
      </c>
      <c r="K579" t="s">
        <v>133</v>
      </c>
      <c r="L579" t="s">
        <v>59</v>
      </c>
      <c r="M579" t="s">
        <v>60</v>
      </c>
      <c r="N579" t="s">
        <v>61</v>
      </c>
      <c r="O579" t="s">
        <v>75</v>
      </c>
      <c r="P579" t="str">
        <f t="shared" ref="P579:P642" si="19">IF(I579&gt;=2500,"High Value","Standard")</f>
        <v>High Value</v>
      </c>
      <c r="Q579" t="str">
        <f>VLOOKUP(G579,Merchants!A:C,3,TRUE)</f>
        <v>Utilities</v>
      </c>
    </row>
    <row r="580" spans="1:17" x14ac:dyDescent="0.3">
      <c r="A580" t="s">
        <v>1086</v>
      </c>
      <c r="B580" s="2">
        <v>46191.347037037027</v>
      </c>
      <c r="C580" s="2" t="str">
        <f t="shared" si="18"/>
        <v>Jun-2026</v>
      </c>
      <c r="D580" t="s">
        <v>1087</v>
      </c>
      <c r="E580" t="str">
        <f>VLOOKUP(D580,Customers!A:H,7,0)</f>
        <v>Student</v>
      </c>
      <c r="F580" t="s">
        <v>541</v>
      </c>
      <c r="G580" t="s">
        <v>182</v>
      </c>
      <c r="H580" t="str">
        <f>IFERROR(VLOOKUP(Transactions!G580,Merchants!A:B,2,FALSE),"Not Found")</f>
        <v>Fresh Hub</v>
      </c>
      <c r="I580" s="9">
        <v>18380.73</v>
      </c>
      <c r="J580" s="3">
        <v>91.9</v>
      </c>
      <c r="K580" t="s">
        <v>58</v>
      </c>
      <c r="L580" t="s">
        <v>73</v>
      </c>
      <c r="M580" t="s">
        <v>86</v>
      </c>
      <c r="N580" t="s">
        <v>67</v>
      </c>
      <c r="O580" t="s">
        <v>62</v>
      </c>
      <c r="P580" t="str">
        <f t="shared" si="19"/>
        <v>High Value</v>
      </c>
      <c r="Q580" t="str">
        <f>VLOOKUP(G580,Merchants!A:C,3,TRUE)</f>
        <v>Healthcare</v>
      </c>
    </row>
    <row r="581" spans="1:17" x14ac:dyDescent="0.3">
      <c r="A581" t="s">
        <v>1088</v>
      </c>
      <c r="B581" s="2">
        <v>45753.250474537039</v>
      </c>
      <c r="C581" s="2" t="str">
        <f t="shared" si="18"/>
        <v>Apr-2025</v>
      </c>
      <c r="D581" t="s">
        <v>390</v>
      </c>
      <c r="E581" t="str">
        <f>VLOOKUP(D581,Customers!A:H,7,0)</f>
        <v>Student</v>
      </c>
      <c r="F581" t="s">
        <v>94</v>
      </c>
      <c r="G581" t="s">
        <v>318</v>
      </c>
      <c r="H581" t="str">
        <f>IFERROR(VLOOKUP(Transactions!G581,Merchants!A:B,2,FALSE),"Not Found")</f>
        <v>Urban Digital</v>
      </c>
      <c r="I581" s="9">
        <v>34561.47</v>
      </c>
      <c r="J581" s="3">
        <v>172.81</v>
      </c>
      <c r="K581" t="s">
        <v>58</v>
      </c>
      <c r="L581" t="s">
        <v>59</v>
      </c>
      <c r="M581" t="s">
        <v>74</v>
      </c>
      <c r="N581" t="s">
        <v>67</v>
      </c>
      <c r="O581" t="s">
        <v>75</v>
      </c>
      <c r="P581" t="str">
        <f t="shared" si="19"/>
        <v>High Value</v>
      </c>
      <c r="Q581" t="str">
        <f>VLOOKUP(G581,Merchants!A:C,3,TRUE)</f>
        <v>Utilities</v>
      </c>
    </row>
    <row r="582" spans="1:17" x14ac:dyDescent="0.3">
      <c r="A582" t="s">
        <v>1089</v>
      </c>
      <c r="B582" s="2">
        <v>46167.781284722223</v>
      </c>
      <c r="C582" s="2" t="str">
        <f t="shared" si="18"/>
        <v>May-2026</v>
      </c>
      <c r="D582" t="s">
        <v>732</v>
      </c>
      <c r="E582" t="str">
        <f>VLOOKUP(D582,Customers!A:H,7,0)</f>
        <v>Self-employed</v>
      </c>
      <c r="F582" t="s">
        <v>1090</v>
      </c>
      <c r="G582" t="s">
        <v>208</v>
      </c>
      <c r="H582" t="str">
        <f>IFERROR(VLOOKUP(Transactions!G582,Merchants!A:B,2,FALSE),"Not Found")</f>
        <v>Blue Retail</v>
      </c>
      <c r="I582" s="9">
        <v>41138.800000000003</v>
      </c>
      <c r="J582" s="3">
        <v>82.28</v>
      </c>
      <c r="K582" t="s">
        <v>90</v>
      </c>
      <c r="L582" t="s">
        <v>80</v>
      </c>
      <c r="M582" t="s">
        <v>86</v>
      </c>
      <c r="N582" t="s">
        <v>61</v>
      </c>
      <c r="O582" t="s">
        <v>81</v>
      </c>
      <c r="P582" t="str">
        <f t="shared" si="19"/>
        <v>High Value</v>
      </c>
      <c r="Q582" t="str">
        <f>VLOOKUP(G582,Merchants!A:C,3,TRUE)</f>
        <v>Healthcare</v>
      </c>
    </row>
    <row r="583" spans="1:17" x14ac:dyDescent="0.3">
      <c r="A583" t="s">
        <v>1091</v>
      </c>
      <c r="B583" s="2">
        <v>45908.801157407397</v>
      </c>
      <c r="C583" s="2" t="str">
        <f t="shared" si="18"/>
        <v>Sep-2025</v>
      </c>
      <c r="D583" t="s">
        <v>448</v>
      </c>
      <c r="E583" t="str">
        <f>VLOOKUP(D583,Customers!A:H,7,0)</f>
        <v>Business Owner</v>
      </c>
      <c r="F583" t="s">
        <v>518</v>
      </c>
      <c r="G583" t="s">
        <v>233</v>
      </c>
      <c r="H583" t="str">
        <f>IFERROR(VLOOKUP(Transactions!G583,Merchants!A:B,2,FALSE),"Not Found")</f>
        <v>Urban Retail</v>
      </c>
      <c r="I583" s="9">
        <v>41076.28</v>
      </c>
      <c r="J583" s="3">
        <v>410.76</v>
      </c>
      <c r="K583" t="s">
        <v>90</v>
      </c>
      <c r="L583" t="s">
        <v>59</v>
      </c>
      <c r="M583" t="s">
        <v>111</v>
      </c>
      <c r="N583" t="s">
        <v>67</v>
      </c>
      <c r="O583" t="s">
        <v>81</v>
      </c>
      <c r="P583" t="str">
        <f t="shared" si="19"/>
        <v>High Value</v>
      </c>
      <c r="Q583" t="str">
        <f>VLOOKUP(G583,Merchants!A:C,3,TRUE)</f>
        <v>Utilities</v>
      </c>
    </row>
    <row r="584" spans="1:17" x14ac:dyDescent="0.3">
      <c r="A584" t="s">
        <v>1092</v>
      </c>
      <c r="B584" s="2">
        <v>45794.779270833344</v>
      </c>
      <c r="C584" s="2" t="str">
        <f t="shared" si="18"/>
        <v>May-2025</v>
      </c>
      <c r="D584" t="s">
        <v>270</v>
      </c>
      <c r="E584" t="str">
        <f>VLOOKUP(D584,Customers!A:H,7,0)</f>
        <v>Business Owner</v>
      </c>
      <c r="F584" t="s">
        <v>497</v>
      </c>
      <c r="G584" t="s">
        <v>100</v>
      </c>
      <c r="H584" t="str">
        <f>IFERROR(VLOOKUP(Transactions!G584,Merchants!A:B,2,FALSE),"Not Found")</f>
        <v>Metro Stores</v>
      </c>
      <c r="I584" s="9">
        <v>21262.16</v>
      </c>
      <c r="J584" s="3">
        <v>212.62</v>
      </c>
      <c r="K584" t="s">
        <v>58</v>
      </c>
      <c r="L584" t="s">
        <v>59</v>
      </c>
      <c r="M584" t="s">
        <v>60</v>
      </c>
      <c r="N584" t="s">
        <v>67</v>
      </c>
      <c r="O584" t="s">
        <v>91</v>
      </c>
      <c r="P584" t="str">
        <f t="shared" si="19"/>
        <v>High Value</v>
      </c>
      <c r="Q584" t="str">
        <f>VLOOKUP(G584,Merchants!A:C,3,TRUE)</f>
        <v>Healthcare</v>
      </c>
    </row>
    <row r="585" spans="1:17" x14ac:dyDescent="0.3">
      <c r="A585" t="s">
        <v>1093</v>
      </c>
      <c r="B585" s="2">
        <v>45955.45385416667</v>
      </c>
      <c r="C585" s="2" t="str">
        <f t="shared" si="18"/>
        <v>Oct-2025</v>
      </c>
      <c r="D585" t="s">
        <v>1094</v>
      </c>
      <c r="E585" t="str">
        <f>VLOOKUP(D585,Customers!A:H,7,0)</f>
        <v>Student</v>
      </c>
      <c r="F585" t="s">
        <v>627</v>
      </c>
      <c r="G585" t="s">
        <v>198</v>
      </c>
      <c r="H585" t="str">
        <f>IFERROR(VLOOKUP(Transactions!G585,Merchants!A:B,2,FALSE),"Not Found")</f>
        <v>Metro Services</v>
      </c>
      <c r="I585" s="9">
        <v>29039.17</v>
      </c>
      <c r="J585" s="3">
        <v>58.08</v>
      </c>
      <c r="K585" t="s">
        <v>90</v>
      </c>
      <c r="L585" t="s">
        <v>59</v>
      </c>
      <c r="M585" t="s">
        <v>60</v>
      </c>
      <c r="N585" t="s">
        <v>67</v>
      </c>
      <c r="O585" t="s">
        <v>75</v>
      </c>
      <c r="P585" t="str">
        <f t="shared" si="19"/>
        <v>High Value</v>
      </c>
      <c r="Q585" t="str">
        <f>VLOOKUP(G585,Merchants!A:C,3,TRUE)</f>
        <v>Travel</v>
      </c>
    </row>
    <row r="586" spans="1:17" x14ac:dyDescent="0.3">
      <c r="A586" t="s">
        <v>1095</v>
      </c>
      <c r="B586" s="2">
        <v>46290.740717592591</v>
      </c>
      <c r="C586" s="2" t="str">
        <f t="shared" si="18"/>
        <v>Sep-2026</v>
      </c>
      <c r="D586" t="s">
        <v>327</v>
      </c>
      <c r="E586" t="str">
        <f>VLOOKUP(D586,Customers!A:H,7,0)</f>
        <v>Salaried</v>
      </c>
      <c r="F586" t="s">
        <v>528</v>
      </c>
      <c r="G586" t="s">
        <v>421</v>
      </c>
      <c r="H586" t="str">
        <f>IFERROR(VLOOKUP(Transactions!G586,Merchants!A:B,2,FALSE),"Not Found")</f>
        <v>Smart Pay</v>
      </c>
      <c r="I586" s="9">
        <v>3544.05</v>
      </c>
      <c r="J586" s="3">
        <v>35.44</v>
      </c>
      <c r="K586" t="s">
        <v>58</v>
      </c>
      <c r="L586" t="s">
        <v>59</v>
      </c>
      <c r="M586" t="s">
        <v>86</v>
      </c>
      <c r="N586" t="s">
        <v>61</v>
      </c>
      <c r="O586" t="s">
        <v>62</v>
      </c>
      <c r="P586" t="str">
        <f t="shared" si="19"/>
        <v>High Value</v>
      </c>
      <c r="Q586" t="str">
        <f>VLOOKUP(G586,Merchants!A:C,3,TRUE)</f>
        <v>Entertainment</v>
      </c>
    </row>
    <row r="587" spans="1:17" x14ac:dyDescent="0.3">
      <c r="A587" t="s">
        <v>1096</v>
      </c>
      <c r="B587" s="2">
        <v>46069.537835648152</v>
      </c>
      <c r="C587" s="2" t="str">
        <f t="shared" si="18"/>
        <v>Feb-2026</v>
      </c>
      <c r="D587" t="s">
        <v>135</v>
      </c>
      <c r="E587" t="str">
        <f>VLOOKUP(D587,Customers!A:H,7,0)</f>
        <v>Salaried</v>
      </c>
      <c r="F587" t="s">
        <v>571</v>
      </c>
      <c r="G587" t="s">
        <v>150</v>
      </c>
      <c r="H587" t="str">
        <f>IFERROR(VLOOKUP(Transactions!G587,Merchants!A:B,2,FALSE),"Not Found")</f>
        <v>Nova Services</v>
      </c>
      <c r="I587" s="9">
        <v>630.94000000000005</v>
      </c>
      <c r="J587" s="3">
        <v>1.89</v>
      </c>
      <c r="K587" t="s">
        <v>90</v>
      </c>
      <c r="L587" t="s">
        <v>59</v>
      </c>
      <c r="M587" t="s">
        <v>74</v>
      </c>
      <c r="N587" t="s">
        <v>67</v>
      </c>
      <c r="O587" t="s">
        <v>75</v>
      </c>
      <c r="P587" t="str">
        <f t="shared" si="19"/>
        <v>Standard</v>
      </c>
      <c r="Q587" t="str">
        <f>VLOOKUP(G587,Merchants!A:C,3,TRUE)</f>
        <v>Electronics</v>
      </c>
    </row>
    <row r="588" spans="1:17" x14ac:dyDescent="0.3">
      <c r="A588" t="s">
        <v>1097</v>
      </c>
      <c r="B588" s="2">
        <v>45665.236087962963</v>
      </c>
      <c r="C588" s="2" t="str">
        <f t="shared" si="18"/>
        <v>Jan-2025</v>
      </c>
      <c r="D588" t="s">
        <v>130</v>
      </c>
      <c r="E588" t="str">
        <f>VLOOKUP(D588,Customers!A:H,7,0)</f>
        <v>Student</v>
      </c>
      <c r="F588" t="s">
        <v>145</v>
      </c>
      <c r="G588" t="s">
        <v>263</v>
      </c>
      <c r="H588" t="str">
        <f>IFERROR(VLOOKUP(Transactions!G588,Merchants!A:B,2,FALSE),"Not Found")</f>
        <v>Urban Retail</v>
      </c>
      <c r="I588" s="9">
        <v>46189.91</v>
      </c>
      <c r="J588" s="3">
        <v>461.9</v>
      </c>
      <c r="K588" t="s">
        <v>72</v>
      </c>
      <c r="L588" t="s">
        <v>59</v>
      </c>
      <c r="M588" t="s">
        <v>74</v>
      </c>
      <c r="N588" t="s">
        <v>67</v>
      </c>
      <c r="O588" t="s">
        <v>81</v>
      </c>
      <c r="P588" t="str">
        <f t="shared" si="19"/>
        <v>High Value</v>
      </c>
      <c r="Q588" t="str">
        <f>VLOOKUP(G588,Merchants!A:C,3,TRUE)</f>
        <v>Grocery</v>
      </c>
    </row>
    <row r="589" spans="1:17" x14ac:dyDescent="0.3">
      <c r="A589" t="s">
        <v>1098</v>
      </c>
      <c r="B589" s="2">
        <v>45769.665324074071</v>
      </c>
      <c r="C589" s="2" t="str">
        <f t="shared" si="18"/>
        <v>Apr-2025</v>
      </c>
      <c r="D589" t="s">
        <v>220</v>
      </c>
      <c r="E589" t="str">
        <f>VLOOKUP(D589,Customers!A:H,7,0)</f>
        <v>Student</v>
      </c>
      <c r="F589" t="s">
        <v>78</v>
      </c>
      <c r="G589" t="s">
        <v>117</v>
      </c>
      <c r="H589" t="str">
        <f>IFERROR(VLOOKUP(Transactions!G589,Merchants!A:B,2,FALSE),"Not Found")</f>
        <v>Prime Pay</v>
      </c>
      <c r="I589" s="9">
        <v>39411.15</v>
      </c>
      <c r="J589" s="3">
        <v>118.23</v>
      </c>
      <c r="K589" t="s">
        <v>58</v>
      </c>
      <c r="L589" t="s">
        <v>59</v>
      </c>
      <c r="M589" t="s">
        <v>60</v>
      </c>
      <c r="N589" t="s">
        <v>67</v>
      </c>
      <c r="O589" t="s">
        <v>91</v>
      </c>
      <c r="P589" t="str">
        <f t="shared" si="19"/>
        <v>High Value</v>
      </c>
      <c r="Q589" t="str">
        <f>VLOOKUP(G589,Merchants!A:C,3,TRUE)</f>
        <v>Travel</v>
      </c>
    </row>
    <row r="590" spans="1:17" x14ac:dyDescent="0.3">
      <c r="A590" t="s">
        <v>1099</v>
      </c>
      <c r="B590" s="2">
        <v>45852.432199074072</v>
      </c>
      <c r="C590" s="2" t="str">
        <f t="shared" si="18"/>
        <v>Jul-2025</v>
      </c>
      <c r="D590" t="s">
        <v>664</v>
      </c>
      <c r="E590" t="str">
        <f>VLOOKUP(D590,Customers!A:H,7,0)</f>
        <v>Self-employed</v>
      </c>
      <c r="F590" t="s">
        <v>537</v>
      </c>
      <c r="G590" t="s">
        <v>85</v>
      </c>
      <c r="H590" t="str">
        <f>IFERROR(VLOOKUP(Transactions!G590,Merchants!A:B,2,FALSE),"Not Found")</f>
        <v>Metro Pay</v>
      </c>
      <c r="I590" s="9">
        <v>2511.35</v>
      </c>
      <c r="J590" s="3">
        <v>12.56</v>
      </c>
      <c r="K590" t="s">
        <v>90</v>
      </c>
      <c r="L590" t="s">
        <v>59</v>
      </c>
      <c r="M590" t="s">
        <v>74</v>
      </c>
      <c r="N590" t="s">
        <v>61</v>
      </c>
      <c r="O590" t="s">
        <v>91</v>
      </c>
      <c r="P590" t="str">
        <f t="shared" si="19"/>
        <v>High Value</v>
      </c>
      <c r="Q590" t="str">
        <f>VLOOKUP(G590,Merchants!A:C,3,TRUE)</f>
        <v>Travel</v>
      </c>
    </row>
    <row r="591" spans="1:17" x14ac:dyDescent="0.3">
      <c r="A591" t="s">
        <v>1100</v>
      </c>
      <c r="B591" s="2">
        <v>46089.741932870369</v>
      </c>
      <c r="C591" s="2" t="str">
        <f t="shared" si="18"/>
        <v>Mar-2026</v>
      </c>
      <c r="D591" t="s">
        <v>162</v>
      </c>
      <c r="E591" t="str">
        <f>VLOOKUP(D591,Customers!A:H,7,0)</f>
        <v>Self-employed</v>
      </c>
      <c r="F591" t="s">
        <v>273</v>
      </c>
      <c r="G591" t="s">
        <v>198</v>
      </c>
      <c r="H591" t="str">
        <f>IFERROR(VLOOKUP(Transactions!G591,Merchants!A:B,2,FALSE),"Not Found")</f>
        <v>Metro Services</v>
      </c>
      <c r="I591" s="9">
        <v>33052.410000000003</v>
      </c>
      <c r="J591" s="3">
        <v>99.16</v>
      </c>
      <c r="K591" t="s">
        <v>133</v>
      </c>
      <c r="L591" t="s">
        <v>73</v>
      </c>
      <c r="M591" t="s">
        <v>74</v>
      </c>
      <c r="N591" t="s">
        <v>67</v>
      </c>
      <c r="O591" t="s">
        <v>91</v>
      </c>
      <c r="P591" t="str">
        <f t="shared" si="19"/>
        <v>High Value</v>
      </c>
      <c r="Q591" t="str">
        <f>VLOOKUP(G591,Merchants!A:C,3,TRUE)</f>
        <v>Travel</v>
      </c>
    </row>
    <row r="592" spans="1:17" x14ac:dyDescent="0.3">
      <c r="A592" t="s">
        <v>1101</v>
      </c>
      <c r="B592" s="2">
        <v>45768.032083333332</v>
      </c>
      <c r="C592" s="2" t="str">
        <f t="shared" si="18"/>
        <v>Apr-2025</v>
      </c>
      <c r="D592" t="s">
        <v>684</v>
      </c>
      <c r="E592" t="str">
        <f>VLOOKUP(D592,Customers!A:H,7,0)</f>
        <v>Student</v>
      </c>
      <c r="F592" t="s">
        <v>354</v>
      </c>
      <c r="G592" t="s">
        <v>607</v>
      </c>
      <c r="H592" t="str">
        <f>IFERROR(VLOOKUP(Transactions!G592,Merchants!A:B,2,FALSE),"Not Found")</f>
        <v>Daily Digital</v>
      </c>
      <c r="I592" s="9">
        <v>7654.8</v>
      </c>
      <c r="J592" s="3">
        <v>15.31</v>
      </c>
      <c r="K592" t="s">
        <v>72</v>
      </c>
      <c r="L592" t="s">
        <v>59</v>
      </c>
      <c r="M592" t="s">
        <v>74</v>
      </c>
      <c r="N592" t="s">
        <v>67</v>
      </c>
      <c r="O592" t="s">
        <v>75</v>
      </c>
      <c r="P592" t="str">
        <f t="shared" si="19"/>
        <v>High Value</v>
      </c>
      <c r="Q592" t="str">
        <f>VLOOKUP(G592,Merchants!A:C,3,TRUE)</f>
        <v>Healthcare</v>
      </c>
    </row>
    <row r="593" spans="1:17" x14ac:dyDescent="0.3">
      <c r="A593" t="s">
        <v>1102</v>
      </c>
      <c r="B593" s="2">
        <v>46149.439120370371</v>
      </c>
      <c r="C593" s="2" t="str">
        <f t="shared" si="18"/>
        <v>May-2026</v>
      </c>
      <c r="D593" t="s">
        <v>1103</v>
      </c>
      <c r="E593" t="str">
        <f>VLOOKUP(D593,Customers!A:H,7,0)</f>
        <v>Business Owner</v>
      </c>
      <c r="F593" t="s">
        <v>207</v>
      </c>
      <c r="G593" t="s">
        <v>413</v>
      </c>
      <c r="H593" t="str">
        <f>IFERROR(VLOOKUP(Transactions!G593,Merchants!A:B,2,FALSE),"Not Found")</f>
        <v>Blue Hub</v>
      </c>
      <c r="I593" s="9">
        <v>17005.18</v>
      </c>
      <c r="J593" s="3">
        <v>170.05</v>
      </c>
      <c r="K593" t="s">
        <v>133</v>
      </c>
      <c r="L593" t="s">
        <v>59</v>
      </c>
      <c r="M593" t="s">
        <v>111</v>
      </c>
      <c r="N593" t="s">
        <v>67</v>
      </c>
      <c r="O593" t="s">
        <v>81</v>
      </c>
      <c r="P593" t="str">
        <f t="shared" si="19"/>
        <v>High Value</v>
      </c>
      <c r="Q593" t="str">
        <f>VLOOKUP(G593,Merchants!A:C,3,TRUE)</f>
        <v>Utilities</v>
      </c>
    </row>
    <row r="594" spans="1:17" x14ac:dyDescent="0.3">
      <c r="A594" t="s">
        <v>1104</v>
      </c>
      <c r="B594" s="2">
        <v>45775.399780092594</v>
      </c>
      <c r="C594" s="2" t="str">
        <f t="shared" si="18"/>
        <v>Apr-2025</v>
      </c>
      <c r="D594" t="s">
        <v>808</v>
      </c>
      <c r="E594" t="str">
        <f>VLOOKUP(D594,Customers!A:H,7,0)</f>
        <v>Salaried</v>
      </c>
      <c r="F594" t="s">
        <v>475</v>
      </c>
      <c r="G594" t="s">
        <v>244</v>
      </c>
      <c r="H594" t="str">
        <f>IFERROR(VLOOKUP(Transactions!G594,Merchants!A:B,2,FALSE),"Not Found")</f>
        <v>Blue Hub</v>
      </c>
      <c r="I594" s="9">
        <v>59656</v>
      </c>
      <c r="J594" s="3">
        <v>596.55999999999995</v>
      </c>
      <c r="K594" t="s">
        <v>133</v>
      </c>
      <c r="L594" t="s">
        <v>59</v>
      </c>
      <c r="M594" t="s">
        <v>111</v>
      </c>
      <c r="N594" t="s">
        <v>67</v>
      </c>
      <c r="O594" t="s">
        <v>62</v>
      </c>
      <c r="P594" t="str">
        <f t="shared" si="19"/>
        <v>High Value</v>
      </c>
      <c r="Q594" t="str">
        <f>VLOOKUP(G594,Merchants!A:C,3,TRUE)</f>
        <v>Healthcare</v>
      </c>
    </row>
    <row r="595" spans="1:17" x14ac:dyDescent="0.3">
      <c r="A595" t="s">
        <v>1105</v>
      </c>
      <c r="B595" s="2">
        <v>45892.182743055557</v>
      </c>
      <c r="C595" s="2" t="str">
        <f t="shared" si="18"/>
        <v>Aug-2025</v>
      </c>
      <c r="D595" t="s">
        <v>524</v>
      </c>
      <c r="E595" t="str">
        <f>VLOOKUP(D595,Customers!A:H,7,0)</f>
        <v>Salaried</v>
      </c>
      <c r="F595" t="s">
        <v>266</v>
      </c>
      <c r="G595" t="s">
        <v>783</v>
      </c>
      <c r="H595" t="str">
        <f>IFERROR(VLOOKUP(Transactions!G595,Merchants!A:B,2,FALSE),"Not Found")</f>
        <v>Daily Stores</v>
      </c>
      <c r="I595" s="9">
        <v>8024.52</v>
      </c>
      <c r="J595" s="3">
        <v>24.07</v>
      </c>
      <c r="K595" t="s">
        <v>133</v>
      </c>
      <c r="L595" t="s">
        <v>59</v>
      </c>
      <c r="M595" t="s">
        <v>111</v>
      </c>
      <c r="N595" t="s">
        <v>67</v>
      </c>
      <c r="O595" t="s">
        <v>91</v>
      </c>
      <c r="P595" t="str">
        <f t="shared" si="19"/>
        <v>High Value</v>
      </c>
      <c r="Q595" t="str">
        <f>VLOOKUP(G595,Merchants!A:C,3,TRUE)</f>
        <v>Entertainment</v>
      </c>
    </row>
    <row r="596" spans="1:17" x14ac:dyDescent="0.3">
      <c r="A596" t="s">
        <v>1106</v>
      </c>
      <c r="B596" s="2">
        <v>46047.617881944447</v>
      </c>
      <c r="C596" s="2" t="str">
        <f t="shared" si="18"/>
        <v>Jan-2026</v>
      </c>
      <c r="D596" t="s">
        <v>441</v>
      </c>
      <c r="E596" t="str">
        <f>VLOOKUP(D596,Customers!A:H,7,0)</f>
        <v>Business Owner</v>
      </c>
      <c r="F596" t="s">
        <v>739</v>
      </c>
      <c r="G596" t="s">
        <v>117</v>
      </c>
      <c r="H596" t="str">
        <f>IFERROR(VLOOKUP(Transactions!G596,Merchants!A:B,2,FALSE),"Not Found")</f>
        <v>Prime Pay</v>
      </c>
      <c r="I596" s="9">
        <v>31545.77</v>
      </c>
      <c r="J596" s="3">
        <v>94.64</v>
      </c>
      <c r="K596" t="s">
        <v>96</v>
      </c>
      <c r="L596" t="s">
        <v>80</v>
      </c>
      <c r="M596" t="s">
        <v>86</v>
      </c>
      <c r="N596" t="s">
        <v>61</v>
      </c>
      <c r="O596" t="s">
        <v>91</v>
      </c>
      <c r="P596" t="str">
        <f t="shared" si="19"/>
        <v>High Value</v>
      </c>
      <c r="Q596" t="str">
        <f>VLOOKUP(G596,Merchants!A:C,3,TRUE)</f>
        <v>Travel</v>
      </c>
    </row>
    <row r="597" spans="1:17" x14ac:dyDescent="0.3">
      <c r="A597" t="s">
        <v>1107</v>
      </c>
      <c r="B597" s="2">
        <v>45969.166956018518</v>
      </c>
      <c r="C597" s="2" t="str">
        <f t="shared" si="18"/>
        <v>Nov-2025</v>
      </c>
      <c r="D597" t="s">
        <v>210</v>
      </c>
      <c r="E597" t="str">
        <f>VLOOKUP(D597,Customers!A:H,7,0)</f>
        <v>Business Owner</v>
      </c>
      <c r="F597" t="s">
        <v>301</v>
      </c>
      <c r="G597" t="s">
        <v>182</v>
      </c>
      <c r="H597" t="str">
        <f>IFERROR(VLOOKUP(Transactions!G597,Merchants!A:B,2,FALSE),"Not Found")</f>
        <v>Fresh Hub</v>
      </c>
      <c r="I597" s="9">
        <v>16227.84</v>
      </c>
      <c r="J597" s="3">
        <v>81.14</v>
      </c>
      <c r="K597" t="s">
        <v>58</v>
      </c>
      <c r="L597" t="s">
        <v>59</v>
      </c>
      <c r="M597" t="s">
        <v>111</v>
      </c>
      <c r="N597" t="s">
        <v>67</v>
      </c>
      <c r="O597" t="s">
        <v>91</v>
      </c>
      <c r="P597" t="str">
        <f t="shared" si="19"/>
        <v>High Value</v>
      </c>
      <c r="Q597" t="str">
        <f>VLOOKUP(G597,Merchants!A:C,3,TRUE)</f>
        <v>Healthcare</v>
      </c>
    </row>
    <row r="598" spans="1:17" x14ac:dyDescent="0.3">
      <c r="A598" t="s">
        <v>1108</v>
      </c>
      <c r="B598" s="2">
        <v>45711.487928240742</v>
      </c>
      <c r="C598" s="2" t="str">
        <f t="shared" si="18"/>
        <v>Feb-2025</v>
      </c>
      <c r="D598" t="s">
        <v>258</v>
      </c>
      <c r="E598" t="str">
        <f>VLOOKUP(D598,Customers!A:H,7,0)</f>
        <v>Salaried</v>
      </c>
      <c r="F598" t="s">
        <v>793</v>
      </c>
      <c r="G598" t="s">
        <v>189</v>
      </c>
      <c r="H598" t="str">
        <f>IFERROR(VLOOKUP(Transactions!G598,Merchants!A:B,2,FALSE),"Not Found")</f>
        <v>Quick Services</v>
      </c>
      <c r="I598" s="9">
        <v>12797.46</v>
      </c>
      <c r="J598" s="3">
        <v>25.59</v>
      </c>
      <c r="K598" t="s">
        <v>96</v>
      </c>
      <c r="L598" t="s">
        <v>59</v>
      </c>
      <c r="M598" t="s">
        <v>60</v>
      </c>
      <c r="N598" t="s">
        <v>61</v>
      </c>
      <c r="O598" t="s">
        <v>81</v>
      </c>
      <c r="P598" t="str">
        <f t="shared" si="19"/>
        <v>High Value</v>
      </c>
      <c r="Q598" t="str">
        <f>VLOOKUP(G598,Merchants!A:C,3,TRUE)</f>
        <v>Food &amp; Dining</v>
      </c>
    </row>
    <row r="599" spans="1:17" x14ac:dyDescent="0.3">
      <c r="A599" t="s">
        <v>1109</v>
      </c>
      <c r="B599" s="2">
        <v>45772.146979166668</v>
      </c>
      <c r="C599" s="2" t="str">
        <f t="shared" si="18"/>
        <v>Apr-2025</v>
      </c>
      <c r="D599" t="s">
        <v>327</v>
      </c>
      <c r="E599" t="str">
        <f>VLOOKUP(D599,Customers!A:H,7,0)</f>
        <v>Salaried</v>
      </c>
      <c r="F599" t="s">
        <v>963</v>
      </c>
      <c r="G599" t="s">
        <v>100</v>
      </c>
      <c r="H599" t="str">
        <f>IFERROR(VLOOKUP(Transactions!G599,Merchants!A:B,2,FALSE),"Not Found")</f>
        <v>Metro Stores</v>
      </c>
      <c r="I599" s="9">
        <v>40169.96</v>
      </c>
      <c r="J599" s="3">
        <v>120.51</v>
      </c>
      <c r="K599" t="s">
        <v>133</v>
      </c>
      <c r="L599" t="s">
        <v>80</v>
      </c>
      <c r="M599" t="s">
        <v>60</v>
      </c>
      <c r="N599" t="s">
        <v>67</v>
      </c>
      <c r="O599" t="s">
        <v>81</v>
      </c>
      <c r="P599" t="str">
        <f t="shared" si="19"/>
        <v>High Value</v>
      </c>
      <c r="Q599" t="str">
        <f>VLOOKUP(G599,Merchants!A:C,3,TRUE)</f>
        <v>Healthcare</v>
      </c>
    </row>
    <row r="600" spans="1:17" x14ac:dyDescent="0.3">
      <c r="A600" t="s">
        <v>1110</v>
      </c>
      <c r="B600" s="2">
        <v>45873.886435185188</v>
      </c>
      <c r="C600" s="2" t="str">
        <f t="shared" si="18"/>
        <v>Aug-2025</v>
      </c>
      <c r="D600" t="s">
        <v>1094</v>
      </c>
      <c r="E600" t="str">
        <f>VLOOKUP(D600,Customers!A:H,7,0)</f>
        <v>Student</v>
      </c>
      <c r="F600" t="s">
        <v>531</v>
      </c>
      <c r="G600" t="s">
        <v>382</v>
      </c>
      <c r="H600" t="str">
        <f>IFERROR(VLOOKUP(Transactions!G600,Merchants!A:B,2,FALSE),"Not Found")</f>
        <v>Fresh Foods</v>
      </c>
      <c r="I600" s="9">
        <v>23104.560000000001</v>
      </c>
      <c r="J600" s="3">
        <v>69.31</v>
      </c>
      <c r="K600" t="s">
        <v>58</v>
      </c>
      <c r="L600" t="s">
        <v>73</v>
      </c>
      <c r="M600" t="s">
        <v>86</v>
      </c>
      <c r="N600" t="s">
        <v>67</v>
      </c>
      <c r="O600" t="s">
        <v>62</v>
      </c>
      <c r="P600" t="str">
        <f t="shared" si="19"/>
        <v>High Value</v>
      </c>
      <c r="Q600" t="str">
        <f>VLOOKUP(G600,Merchants!A:C,3,TRUE)</f>
        <v>Healthcare</v>
      </c>
    </row>
    <row r="601" spans="1:17" x14ac:dyDescent="0.3">
      <c r="A601" t="s">
        <v>1111</v>
      </c>
      <c r="B601" s="2">
        <v>46114.149629629632</v>
      </c>
      <c r="C601" s="2" t="str">
        <f t="shared" si="18"/>
        <v>Apr-2026</v>
      </c>
      <c r="D601" t="s">
        <v>948</v>
      </c>
      <c r="E601" t="str">
        <f>VLOOKUP(D601,Customers!A:H,7,0)</f>
        <v>Student</v>
      </c>
      <c r="F601" t="s">
        <v>321</v>
      </c>
      <c r="G601" t="s">
        <v>277</v>
      </c>
      <c r="H601" t="str">
        <f>IFERROR(VLOOKUP(Transactions!G601,Merchants!A:B,2,FALSE),"Not Found")</f>
        <v>Daily Digital</v>
      </c>
      <c r="I601" s="9">
        <v>4585.29</v>
      </c>
      <c r="J601" s="3">
        <v>22.93</v>
      </c>
      <c r="K601" t="s">
        <v>90</v>
      </c>
      <c r="L601" t="s">
        <v>59</v>
      </c>
      <c r="M601" t="s">
        <v>111</v>
      </c>
      <c r="N601" t="s">
        <v>67</v>
      </c>
      <c r="O601" t="s">
        <v>62</v>
      </c>
      <c r="P601" t="str">
        <f t="shared" si="19"/>
        <v>High Value</v>
      </c>
      <c r="Q601" t="str">
        <f>VLOOKUP(G601,Merchants!A:C,3,TRUE)</f>
        <v>Grocery</v>
      </c>
    </row>
    <row r="602" spans="1:17" x14ac:dyDescent="0.3">
      <c r="A602" t="s">
        <v>1112</v>
      </c>
      <c r="B602" s="2">
        <v>45854.634432870371</v>
      </c>
      <c r="C602" s="2" t="str">
        <f t="shared" si="18"/>
        <v>Jul-2025</v>
      </c>
      <c r="D602" t="s">
        <v>126</v>
      </c>
      <c r="E602" t="str">
        <f>VLOOKUP(D602,Customers!A:H,7,0)</f>
        <v>Student</v>
      </c>
      <c r="F602" t="s">
        <v>451</v>
      </c>
      <c r="G602" t="s">
        <v>237</v>
      </c>
      <c r="H602" t="str">
        <f>IFERROR(VLOOKUP(Transactions!G602,Merchants!A:B,2,FALSE),"Not Found")</f>
        <v>Metro Pay</v>
      </c>
      <c r="I602" s="9">
        <v>33074.69</v>
      </c>
      <c r="J602" s="3">
        <v>165.37</v>
      </c>
      <c r="K602" t="s">
        <v>58</v>
      </c>
      <c r="L602" t="s">
        <v>59</v>
      </c>
      <c r="M602" t="s">
        <v>74</v>
      </c>
      <c r="N602" t="s">
        <v>67</v>
      </c>
      <c r="O602" t="s">
        <v>75</v>
      </c>
      <c r="P602" t="str">
        <f t="shared" si="19"/>
        <v>High Value</v>
      </c>
      <c r="Q602" t="str">
        <f>VLOOKUP(G602,Merchants!A:C,3,TRUE)</f>
        <v>Healthcare</v>
      </c>
    </row>
    <row r="603" spans="1:17" x14ac:dyDescent="0.3">
      <c r="A603" t="s">
        <v>1113</v>
      </c>
      <c r="B603" s="2">
        <v>46087.794560185182</v>
      </c>
      <c r="C603" s="2" t="str">
        <f t="shared" si="18"/>
        <v>Mar-2026</v>
      </c>
      <c r="D603" t="s">
        <v>144</v>
      </c>
      <c r="E603" t="str">
        <f>VLOOKUP(D603,Customers!A:H,7,0)</f>
        <v>Self-employed</v>
      </c>
      <c r="F603" t="s">
        <v>482</v>
      </c>
      <c r="G603" t="s">
        <v>79</v>
      </c>
      <c r="H603" t="str">
        <f>IFERROR(VLOOKUP(Transactions!G603,Merchants!A:B,2,FALSE),"Not Found")</f>
        <v>Nova Retail</v>
      </c>
      <c r="I603" s="9">
        <v>55886.81</v>
      </c>
      <c r="J603" s="3">
        <v>111.77</v>
      </c>
      <c r="K603" t="s">
        <v>90</v>
      </c>
      <c r="L603" t="s">
        <v>59</v>
      </c>
      <c r="M603" t="s">
        <v>60</v>
      </c>
      <c r="N603" t="s">
        <v>67</v>
      </c>
      <c r="O603" t="s">
        <v>91</v>
      </c>
      <c r="P603" t="str">
        <f t="shared" si="19"/>
        <v>High Value</v>
      </c>
      <c r="Q603" t="str">
        <f>VLOOKUP(G603,Merchants!A:C,3,TRUE)</f>
        <v>Grocery</v>
      </c>
    </row>
    <row r="604" spans="1:17" x14ac:dyDescent="0.3">
      <c r="A604" t="s">
        <v>1114</v>
      </c>
      <c r="B604" s="2">
        <v>45852.603009259263</v>
      </c>
      <c r="C604" s="2" t="str">
        <f t="shared" si="18"/>
        <v>Jul-2025</v>
      </c>
      <c r="D604" t="s">
        <v>144</v>
      </c>
      <c r="E604" t="str">
        <f>VLOOKUP(D604,Customers!A:H,7,0)</f>
        <v>Self-employed</v>
      </c>
      <c r="F604" t="s">
        <v>1115</v>
      </c>
      <c r="G604" t="s">
        <v>150</v>
      </c>
      <c r="H604" t="str">
        <f>IFERROR(VLOOKUP(Transactions!G604,Merchants!A:B,2,FALSE),"Not Found")</f>
        <v>Nova Services</v>
      </c>
      <c r="I604" s="9">
        <v>29752.05</v>
      </c>
      <c r="J604" s="3">
        <v>59.5</v>
      </c>
      <c r="K604" t="s">
        <v>96</v>
      </c>
      <c r="L604" t="s">
        <v>59</v>
      </c>
      <c r="M604" t="s">
        <v>74</v>
      </c>
      <c r="N604" t="s">
        <v>61</v>
      </c>
      <c r="O604" t="s">
        <v>81</v>
      </c>
      <c r="P604" t="str">
        <f t="shared" si="19"/>
        <v>High Value</v>
      </c>
      <c r="Q604" t="str">
        <f>VLOOKUP(G604,Merchants!A:C,3,TRUE)</f>
        <v>Electronics</v>
      </c>
    </row>
    <row r="605" spans="1:17" x14ac:dyDescent="0.3">
      <c r="A605" t="s">
        <v>1116</v>
      </c>
      <c r="B605" s="2">
        <v>45869.279224537036</v>
      </c>
      <c r="C605" s="2" t="str">
        <f t="shared" si="18"/>
        <v>Jul-2025</v>
      </c>
      <c r="D605" t="s">
        <v>77</v>
      </c>
      <c r="E605" t="str">
        <f>VLOOKUP(D605,Customers!A:H,7,0)</f>
        <v>Student</v>
      </c>
      <c r="F605" t="s">
        <v>149</v>
      </c>
      <c r="G605" t="s">
        <v>150</v>
      </c>
      <c r="H605" t="str">
        <f>IFERROR(VLOOKUP(Transactions!G605,Merchants!A:B,2,FALSE),"Not Found")</f>
        <v>Nova Services</v>
      </c>
      <c r="I605" s="9">
        <v>315.67</v>
      </c>
      <c r="J605" s="3">
        <v>0.63</v>
      </c>
      <c r="K605" t="s">
        <v>133</v>
      </c>
      <c r="L605" t="s">
        <v>59</v>
      </c>
      <c r="M605" t="s">
        <v>60</v>
      </c>
      <c r="N605" t="s">
        <v>61</v>
      </c>
      <c r="O605" t="s">
        <v>62</v>
      </c>
      <c r="P605" t="str">
        <f t="shared" si="19"/>
        <v>Standard</v>
      </c>
      <c r="Q605" t="str">
        <f>VLOOKUP(G605,Merchants!A:C,3,TRUE)</f>
        <v>Electronics</v>
      </c>
    </row>
    <row r="606" spans="1:17" x14ac:dyDescent="0.3">
      <c r="A606" t="s">
        <v>1117</v>
      </c>
      <c r="B606" s="2">
        <v>45961.407337962963</v>
      </c>
      <c r="C606" s="2" t="str">
        <f t="shared" si="18"/>
        <v>Oct-2025</v>
      </c>
      <c r="D606" t="s">
        <v>680</v>
      </c>
      <c r="E606" t="str">
        <f>VLOOKUP(D606,Customers!A:H,7,0)</f>
        <v>Self-employed</v>
      </c>
      <c r="F606" t="s">
        <v>354</v>
      </c>
      <c r="G606" t="s">
        <v>132</v>
      </c>
      <c r="H606" t="str">
        <f>IFERROR(VLOOKUP(Transactions!G606,Merchants!A:B,2,FALSE),"Not Found")</f>
        <v>Metro Retail</v>
      </c>
      <c r="I606" s="9">
        <v>33173.839999999997</v>
      </c>
      <c r="J606" s="3">
        <v>66.349999999999994</v>
      </c>
      <c r="K606" t="s">
        <v>58</v>
      </c>
      <c r="L606" t="s">
        <v>59</v>
      </c>
      <c r="M606" t="s">
        <v>111</v>
      </c>
      <c r="N606" t="s">
        <v>61</v>
      </c>
      <c r="O606" t="s">
        <v>62</v>
      </c>
      <c r="P606" t="str">
        <f t="shared" si="19"/>
        <v>High Value</v>
      </c>
      <c r="Q606" t="str">
        <f>VLOOKUP(G606,Merchants!A:C,3,TRUE)</f>
        <v>Entertainment</v>
      </c>
    </row>
    <row r="607" spans="1:17" x14ac:dyDescent="0.3">
      <c r="A607" t="s">
        <v>1118</v>
      </c>
      <c r="B607" s="2">
        <v>45934.078148148154</v>
      </c>
      <c r="C607" s="2" t="str">
        <f t="shared" si="18"/>
        <v>Oct-2025</v>
      </c>
      <c r="D607" t="s">
        <v>680</v>
      </c>
      <c r="E607" t="str">
        <f>VLOOKUP(D607,Customers!A:H,7,0)</f>
        <v>Self-employed</v>
      </c>
      <c r="F607" t="s">
        <v>659</v>
      </c>
      <c r="G607" t="s">
        <v>229</v>
      </c>
      <c r="H607" t="str">
        <f>IFERROR(VLOOKUP(Transactions!G607,Merchants!A:B,2,FALSE),"Not Found")</f>
        <v>Urban Services</v>
      </c>
      <c r="I607" s="9">
        <v>38580.550000000003</v>
      </c>
      <c r="J607" s="3">
        <v>115.74</v>
      </c>
      <c r="K607" t="s">
        <v>72</v>
      </c>
      <c r="L607" t="s">
        <v>59</v>
      </c>
      <c r="M607" t="s">
        <v>60</v>
      </c>
      <c r="N607" t="s">
        <v>61</v>
      </c>
      <c r="O607" t="s">
        <v>91</v>
      </c>
      <c r="P607" t="str">
        <f t="shared" si="19"/>
        <v>High Value</v>
      </c>
      <c r="Q607" t="str">
        <f>VLOOKUP(G607,Merchants!A:C,3,TRUE)</f>
        <v>Fashion</v>
      </c>
    </row>
    <row r="608" spans="1:17" x14ac:dyDescent="0.3">
      <c r="A608" t="s">
        <v>1119</v>
      </c>
      <c r="B608" s="2">
        <v>46220.400555555563</v>
      </c>
      <c r="C608" s="2" t="str">
        <f t="shared" si="18"/>
        <v>Jul-2026</v>
      </c>
      <c r="D608" t="s">
        <v>162</v>
      </c>
      <c r="E608" t="str">
        <f>VLOOKUP(D608,Customers!A:H,7,0)</f>
        <v>Self-employed</v>
      </c>
      <c r="F608" t="s">
        <v>334</v>
      </c>
      <c r="G608" t="s">
        <v>237</v>
      </c>
      <c r="H608" t="str">
        <f>IFERROR(VLOOKUP(Transactions!G608,Merchants!A:B,2,FALSE),"Not Found")</f>
        <v>Metro Pay</v>
      </c>
      <c r="I608" s="9">
        <v>43352.57</v>
      </c>
      <c r="J608" s="3">
        <v>216.76</v>
      </c>
      <c r="K608" t="s">
        <v>58</v>
      </c>
      <c r="L608" t="s">
        <v>59</v>
      </c>
      <c r="M608" t="s">
        <v>60</v>
      </c>
      <c r="N608" t="s">
        <v>67</v>
      </c>
      <c r="O608" t="s">
        <v>81</v>
      </c>
      <c r="P608" t="str">
        <f t="shared" si="19"/>
        <v>High Value</v>
      </c>
      <c r="Q608" t="str">
        <f>VLOOKUP(G608,Merchants!A:C,3,TRUE)</f>
        <v>Healthcare</v>
      </c>
    </row>
    <row r="609" spans="1:17" x14ac:dyDescent="0.3">
      <c r="A609" t="s">
        <v>1120</v>
      </c>
      <c r="B609" s="2">
        <v>45838.388333333343</v>
      </c>
      <c r="C609" s="2" t="str">
        <f t="shared" si="18"/>
        <v>Jun-2025</v>
      </c>
      <c r="D609" t="s">
        <v>119</v>
      </c>
      <c r="E609" t="str">
        <f>VLOOKUP(D609,Customers!A:H,7,0)</f>
        <v>Salaried</v>
      </c>
      <c r="F609" t="s">
        <v>204</v>
      </c>
      <c r="G609" t="s">
        <v>156</v>
      </c>
      <c r="H609" t="str">
        <f>IFERROR(VLOOKUP(Transactions!G609,Merchants!A:B,2,FALSE),"Not Found")</f>
        <v>Blue Digital</v>
      </c>
      <c r="I609" s="9">
        <v>58299.12</v>
      </c>
      <c r="J609" s="3">
        <v>116.6</v>
      </c>
      <c r="K609" t="s">
        <v>72</v>
      </c>
      <c r="L609" t="s">
        <v>59</v>
      </c>
      <c r="M609" t="s">
        <v>111</v>
      </c>
      <c r="N609" t="s">
        <v>61</v>
      </c>
      <c r="O609" t="s">
        <v>62</v>
      </c>
      <c r="P609" t="str">
        <f t="shared" si="19"/>
        <v>High Value</v>
      </c>
      <c r="Q609" t="str">
        <f>VLOOKUP(G609,Merchants!A:C,3,TRUE)</f>
        <v>Electronics</v>
      </c>
    </row>
    <row r="610" spans="1:17" x14ac:dyDescent="0.3">
      <c r="A610" t="s">
        <v>1121</v>
      </c>
      <c r="B610" s="2">
        <v>45990.407766203702</v>
      </c>
      <c r="C610" s="2" t="str">
        <f t="shared" si="18"/>
        <v>Nov-2025</v>
      </c>
      <c r="D610" t="s">
        <v>184</v>
      </c>
      <c r="E610" t="str">
        <f>VLOOKUP(D610,Customers!A:H,7,0)</f>
        <v>Salaried</v>
      </c>
      <c r="F610" t="s">
        <v>451</v>
      </c>
      <c r="G610" t="s">
        <v>322</v>
      </c>
      <c r="H610" t="str">
        <f>IFERROR(VLOOKUP(Transactions!G610,Merchants!A:B,2,FALSE),"Not Found")</f>
        <v>Metro Pay</v>
      </c>
      <c r="I610" s="9">
        <v>12314.73</v>
      </c>
      <c r="J610" s="3">
        <v>123.15</v>
      </c>
      <c r="K610" t="s">
        <v>96</v>
      </c>
      <c r="L610" t="s">
        <v>80</v>
      </c>
      <c r="M610" t="s">
        <v>60</v>
      </c>
      <c r="N610" t="s">
        <v>67</v>
      </c>
      <c r="O610" t="s">
        <v>75</v>
      </c>
      <c r="P610" t="str">
        <f t="shared" si="19"/>
        <v>High Value</v>
      </c>
      <c r="Q610" t="str">
        <f>VLOOKUP(G610,Merchants!A:C,3,TRUE)</f>
        <v>Grocery</v>
      </c>
    </row>
    <row r="611" spans="1:17" x14ac:dyDescent="0.3">
      <c r="A611" t="s">
        <v>1122</v>
      </c>
      <c r="B611" s="2">
        <v>45753.752384259264</v>
      </c>
      <c r="C611" s="2" t="str">
        <f t="shared" si="18"/>
        <v>Apr-2025</v>
      </c>
      <c r="D611" t="s">
        <v>633</v>
      </c>
      <c r="E611" t="str">
        <f>VLOOKUP(D611,Customers!A:H,7,0)</f>
        <v>Student</v>
      </c>
      <c r="F611" t="s">
        <v>627</v>
      </c>
      <c r="G611" t="s">
        <v>318</v>
      </c>
      <c r="H611" t="str">
        <f>IFERROR(VLOOKUP(Transactions!G611,Merchants!A:B,2,FALSE),"Not Found")</f>
        <v>Urban Digital</v>
      </c>
      <c r="I611" s="9">
        <v>10972.66</v>
      </c>
      <c r="J611" s="3">
        <v>32.92</v>
      </c>
      <c r="K611" t="s">
        <v>90</v>
      </c>
      <c r="L611" t="s">
        <v>59</v>
      </c>
      <c r="M611" t="s">
        <v>60</v>
      </c>
      <c r="N611" t="s">
        <v>67</v>
      </c>
      <c r="O611" t="s">
        <v>81</v>
      </c>
      <c r="P611" t="str">
        <f t="shared" si="19"/>
        <v>High Value</v>
      </c>
      <c r="Q611" t="str">
        <f>VLOOKUP(G611,Merchants!A:C,3,TRUE)</f>
        <v>Utilities</v>
      </c>
    </row>
    <row r="612" spans="1:17" x14ac:dyDescent="0.3">
      <c r="A612" t="s">
        <v>1123</v>
      </c>
      <c r="B612" s="2">
        <v>45824.269618055558</v>
      </c>
      <c r="C612" s="2" t="str">
        <f t="shared" si="18"/>
        <v>Jun-2025</v>
      </c>
      <c r="D612" t="s">
        <v>570</v>
      </c>
      <c r="E612" t="str">
        <f>VLOOKUP(D612,Customers!A:H,7,0)</f>
        <v>Business Owner</v>
      </c>
      <c r="F612" t="s">
        <v>70</v>
      </c>
      <c r="G612" t="s">
        <v>430</v>
      </c>
      <c r="H612" t="str">
        <f>IFERROR(VLOOKUP(Transactions!G612,Merchants!A:B,2,FALSE),"Not Found")</f>
        <v>Prime Foods</v>
      </c>
      <c r="I612" s="9">
        <v>49068.2</v>
      </c>
      <c r="J612" s="3">
        <v>147.19999999999999</v>
      </c>
      <c r="K612" t="s">
        <v>96</v>
      </c>
      <c r="L612" t="s">
        <v>80</v>
      </c>
      <c r="M612" t="s">
        <v>111</v>
      </c>
      <c r="N612" t="s">
        <v>61</v>
      </c>
      <c r="O612" t="s">
        <v>75</v>
      </c>
      <c r="P612" t="str">
        <f t="shared" si="19"/>
        <v>High Value</v>
      </c>
      <c r="Q612" t="str">
        <f>VLOOKUP(G612,Merchants!A:C,3,TRUE)</f>
        <v>Entertainment</v>
      </c>
    </row>
    <row r="613" spans="1:17" x14ac:dyDescent="0.3">
      <c r="A613" t="s">
        <v>1124</v>
      </c>
      <c r="B613" s="2">
        <v>45760.799131944441</v>
      </c>
      <c r="C613" s="2" t="str">
        <f t="shared" si="18"/>
        <v>Apr-2025</v>
      </c>
      <c r="D613" t="s">
        <v>395</v>
      </c>
      <c r="E613" t="str">
        <f>VLOOKUP(D613,Customers!A:H,7,0)</f>
        <v>Student</v>
      </c>
      <c r="F613" t="s">
        <v>443</v>
      </c>
      <c r="G613" t="s">
        <v>366</v>
      </c>
      <c r="H613" t="str">
        <f>IFERROR(VLOOKUP(Transactions!G613,Merchants!A:B,2,FALSE),"Not Found")</f>
        <v>Smart Pay</v>
      </c>
      <c r="I613" s="9">
        <v>8323.75</v>
      </c>
      <c r="J613" s="3">
        <v>16.649999999999999</v>
      </c>
      <c r="K613" t="s">
        <v>96</v>
      </c>
      <c r="L613" t="s">
        <v>80</v>
      </c>
      <c r="M613" t="s">
        <v>86</v>
      </c>
      <c r="N613" t="s">
        <v>67</v>
      </c>
      <c r="O613" t="s">
        <v>91</v>
      </c>
      <c r="P613" t="str">
        <f t="shared" si="19"/>
        <v>High Value</v>
      </c>
      <c r="Q613" t="str">
        <f>VLOOKUP(G613,Merchants!A:C,3,TRUE)</f>
        <v>Fashion</v>
      </c>
    </row>
    <row r="614" spans="1:17" x14ac:dyDescent="0.3">
      <c r="A614" t="s">
        <v>1125</v>
      </c>
      <c r="B614" s="2">
        <v>45702.200509259259</v>
      </c>
      <c r="C614" s="2" t="str">
        <f t="shared" si="18"/>
        <v>Feb-2025</v>
      </c>
      <c r="D614" t="s">
        <v>1126</v>
      </c>
      <c r="E614" t="str">
        <f>VLOOKUP(D614,Customers!A:H,7,0)</f>
        <v>Student</v>
      </c>
      <c r="F614" t="s">
        <v>482</v>
      </c>
      <c r="G614" t="s">
        <v>229</v>
      </c>
      <c r="H614" t="str">
        <f>IFERROR(VLOOKUP(Transactions!G614,Merchants!A:B,2,FALSE),"Not Found")</f>
        <v>Urban Services</v>
      </c>
      <c r="I614" s="9">
        <v>14975.74</v>
      </c>
      <c r="J614" s="3">
        <v>44.93</v>
      </c>
      <c r="K614" t="s">
        <v>58</v>
      </c>
      <c r="L614" t="s">
        <v>59</v>
      </c>
      <c r="M614" t="s">
        <v>86</v>
      </c>
      <c r="N614" t="s">
        <v>61</v>
      </c>
      <c r="O614" t="s">
        <v>91</v>
      </c>
      <c r="P614" t="str">
        <f t="shared" si="19"/>
        <v>High Value</v>
      </c>
      <c r="Q614" t="str">
        <f>VLOOKUP(G614,Merchants!A:C,3,TRUE)</f>
        <v>Fashion</v>
      </c>
    </row>
    <row r="615" spans="1:17" x14ac:dyDescent="0.3">
      <c r="A615" t="s">
        <v>1127</v>
      </c>
      <c r="B615" s="2">
        <v>45865.211215277777</v>
      </c>
      <c r="C615" s="2" t="str">
        <f t="shared" si="18"/>
        <v>Jul-2025</v>
      </c>
      <c r="D615" t="s">
        <v>761</v>
      </c>
      <c r="E615" t="str">
        <f>VLOOKUP(D615,Customers!A:H,7,0)</f>
        <v>Salaried</v>
      </c>
      <c r="F615" t="s">
        <v>489</v>
      </c>
      <c r="G615" t="s">
        <v>201</v>
      </c>
      <c r="H615" t="str">
        <f>IFERROR(VLOOKUP(Transactions!G615,Merchants!A:B,2,FALSE),"Not Found")</f>
        <v>Urban Stores</v>
      </c>
      <c r="I615" s="9">
        <v>28877.48</v>
      </c>
      <c r="J615" s="3">
        <v>288.77</v>
      </c>
      <c r="K615" t="s">
        <v>96</v>
      </c>
      <c r="L615" t="s">
        <v>59</v>
      </c>
      <c r="M615" t="s">
        <v>111</v>
      </c>
      <c r="N615" t="s">
        <v>67</v>
      </c>
      <c r="O615" t="s">
        <v>91</v>
      </c>
      <c r="P615" t="str">
        <f t="shared" si="19"/>
        <v>High Value</v>
      </c>
      <c r="Q615" t="str">
        <f>VLOOKUP(G615,Merchants!A:C,3,TRUE)</f>
        <v>Entertainment</v>
      </c>
    </row>
    <row r="616" spans="1:17" x14ac:dyDescent="0.3">
      <c r="A616" t="s">
        <v>1128</v>
      </c>
      <c r="B616" s="2">
        <v>46214.405740740738</v>
      </c>
      <c r="C616" s="2" t="str">
        <f t="shared" si="18"/>
        <v>Jul-2026</v>
      </c>
      <c r="D616" t="s">
        <v>109</v>
      </c>
      <c r="E616" t="str">
        <f>VLOOKUP(D616,Customers!A:H,7,0)</f>
        <v>Salaried</v>
      </c>
      <c r="F616" t="s">
        <v>127</v>
      </c>
      <c r="G616" t="s">
        <v>132</v>
      </c>
      <c r="H616" t="str">
        <f>IFERROR(VLOOKUP(Transactions!G616,Merchants!A:B,2,FALSE),"Not Found")</f>
        <v>Metro Retail</v>
      </c>
      <c r="I616" s="9">
        <v>37686.400000000001</v>
      </c>
      <c r="J616" s="3">
        <v>75.37</v>
      </c>
      <c r="K616" t="s">
        <v>58</v>
      </c>
      <c r="L616" t="s">
        <v>59</v>
      </c>
      <c r="M616" t="s">
        <v>74</v>
      </c>
      <c r="N616" t="s">
        <v>67</v>
      </c>
      <c r="O616" t="s">
        <v>91</v>
      </c>
      <c r="P616" t="str">
        <f t="shared" si="19"/>
        <v>High Value</v>
      </c>
      <c r="Q616" t="str">
        <f>VLOOKUP(G616,Merchants!A:C,3,TRUE)</f>
        <v>Entertainment</v>
      </c>
    </row>
    <row r="617" spans="1:17" x14ac:dyDescent="0.3">
      <c r="A617" t="s">
        <v>1129</v>
      </c>
      <c r="B617" s="2">
        <v>45887.036400462966</v>
      </c>
      <c r="C617" s="2" t="str">
        <f t="shared" si="18"/>
        <v>Aug-2025</v>
      </c>
      <c r="D617" t="s">
        <v>484</v>
      </c>
      <c r="E617" t="str">
        <f>VLOOKUP(D617,Customers!A:H,7,0)</f>
        <v>Self-employed</v>
      </c>
      <c r="F617" t="s">
        <v>711</v>
      </c>
      <c r="G617" t="s">
        <v>322</v>
      </c>
      <c r="H617" t="str">
        <f>IFERROR(VLOOKUP(Transactions!G617,Merchants!A:B,2,FALSE),"Not Found")</f>
        <v>Metro Pay</v>
      </c>
      <c r="I617" s="9">
        <v>13677.84</v>
      </c>
      <c r="J617" s="3">
        <v>68.39</v>
      </c>
      <c r="K617" t="s">
        <v>96</v>
      </c>
      <c r="L617" t="s">
        <v>59</v>
      </c>
      <c r="M617" t="s">
        <v>86</v>
      </c>
      <c r="N617" t="s">
        <v>61</v>
      </c>
      <c r="O617" t="s">
        <v>62</v>
      </c>
      <c r="P617" t="str">
        <f t="shared" si="19"/>
        <v>High Value</v>
      </c>
      <c r="Q617" t="str">
        <f>VLOOKUP(G617,Merchants!A:C,3,TRUE)</f>
        <v>Grocery</v>
      </c>
    </row>
    <row r="618" spans="1:17" x14ac:dyDescent="0.3">
      <c r="A618" t="s">
        <v>1130</v>
      </c>
      <c r="B618" s="2">
        <v>45770.340601851851</v>
      </c>
      <c r="C618" s="2" t="str">
        <f t="shared" si="18"/>
        <v>Apr-2025</v>
      </c>
      <c r="D618" t="s">
        <v>177</v>
      </c>
      <c r="E618" t="str">
        <f>VLOOKUP(D618,Customers!A:H,7,0)</f>
        <v>Self-employed</v>
      </c>
      <c r="F618" t="s">
        <v>336</v>
      </c>
      <c r="G618" t="s">
        <v>201</v>
      </c>
      <c r="H618" t="str">
        <f>IFERROR(VLOOKUP(Transactions!G618,Merchants!A:B,2,FALSE),"Not Found")</f>
        <v>Urban Stores</v>
      </c>
      <c r="I618" s="9">
        <v>6194</v>
      </c>
      <c r="J618" s="3">
        <v>30.97</v>
      </c>
      <c r="K618" t="s">
        <v>58</v>
      </c>
      <c r="L618" t="s">
        <v>157</v>
      </c>
      <c r="M618" t="s">
        <v>60</v>
      </c>
      <c r="N618" t="s">
        <v>67</v>
      </c>
      <c r="O618" t="s">
        <v>91</v>
      </c>
      <c r="P618" t="str">
        <f t="shared" si="19"/>
        <v>High Value</v>
      </c>
      <c r="Q618" t="str">
        <f>VLOOKUP(G618,Merchants!A:C,3,TRUE)</f>
        <v>Entertainment</v>
      </c>
    </row>
    <row r="619" spans="1:17" x14ac:dyDescent="0.3">
      <c r="A619" t="s">
        <v>1131</v>
      </c>
      <c r="B619" s="2">
        <v>46277.229224537034</v>
      </c>
      <c r="C619" s="2" t="str">
        <f t="shared" si="18"/>
        <v>Sep-2026</v>
      </c>
      <c r="D619" t="s">
        <v>477</v>
      </c>
      <c r="E619" t="str">
        <f>VLOOKUP(D619,Customers!A:H,7,0)</f>
        <v>Student</v>
      </c>
      <c r="F619" t="s">
        <v>1056</v>
      </c>
      <c r="G619" t="s">
        <v>413</v>
      </c>
      <c r="H619" t="str">
        <f>IFERROR(VLOOKUP(Transactions!G619,Merchants!A:B,2,FALSE),"Not Found")</f>
        <v>Blue Hub</v>
      </c>
      <c r="I619" s="9">
        <v>10766.26</v>
      </c>
      <c r="J619" s="3">
        <v>32.299999999999997</v>
      </c>
      <c r="K619" t="s">
        <v>72</v>
      </c>
      <c r="L619" t="s">
        <v>59</v>
      </c>
      <c r="M619" t="s">
        <v>60</v>
      </c>
      <c r="N619" t="s">
        <v>61</v>
      </c>
      <c r="O619" t="s">
        <v>91</v>
      </c>
      <c r="P619" t="str">
        <f t="shared" si="19"/>
        <v>High Value</v>
      </c>
      <c r="Q619" t="str">
        <f>VLOOKUP(G619,Merchants!A:C,3,TRUE)</f>
        <v>Utilities</v>
      </c>
    </row>
    <row r="620" spans="1:17" x14ac:dyDescent="0.3">
      <c r="A620" t="s">
        <v>1132</v>
      </c>
      <c r="B620" s="2">
        <v>45935.757372685177</v>
      </c>
      <c r="C620" s="2" t="str">
        <f t="shared" si="18"/>
        <v>Oct-2025</v>
      </c>
      <c r="D620" t="s">
        <v>265</v>
      </c>
      <c r="E620" t="str">
        <f>VLOOKUP(D620,Customers!A:H,7,0)</f>
        <v>Salaried</v>
      </c>
      <c r="F620" t="s">
        <v>886</v>
      </c>
      <c r="G620" t="s">
        <v>413</v>
      </c>
      <c r="H620" t="str">
        <f>IFERROR(VLOOKUP(Transactions!G620,Merchants!A:B,2,FALSE),"Not Found")</f>
        <v>Blue Hub</v>
      </c>
      <c r="I620" s="9">
        <v>39737.730000000003</v>
      </c>
      <c r="J620" s="3">
        <v>79.48</v>
      </c>
      <c r="K620" t="s">
        <v>90</v>
      </c>
      <c r="L620" t="s">
        <v>157</v>
      </c>
      <c r="M620" t="s">
        <v>60</v>
      </c>
      <c r="N620" t="s">
        <v>67</v>
      </c>
      <c r="O620" t="s">
        <v>75</v>
      </c>
      <c r="P620" t="str">
        <f t="shared" si="19"/>
        <v>High Value</v>
      </c>
      <c r="Q620" t="str">
        <f>VLOOKUP(G620,Merchants!A:C,3,TRUE)</f>
        <v>Utilities</v>
      </c>
    </row>
    <row r="621" spans="1:17" x14ac:dyDescent="0.3">
      <c r="A621" t="s">
        <v>1133</v>
      </c>
      <c r="B621" s="2">
        <v>46115.725798611107</v>
      </c>
      <c r="C621" s="2" t="str">
        <f t="shared" si="18"/>
        <v>Apr-2026</v>
      </c>
      <c r="D621" t="s">
        <v>173</v>
      </c>
      <c r="E621" t="str">
        <f>VLOOKUP(D621,Customers!A:H,7,0)</f>
        <v>Self-employed</v>
      </c>
      <c r="F621" t="s">
        <v>1081</v>
      </c>
      <c r="G621" t="s">
        <v>103</v>
      </c>
      <c r="H621" t="str">
        <f>IFERROR(VLOOKUP(Transactions!G621,Merchants!A:B,2,FALSE),"Not Found")</f>
        <v>Nova Pay</v>
      </c>
      <c r="I621" s="9">
        <v>48897.52</v>
      </c>
      <c r="J621" s="3">
        <v>488.98</v>
      </c>
      <c r="K621" t="s">
        <v>72</v>
      </c>
      <c r="L621" t="s">
        <v>59</v>
      </c>
      <c r="M621" t="s">
        <v>111</v>
      </c>
      <c r="N621" t="s">
        <v>67</v>
      </c>
      <c r="O621" t="s">
        <v>75</v>
      </c>
      <c r="P621" t="str">
        <f t="shared" si="19"/>
        <v>High Value</v>
      </c>
      <c r="Q621" t="str">
        <f>VLOOKUP(G621,Merchants!A:C,3,TRUE)</f>
        <v>Fashion</v>
      </c>
    </row>
    <row r="622" spans="1:17" x14ac:dyDescent="0.3">
      <c r="A622" t="s">
        <v>1134</v>
      </c>
      <c r="B622" s="2">
        <v>46019.484409722223</v>
      </c>
      <c r="C622" s="2" t="str">
        <f t="shared" si="18"/>
        <v>Dec-2025</v>
      </c>
      <c r="D622" t="s">
        <v>395</v>
      </c>
      <c r="E622" t="str">
        <f>VLOOKUP(D622,Customers!A:H,7,0)</f>
        <v>Student</v>
      </c>
      <c r="F622" t="s">
        <v>561</v>
      </c>
      <c r="G622" t="s">
        <v>237</v>
      </c>
      <c r="H622" t="str">
        <f>IFERROR(VLOOKUP(Transactions!G622,Merchants!A:B,2,FALSE),"Not Found")</f>
        <v>Metro Pay</v>
      </c>
      <c r="I622" s="9">
        <v>29702.97</v>
      </c>
      <c r="J622" s="3">
        <v>297.02999999999997</v>
      </c>
      <c r="K622" t="s">
        <v>72</v>
      </c>
      <c r="L622" t="s">
        <v>59</v>
      </c>
      <c r="M622" t="s">
        <v>111</v>
      </c>
      <c r="N622" t="s">
        <v>67</v>
      </c>
      <c r="O622" t="s">
        <v>75</v>
      </c>
      <c r="P622" t="str">
        <f t="shared" si="19"/>
        <v>High Value</v>
      </c>
      <c r="Q622" t="str">
        <f>VLOOKUP(G622,Merchants!A:C,3,TRUE)</f>
        <v>Healthcare</v>
      </c>
    </row>
    <row r="623" spans="1:17" x14ac:dyDescent="0.3">
      <c r="A623" t="s">
        <v>1135</v>
      </c>
      <c r="B623" s="2">
        <v>46086.833356481482</v>
      </c>
      <c r="C623" s="2" t="str">
        <f t="shared" si="18"/>
        <v>Mar-2026</v>
      </c>
      <c r="D623" t="s">
        <v>708</v>
      </c>
      <c r="E623" t="str">
        <f>VLOOKUP(D623,Customers!A:H,7,0)</f>
        <v>Student</v>
      </c>
      <c r="F623" t="s">
        <v>694</v>
      </c>
      <c r="G623" t="s">
        <v>168</v>
      </c>
      <c r="H623" t="str">
        <f>IFERROR(VLOOKUP(Transactions!G623,Merchants!A:B,2,FALSE),"Not Found")</f>
        <v>Quick Hub</v>
      </c>
      <c r="I623" s="9">
        <v>29876.43</v>
      </c>
      <c r="J623" s="3">
        <v>89.63</v>
      </c>
      <c r="K623" t="s">
        <v>96</v>
      </c>
      <c r="L623" t="s">
        <v>59</v>
      </c>
      <c r="M623" t="s">
        <v>111</v>
      </c>
      <c r="N623" t="s">
        <v>67</v>
      </c>
      <c r="O623" t="s">
        <v>62</v>
      </c>
      <c r="P623" t="str">
        <f t="shared" si="19"/>
        <v>High Value</v>
      </c>
      <c r="Q623" t="str">
        <f>VLOOKUP(G623,Merchants!A:C,3,TRUE)</f>
        <v>Utilities</v>
      </c>
    </row>
    <row r="624" spans="1:17" x14ac:dyDescent="0.3">
      <c r="A624" t="s">
        <v>1136</v>
      </c>
      <c r="B624" s="2">
        <v>46028.004340277781</v>
      </c>
      <c r="C624" s="2" t="str">
        <f t="shared" si="18"/>
        <v>Jan-2026</v>
      </c>
      <c r="D624" t="s">
        <v>194</v>
      </c>
      <c r="E624" t="str">
        <f>VLOOKUP(D624,Customers!A:H,7,0)</f>
        <v>Self-employed</v>
      </c>
      <c r="F624" t="s">
        <v>475</v>
      </c>
      <c r="G624" t="s">
        <v>146</v>
      </c>
      <c r="H624" t="str">
        <f>IFERROR(VLOOKUP(Transactions!G624,Merchants!A:B,2,FALSE),"Not Found")</f>
        <v>Prime Mart</v>
      </c>
      <c r="I624" s="9">
        <v>12276.45</v>
      </c>
      <c r="J624" s="3">
        <v>61.38</v>
      </c>
      <c r="K624" t="s">
        <v>58</v>
      </c>
      <c r="L624" t="s">
        <v>73</v>
      </c>
      <c r="M624" t="s">
        <v>86</v>
      </c>
      <c r="N624" t="s">
        <v>61</v>
      </c>
      <c r="O624" t="s">
        <v>81</v>
      </c>
      <c r="P624" t="str">
        <f t="shared" si="19"/>
        <v>High Value</v>
      </c>
      <c r="Q624" t="str">
        <f>VLOOKUP(G624,Merchants!A:C,3,TRUE)</f>
        <v>Food &amp; Dining</v>
      </c>
    </row>
    <row r="625" spans="1:17" x14ac:dyDescent="0.3">
      <c r="A625" t="s">
        <v>1137</v>
      </c>
      <c r="B625" s="2">
        <v>45800.447060185194</v>
      </c>
      <c r="C625" s="2" t="str">
        <f t="shared" si="18"/>
        <v>May-2025</v>
      </c>
      <c r="D625" t="s">
        <v>646</v>
      </c>
      <c r="E625" t="str">
        <f>VLOOKUP(D625,Customers!A:H,7,0)</f>
        <v>Business Owner</v>
      </c>
      <c r="F625" t="s">
        <v>653</v>
      </c>
      <c r="G625" t="s">
        <v>322</v>
      </c>
      <c r="H625" t="str">
        <f>IFERROR(VLOOKUP(Transactions!G625,Merchants!A:B,2,FALSE),"Not Found")</f>
        <v>Metro Pay</v>
      </c>
      <c r="I625" s="9">
        <v>27677.26</v>
      </c>
      <c r="J625" s="3">
        <v>276.77</v>
      </c>
      <c r="K625" t="s">
        <v>58</v>
      </c>
      <c r="L625" t="s">
        <v>73</v>
      </c>
      <c r="M625" t="s">
        <v>111</v>
      </c>
      <c r="N625" t="s">
        <v>67</v>
      </c>
      <c r="O625" t="s">
        <v>62</v>
      </c>
      <c r="P625" t="str">
        <f t="shared" si="19"/>
        <v>High Value</v>
      </c>
      <c r="Q625" t="str">
        <f>VLOOKUP(G625,Merchants!A:C,3,TRUE)</f>
        <v>Grocery</v>
      </c>
    </row>
    <row r="626" spans="1:17" x14ac:dyDescent="0.3">
      <c r="A626" t="s">
        <v>1138</v>
      </c>
      <c r="B626" s="2">
        <v>46044.039965277778</v>
      </c>
      <c r="C626" s="2" t="str">
        <f t="shared" si="18"/>
        <v>Jan-2026</v>
      </c>
      <c r="D626" t="s">
        <v>180</v>
      </c>
      <c r="E626" t="str">
        <f>VLOOKUP(D626,Customers!A:H,7,0)</f>
        <v>Student</v>
      </c>
      <c r="F626" t="s">
        <v>185</v>
      </c>
      <c r="G626" t="s">
        <v>85</v>
      </c>
      <c r="H626" t="str">
        <f>IFERROR(VLOOKUP(Transactions!G626,Merchants!A:B,2,FALSE),"Not Found")</f>
        <v>Metro Pay</v>
      </c>
      <c r="I626" s="9">
        <v>41797.74</v>
      </c>
      <c r="J626" s="3">
        <v>83.6</v>
      </c>
      <c r="K626" t="s">
        <v>133</v>
      </c>
      <c r="L626" t="s">
        <v>59</v>
      </c>
      <c r="M626" t="s">
        <v>86</v>
      </c>
      <c r="N626" t="s">
        <v>61</v>
      </c>
      <c r="O626" t="s">
        <v>62</v>
      </c>
      <c r="P626" t="str">
        <f t="shared" si="19"/>
        <v>High Value</v>
      </c>
      <c r="Q626" t="str">
        <f>VLOOKUP(G626,Merchants!A:C,3,TRUE)</f>
        <v>Travel</v>
      </c>
    </row>
    <row r="627" spans="1:17" x14ac:dyDescent="0.3">
      <c r="A627" t="s">
        <v>1139</v>
      </c>
      <c r="B627" s="2">
        <v>45688.222824074073</v>
      </c>
      <c r="C627" s="2" t="str">
        <f t="shared" si="18"/>
        <v>Jan-2025</v>
      </c>
      <c r="D627" t="s">
        <v>338</v>
      </c>
      <c r="E627" t="str">
        <f>VLOOKUP(D627,Customers!A:H,7,0)</f>
        <v>Student</v>
      </c>
      <c r="F627" t="s">
        <v>627</v>
      </c>
      <c r="G627" t="s">
        <v>66</v>
      </c>
      <c r="H627" t="str">
        <f>IFERROR(VLOOKUP(Transactions!G627,Merchants!A:B,2,FALSE),"Not Found")</f>
        <v>Prime Digital</v>
      </c>
      <c r="I627" s="9">
        <v>21978.13</v>
      </c>
      <c r="J627" s="3">
        <v>43.96</v>
      </c>
      <c r="K627" t="s">
        <v>90</v>
      </c>
      <c r="L627" t="s">
        <v>59</v>
      </c>
      <c r="M627" t="s">
        <v>111</v>
      </c>
      <c r="N627" t="s">
        <v>61</v>
      </c>
      <c r="O627" t="s">
        <v>62</v>
      </c>
      <c r="P627" t="str">
        <f t="shared" si="19"/>
        <v>High Value</v>
      </c>
      <c r="Q627" t="str">
        <f>VLOOKUP(G627,Merchants!A:C,3,TRUE)</f>
        <v>Fuel</v>
      </c>
    </row>
    <row r="628" spans="1:17" x14ac:dyDescent="0.3">
      <c r="A628" t="s">
        <v>1140</v>
      </c>
      <c r="B628" s="2">
        <v>46198.454363425917</v>
      </c>
      <c r="C628" s="2" t="str">
        <f t="shared" si="18"/>
        <v>Jun-2026</v>
      </c>
      <c r="D628" t="s">
        <v>428</v>
      </c>
      <c r="E628" t="str">
        <f>VLOOKUP(D628,Customers!A:H,7,0)</f>
        <v>Business Owner</v>
      </c>
      <c r="F628" t="s">
        <v>861</v>
      </c>
      <c r="G628" t="s">
        <v>229</v>
      </c>
      <c r="H628" t="str">
        <f>IFERROR(VLOOKUP(Transactions!G628,Merchants!A:B,2,FALSE),"Not Found")</f>
        <v>Urban Services</v>
      </c>
      <c r="I628" s="9">
        <v>28264.05</v>
      </c>
      <c r="J628" s="3">
        <v>282.64</v>
      </c>
      <c r="K628" t="s">
        <v>72</v>
      </c>
      <c r="L628" t="s">
        <v>80</v>
      </c>
      <c r="M628" t="s">
        <v>86</v>
      </c>
      <c r="N628" t="s">
        <v>67</v>
      </c>
      <c r="O628" t="s">
        <v>91</v>
      </c>
      <c r="P628" t="str">
        <f t="shared" si="19"/>
        <v>High Value</v>
      </c>
      <c r="Q628" t="str">
        <f>VLOOKUP(G628,Merchants!A:C,3,TRUE)</f>
        <v>Fashion</v>
      </c>
    </row>
    <row r="629" spans="1:17" x14ac:dyDescent="0.3">
      <c r="A629" t="s">
        <v>1141</v>
      </c>
      <c r="B629" s="2">
        <v>45690.916550925933</v>
      </c>
      <c r="C629" s="2" t="str">
        <f t="shared" si="18"/>
        <v>Feb-2025</v>
      </c>
      <c r="D629" t="s">
        <v>130</v>
      </c>
      <c r="E629" t="str">
        <f>VLOOKUP(D629,Customers!A:H,7,0)</f>
        <v>Student</v>
      </c>
      <c r="F629" t="s">
        <v>365</v>
      </c>
      <c r="G629" t="s">
        <v>117</v>
      </c>
      <c r="H629" t="str">
        <f>IFERROR(VLOOKUP(Transactions!G629,Merchants!A:B,2,FALSE),"Not Found")</f>
        <v>Prime Pay</v>
      </c>
      <c r="I629" s="9">
        <v>45092.86</v>
      </c>
      <c r="J629" s="3">
        <v>90.19</v>
      </c>
      <c r="K629" t="s">
        <v>96</v>
      </c>
      <c r="L629" t="s">
        <v>59</v>
      </c>
      <c r="M629" t="s">
        <v>60</v>
      </c>
      <c r="N629" t="s">
        <v>61</v>
      </c>
      <c r="O629" t="s">
        <v>62</v>
      </c>
      <c r="P629" t="str">
        <f t="shared" si="19"/>
        <v>High Value</v>
      </c>
      <c r="Q629" t="str">
        <f>VLOOKUP(G629,Merchants!A:C,3,TRUE)</f>
        <v>Travel</v>
      </c>
    </row>
    <row r="630" spans="1:17" x14ac:dyDescent="0.3">
      <c r="A630" t="s">
        <v>1142</v>
      </c>
      <c r="B630" s="2">
        <v>46091.237870370373</v>
      </c>
      <c r="C630" s="2" t="str">
        <f t="shared" si="18"/>
        <v>Mar-2026</v>
      </c>
      <c r="D630" t="s">
        <v>239</v>
      </c>
      <c r="E630" t="str">
        <f>VLOOKUP(D630,Customers!A:H,7,0)</f>
        <v>Salaried</v>
      </c>
      <c r="F630" t="s">
        <v>531</v>
      </c>
      <c r="G630" t="s">
        <v>57</v>
      </c>
      <c r="H630" t="str">
        <f>IFERROR(VLOOKUP(Transactions!G630,Merchants!A:B,2,FALSE),"Not Found")</f>
        <v>Daily Stores</v>
      </c>
      <c r="I630" s="9">
        <v>16382.47</v>
      </c>
      <c r="J630" s="3">
        <v>163.82</v>
      </c>
      <c r="K630" t="s">
        <v>96</v>
      </c>
      <c r="L630" t="s">
        <v>59</v>
      </c>
      <c r="M630" t="s">
        <v>86</v>
      </c>
      <c r="N630" t="s">
        <v>67</v>
      </c>
      <c r="O630" t="s">
        <v>75</v>
      </c>
      <c r="P630" t="str">
        <f t="shared" si="19"/>
        <v>High Value</v>
      </c>
      <c r="Q630" t="str">
        <f>VLOOKUP(G630,Merchants!A:C,3,TRUE)</f>
        <v>Travel</v>
      </c>
    </row>
    <row r="631" spans="1:17" x14ac:dyDescent="0.3">
      <c r="A631" t="s">
        <v>1143</v>
      </c>
      <c r="B631" s="2">
        <v>45846.848460648151</v>
      </c>
      <c r="C631" s="2" t="str">
        <f t="shared" si="18"/>
        <v>Jul-2025</v>
      </c>
      <c r="D631" t="s">
        <v>515</v>
      </c>
      <c r="E631" t="str">
        <f>VLOOKUP(D631,Customers!A:H,7,0)</f>
        <v>Business Owner</v>
      </c>
      <c r="F631" t="s">
        <v>110</v>
      </c>
      <c r="G631" t="s">
        <v>156</v>
      </c>
      <c r="H631" t="str">
        <f>IFERROR(VLOOKUP(Transactions!G631,Merchants!A:B,2,FALSE),"Not Found")</f>
        <v>Blue Digital</v>
      </c>
      <c r="I631" s="9">
        <v>36344.5</v>
      </c>
      <c r="J631" s="3">
        <v>363.44</v>
      </c>
      <c r="K631" t="s">
        <v>96</v>
      </c>
      <c r="L631" t="s">
        <v>59</v>
      </c>
      <c r="M631" t="s">
        <v>74</v>
      </c>
      <c r="N631" t="s">
        <v>67</v>
      </c>
      <c r="O631" t="s">
        <v>91</v>
      </c>
      <c r="P631" t="str">
        <f t="shared" si="19"/>
        <v>High Value</v>
      </c>
      <c r="Q631" t="str">
        <f>VLOOKUP(G631,Merchants!A:C,3,TRUE)</f>
        <v>Electronics</v>
      </c>
    </row>
    <row r="632" spans="1:17" x14ac:dyDescent="0.3">
      <c r="A632" t="s">
        <v>1144</v>
      </c>
      <c r="B632" s="2">
        <v>46038.980983796297</v>
      </c>
      <c r="C632" s="2" t="str">
        <f t="shared" si="18"/>
        <v>Jan-2026</v>
      </c>
      <c r="D632" t="s">
        <v>177</v>
      </c>
      <c r="E632" t="str">
        <f>VLOOKUP(D632,Customers!A:H,7,0)</f>
        <v>Self-employed</v>
      </c>
      <c r="F632" t="s">
        <v>963</v>
      </c>
      <c r="G632" t="s">
        <v>382</v>
      </c>
      <c r="H632" t="str">
        <f>IFERROR(VLOOKUP(Transactions!G632,Merchants!A:B,2,FALSE),"Not Found")</f>
        <v>Fresh Foods</v>
      </c>
      <c r="I632" s="9">
        <v>25510.89</v>
      </c>
      <c r="J632" s="3">
        <v>51.02</v>
      </c>
      <c r="K632" t="s">
        <v>72</v>
      </c>
      <c r="L632" t="s">
        <v>59</v>
      </c>
      <c r="M632" t="s">
        <v>86</v>
      </c>
      <c r="N632" t="s">
        <v>67</v>
      </c>
      <c r="O632" t="s">
        <v>81</v>
      </c>
      <c r="P632" t="str">
        <f t="shared" si="19"/>
        <v>High Value</v>
      </c>
      <c r="Q632" t="str">
        <f>VLOOKUP(G632,Merchants!A:C,3,TRUE)</f>
        <v>Healthcare</v>
      </c>
    </row>
    <row r="633" spans="1:17" x14ac:dyDescent="0.3">
      <c r="A633" t="s">
        <v>1145</v>
      </c>
      <c r="B633" s="2">
        <v>45824.821574074071</v>
      </c>
      <c r="C633" s="2" t="str">
        <f t="shared" si="18"/>
        <v>Jun-2025</v>
      </c>
      <c r="D633" t="s">
        <v>138</v>
      </c>
      <c r="E633" t="str">
        <f>VLOOKUP(D633,Customers!A:H,7,0)</f>
        <v>Self-employed</v>
      </c>
      <c r="F633" t="s">
        <v>774</v>
      </c>
      <c r="G633" t="s">
        <v>164</v>
      </c>
      <c r="H633" t="str">
        <f>IFERROR(VLOOKUP(Transactions!G633,Merchants!A:B,2,FALSE),"Not Found")</f>
        <v>Green Foods</v>
      </c>
      <c r="I633" s="9">
        <v>6477.23</v>
      </c>
      <c r="J633" s="3">
        <v>12.95</v>
      </c>
      <c r="K633" t="s">
        <v>90</v>
      </c>
      <c r="L633" t="s">
        <v>59</v>
      </c>
      <c r="M633" t="s">
        <v>86</v>
      </c>
      <c r="N633" t="s">
        <v>67</v>
      </c>
      <c r="O633" t="s">
        <v>81</v>
      </c>
      <c r="P633" t="str">
        <f t="shared" si="19"/>
        <v>High Value</v>
      </c>
      <c r="Q633" t="str">
        <f>VLOOKUP(G633,Merchants!A:C,3,TRUE)</f>
        <v>Grocery</v>
      </c>
    </row>
    <row r="634" spans="1:17" x14ac:dyDescent="0.3">
      <c r="A634" t="s">
        <v>1146</v>
      </c>
      <c r="B634" s="2">
        <v>45745.864895833343</v>
      </c>
      <c r="C634" s="2" t="str">
        <f t="shared" si="18"/>
        <v>Mar-2025</v>
      </c>
      <c r="D634" t="s">
        <v>639</v>
      </c>
      <c r="E634" t="str">
        <f>VLOOKUP(D634,Customers!A:H,7,0)</f>
        <v>Self-employed</v>
      </c>
      <c r="F634" t="s">
        <v>1147</v>
      </c>
      <c r="G634" t="s">
        <v>182</v>
      </c>
      <c r="H634" t="str">
        <f>IFERROR(VLOOKUP(Transactions!G634,Merchants!A:B,2,FALSE),"Not Found")</f>
        <v>Fresh Hub</v>
      </c>
      <c r="I634" s="9">
        <v>33931.33</v>
      </c>
      <c r="J634" s="3">
        <v>339.31</v>
      </c>
      <c r="K634" t="s">
        <v>58</v>
      </c>
      <c r="L634" t="s">
        <v>59</v>
      </c>
      <c r="M634" t="s">
        <v>60</v>
      </c>
      <c r="N634" t="s">
        <v>67</v>
      </c>
      <c r="O634" t="s">
        <v>81</v>
      </c>
      <c r="P634" t="str">
        <f t="shared" si="19"/>
        <v>High Value</v>
      </c>
      <c r="Q634" t="str">
        <f>VLOOKUP(G634,Merchants!A:C,3,TRUE)</f>
        <v>Healthcare</v>
      </c>
    </row>
    <row r="635" spans="1:17" x14ac:dyDescent="0.3">
      <c r="A635" t="s">
        <v>1148</v>
      </c>
      <c r="B635" s="2">
        <v>45947.603981481479</v>
      </c>
      <c r="C635" s="2" t="str">
        <f t="shared" si="18"/>
        <v>Oct-2025</v>
      </c>
      <c r="D635" t="s">
        <v>914</v>
      </c>
      <c r="E635" t="str">
        <f>VLOOKUP(D635,Customers!A:H,7,0)</f>
        <v>Student</v>
      </c>
      <c r="F635" t="s">
        <v>399</v>
      </c>
      <c r="G635" t="s">
        <v>146</v>
      </c>
      <c r="H635" t="str">
        <f>IFERROR(VLOOKUP(Transactions!G635,Merchants!A:B,2,FALSE),"Not Found")</f>
        <v>Prime Mart</v>
      </c>
      <c r="I635" s="9">
        <v>30062.94</v>
      </c>
      <c r="J635" s="3">
        <v>300.63</v>
      </c>
      <c r="K635" t="s">
        <v>58</v>
      </c>
      <c r="L635" t="s">
        <v>59</v>
      </c>
      <c r="M635" t="s">
        <v>60</v>
      </c>
      <c r="N635" t="s">
        <v>61</v>
      </c>
      <c r="O635" t="s">
        <v>91</v>
      </c>
      <c r="P635" t="str">
        <f t="shared" si="19"/>
        <v>High Value</v>
      </c>
      <c r="Q635" t="str">
        <f>VLOOKUP(G635,Merchants!A:C,3,TRUE)</f>
        <v>Food &amp; Dining</v>
      </c>
    </row>
    <row r="636" spans="1:17" x14ac:dyDescent="0.3">
      <c r="A636" t="s">
        <v>1149</v>
      </c>
      <c r="B636" s="2">
        <v>46172.227835648147</v>
      </c>
      <c r="C636" s="2" t="str">
        <f t="shared" si="18"/>
        <v>May-2026</v>
      </c>
      <c r="D636" t="s">
        <v>897</v>
      </c>
      <c r="E636" t="str">
        <f>VLOOKUP(D636,Customers!A:H,7,0)</f>
        <v>Student</v>
      </c>
      <c r="F636" t="s">
        <v>1150</v>
      </c>
      <c r="G636" t="s">
        <v>175</v>
      </c>
      <c r="H636" t="str">
        <f>IFERROR(VLOOKUP(Transactions!G636,Merchants!A:B,2,FALSE),"Not Found")</f>
        <v>Fresh Mart</v>
      </c>
      <c r="I636" s="9">
        <v>1518.75</v>
      </c>
      <c r="J636" s="3">
        <v>15.19</v>
      </c>
      <c r="K636" t="s">
        <v>72</v>
      </c>
      <c r="L636" t="s">
        <v>73</v>
      </c>
      <c r="M636" t="s">
        <v>111</v>
      </c>
      <c r="N636" t="s">
        <v>67</v>
      </c>
      <c r="O636" t="s">
        <v>75</v>
      </c>
      <c r="P636" t="str">
        <f t="shared" si="19"/>
        <v>Standard</v>
      </c>
      <c r="Q636" t="str">
        <f>VLOOKUP(G636,Merchants!A:C,3,TRUE)</f>
        <v>Electronics</v>
      </c>
    </row>
    <row r="637" spans="1:17" x14ac:dyDescent="0.3">
      <c r="A637" t="s">
        <v>1151</v>
      </c>
      <c r="B637" s="2">
        <v>45738.949583333328</v>
      </c>
      <c r="C637" s="2" t="str">
        <f t="shared" si="18"/>
        <v>Mar-2025</v>
      </c>
      <c r="D637" t="s">
        <v>303</v>
      </c>
      <c r="E637" t="str">
        <f>VLOOKUP(D637,Customers!A:H,7,0)</f>
        <v>Self-employed</v>
      </c>
      <c r="F637" t="s">
        <v>99</v>
      </c>
      <c r="G637" t="s">
        <v>413</v>
      </c>
      <c r="H637" t="str">
        <f>IFERROR(VLOOKUP(Transactions!G637,Merchants!A:B,2,FALSE),"Not Found")</f>
        <v>Blue Hub</v>
      </c>
      <c r="I637" s="9">
        <v>5688.12</v>
      </c>
      <c r="J637" s="3">
        <v>17.059999999999999</v>
      </c>
      <c r="K637" t="s">
        <v>90</v>
      </c>
      <c r="L637" t="s">
        <v>80</v>
      </c>
      <c r="M637" t="s">
        <v>60</v>
      </c>
      <c r="N637" t="s">
        <v>61</v>
      </c>
      <c r="O637" t="s">
        <v>62</v>
      </c>
      <c r="P637" t="str">
        <f t="shared" si="19"/>
        <v>High Value</v>
      </c>
      <c r="Q637" t="str">
        <f>VLOOKUP(G637,Merchants!A:C,3,TRUE)</f>
        <v>Utilities</v>
      </c>
    </row>
    <row r="638" spans="1:17" x14ac:dyDescent="0.3">
      <c r="A638" t="s">
        <v>1152</v>
      </c>
      <c r="B638" s="2">
        <v>46005.44121527778</v>
      </c>
      <c r="C638" s="2" t="str">
        <f t="shared" si="18"/>
        <v>Dec-2025</v>
      </c>
      <c r="D638" t="s">
        <v>616</v>
      </c>
      <c r="E638" t="str">
        <f>VLOOKUP(D638,Customers!A:H,7,0)</f>
        <v>Business Owner</v>
      </c>
      <c r="F638" t="s">
        <v>339</v>
      </c>
      <c r="G638" t="s">
        <v>128</v>
      </c>
      <c r="H638" t="str">
        <f>IFERROR(VLOOKUP(Transactions!G638,Merchants!A:B,2,FALSE),"Not Found")</f>
        <v>Blue Foods</v>
      </c>
      <c r="I638" s="9">
        <v>21682.95</v>
      </c>
      <c r="J638" s="3">
        <v>216.83</v>
      </c>
      <c r="K638" t="s">
        <v>96</v>
      </c>
      <c r="L638" t="s">
        <v>73</v>
      </c>
      <c r="M638" t="s">
        <v>111</v>
      </c>
      <c r="N638" t="s">
        <v>67</v>
      </c>
      <c r="O638" t="s">
        <v>91</v>
      </c>
      <c r="P638" t="str">
        <f t="shared" si="19"/>
        <v>High Value</v>
      </c>
      <c r="Q638" t="str">
        <f>VLOOKUP(G638,Merchants!A:C,3,TRUE)</f>
        <v>Food &amp; Dining</v>
      </c>
    </row>
    <row r="639" spans="1:17" x14ac:dyDescent="0.3">
      <c r="A639" t="s">
        <v>1153</v>
      </c>
      <c r="B639" s="2">
        <v>45814.86</v>
      </c>
      <c r="C639" s="2" t="str">
        <f t="shared" si="18"/>
        <v>Jun-2025</v>
      </c>
      <c r="D639" t="s">
        <v>720</v>
      </c>
      <c r="E639" t="str">
        <f>VLOOKUP(D639,Customers!A:H,7,0)</f>
        <v>Business Owner</v>
      </c>
      <c r="F639" t="s">
        <v>640</v>
      </c>
      <c r="G639" t="s">
        <v>263</v>
      </c>
      <c r="H639" t="str">
        <f>IFERROR(VLOOKUP(Transactions!G639,Merchants!A:B,2,FALSE),"Not Found")</f>
        <v>Urban Retail</v>
      </c>
      <c r="I639" s="9">
        <v>37704.6</v>
      </c>
      <c r="J639" s="3">
        <v>75.41</v>
      </c>
      <c r="K639" t="s">
        <v>133</v>
      </c>
      <c r="L639" t="s">
        <v>59</v>
      </c>
      <c r="M639" t="s">
        <v>86</v>
      </c>
      <c r="N639" t="s">
        <v>61</v>
      </c>
      <c r="O639" t="s">
        <v>91</v>
      </c>
      <c r="P639" t="str">
        <f t="shared" si="19"/>
        <v>High Value</v>
      </c>
      <c r="Q639" t="str">
        <f>VLOOKUP(G639,Merchants!A:C,3,TRUE)</f>
        <v>Grocery</v>
      </c>
    </row>
    <row r="640" spans="1:17" x14ac:dyDescent="0.3">
      <c r="A640" t="s">
        <v>1154</v>
      </c>
      <c r="B640" s="2">
        <v>46123.475914351853</v>
      </c>
      <c r="C640" s="2" t="str">
        <f t="shared" si="18"/>
        <v>Apr-2026</v>
      </c>
      <c r="D640" t="s">
        <v>173</v>
      </c>
      <c r="E640" t="str">
        <f>VLOOKUP(D640,Customers!A:H,7,0)</f>
        <v>Self-employed</v>
      </c>
      <c r="F640" t="s">
        <v>533</v>
      </c>
      <c r="G640" t="s">
        <v>100</v>
      </c>
      <c r="H640" t="str">
        <f>IFERROR(VLOOKUP(Transactions!G640,Merchants!A:B,2,FALSE),"Not Found")</f>
        <v>Metro Stores</v>
      </c>
      <c r="I640" s="9">
        <v>10266.09</v>
      </c>
      <c r="J640" s="3">
        <v>20.53</v>
      </c>
      <c r="K640" t="s">
        <v>72</v>
      </c>
      <c r="L640" t="s">
        <v>59</v>
      </c>
      <c r="M640" t="s">
        <v>86</v>
      </c>
      <c r="N640" t="s">
        <v>67</v>
      </c>
      <c r="O640" t="s">
        <v>62</v>
      </c>
      <c r="P640" t="str">
        <f t="shared" si="19"/>
        <v>High Value</v>
      </c>
      <c r="Q640" t="str">
        <f>VLOOKUP(G640,Merchants!A:C,3,TRUE)</f>
        <v>Healthcare</v>
      </c>
    </row>
    <row r="641" spans="1:17" x14ac:dyDescent="0.3">
      <c r="A641" t="s">
        <v>1155</v>
      </c>
      <c r="B641" s="2">
        <v>46129.39130787037</v>
      </c>
      <c r="C641" s="2" t="str">
        <f t="shared" si="18"/>
        <v>Apr-2026</v>
      </c>
      <c r="D641" t="s">
        <v>398</v>
      </c>
      <c r="E641" t="str">
        <f>VLOOKUP(D641,Customers!A:H,7,0)</f>
        <v>Salaried</v>
      </c>
      <c r="F641" t="s">
        <v>1156</v>
      </c>
      <c r="G641" t="s">
        <v>146</v>
      </c>
      <c r="H641" t="str">
        <f>IFERROR(VLOOKUP(Transactions!G641,Merchants!A:B,2,FALSE),"Not Found")</f>
        <v>Prime Mart</v>
      </c>
      <c r="I641" s="9">
        <v>59169.98</v>
      </c>
      <c r="J641" s="3">
        <v>591.70000000000005</v>
      </c>
      <c r="K641" t="s">
        <v>58</v>
      </c>
      <c r="L641" t="s">
        <v>157</v>
      </c>
      <c r="M641" t="s">
        <v>74</v>
      </c>
      <c r="N641" t="s">
        <v>67</v>
      </c>
      <c r="O641" t="s">
        <v>81</v>
      </c>
      <c r="P641" t="str">
        <f t="shared" si="19"/>
        <v>High Value</v>
      </c>
      <c r="Q641" t="str">
        <f>VLOOKUP(G641,Merchants!A:C,3,TRUE)</f>
        <v>Food &amp; Dining</v>
      </c>
    </row>
    <row r="642" spans="1:17" x14ac:dyDescent="0.3">
      <c r="A642" t="s">
        <v>1157</v>
      </c>
      <c r="B642" s="2">
        <v>45951.608229166668</v>
      </c>
      <c r="C642" s="2" t="str">
        <f t="shared" si="18"/>
        <v>Oct-2025</v>
      </c>
      <c r="D642" t="s">
        <v>113</v>
      </c>
      <c r="E642" t="str">
        <f>VLOOKUP(D642,Customers!A:H,7,0)</f>
        <v>Business Owner</v>
      </c>
      <c r="F642" t="s">
        <v>487</v>
      </c>
      <c r="G642" t="s">
        <v>150</v>
      </c>
      <c r="H642" t="str">
        <f>IFERROR(VLOOKUP(Transactions!G642,Merchants!A:B,2,FALSE),"Not Found")</f>
        <v>Nova Services</v>
      </c>
      <c r="I642" s="9">
        <v>24601.09</v>
      </c>
      <c r="J642" s="3">
        <v>73.8</v>
      </c>
      <c r="K642" t="s">
        <v>133</v>
      </c>
      <c r="L642" t="s">
        <v>59</v>
      </c>
      <c r="M642" t="s">
        <v>60</v>
      </c>
      <c r="N642" t="s">
        <v>61</v>
      </c>
      <c r="O642" t="s">
        <v>91</v>
      </c>
      <c r="P642" t="str">
        <f t="shared" si="19"/>
        <v>High Value</v>
      </c>
      <c r="Q642" t="str">
        <f>VLOOKUP(G642,Merchants!A:C,3,TRUE)</f>
        <v>Electronics</v>
      </c>
    </row>
    <row r="643" spans="1:17" x14ac:dyDescent="0.3">
      <c r="A643" t="s">
        <v>1158</v>
      </c>
      <c r="B643" s="2">
        <v>46081.767523148148</v>
      </c>
      <c r="C643" s="2" t="str">
        <f t="shared" ref="C643:C706" si="20">TEXT(B643,"mmm-yyyy")</f>
        <v>Feb-2026</v>
      </c>
      <c r="D643" t="s">
        <v>867</v>
      </c>
      <c r="E643" t="str">
        <f>VLOOKUP(D643,Customers!A:H,7,0)</f>
        <v>Student</v>
      </c>
      <c r="F643" t="s">
        <v>357</v>
      </c>
      <c r="G643" t="s">
        <v>607</v>
      </c>
      <c r="H643" t="str">
        <f>IFERROR(VLOOKUP(Transactions!G643,Merchants!A:B,2,FALSE),"Not Found")</f>
        <v>Daily Digital</v>
      </c>
      <c r="I643" s="9">
        <v>27060.53</v>
      </c>
      <c r="J643" s="3">
        <v>54.12</v>
      </c>
      <c r="K643" t="s">
        <v>90</v>
      </c>
      <c r="L643" t="s">
        <v>73</v>
      </c>
      <c r="M643" t="s">
        <v>86</v>
      </c>
      <c r="N643" t="s">
        <v>67</v>
      </c>
      <c r="O643" t="s">
        <v>91</v>
      </c>
      <c r="P643" t="str">
        <f t="shared" ref="P643:P706" si="21">IF(I643&gt;=2500,"High Value","Standard")</f>
        <v>High Value</v>
      </c>
      <c r="Q643" t="str">
        <f>VLOOKUP(G643,Merchants!A:C,3,TRUE)</f>
        <v>Healthcare</v>
      </c>
    </row>
    <row r="644" spans="1:17" x14ac:dyDescent="0.3">
      <c r="A644" t="s">
        <v>1159</v>
      </c>
      <c r="B644" s="2">
        <v>45955.570127314822</v>
      </c>
      <c r="C644" s="2" t="str">
        <f t="shared" si="20"/>
        <v>Oct-2025</v>
      </c>
      <c r="D644" t="s">
        <v>407</v>
      </c>
      <c r="E644" t="str">
        <f>VLOOKUP(D644,Customers!A:H,7,0)</f>
        <v>Salaried</v>
      </c>
      <c r="F644" t="s">
        <v>730</v>
      </c>
      <c r="G644" t="s">
        <v>554</v>
      </c>
      <c r="H644" t="str">
        <f>IFERROR(VLOOKUP(Transactions!G644,Merchants!A:B,2,FALSE),"Not Found")</f>
        <v>Green Pay</v>
      </c>
      <c r="I644" s="9">
        <v>9576.5300000000007</v>
      </c>
      <c r="J644" s="3">
        <v>19.149999999999999</v>
      </c>
      <c r="K644" t="s">
        <v>58</v>
      </c>
      <c r="L644" t="s">
        <v>59</v>
      </c>
      <c r="M644" t="s">
        <v>60</v>
      </c>
      <c r="N644" t="s">
        <v>61</v>
      </c>
      <c r="O644" t="s">
        <v>75</v>
      </c>
      <c r="P644" t="str">
        <f t="shared" si="21"/>
        <v>High Value</v>
      </c>
      <c r="Q644" t="str">
        <f>VLOOKUP(G644,Merchants!A:C,3,TRUE)</f>
        <v>Utilities</v>
      </c>
    </row>
    <row r="645" spans="1:17" x14ac:dyDescent="0.3">
      <c r="A645" t="s">
        <v>1160</v>
      </c>
      <c r="B645" s="2">
        <v>46205.705196759263</v>
      </c>
      <c r="C645" s="2" t="str">
        <f t="shared" si="20"/>
        <v>Jul-2026</v>
      </c>
      <c r="D645" t="s">
        <v>130</v>
      </c>
      <c r="E645" t="str">
        <f>VLOOKUP(D645,Customers!A:H,7,0)</f>
        <v>Student</v>
      </c>
      <c r="F645" t="s">
        <v>640</v>
      </c>
      <c r="G645" t="s">
        <v>117</v>
      </c>
      <c r="H645" t="str">
        <f>IFERROR(VLOOKUP(Transactions!G645,Merchants!A:B,2,FALSE),"Not Found")</f>
        <v>Prime Pay</v>
      </c>
      <c r="I645" s="9">
        <v>6636.23</v>
      </c>
      <c r="J645" s="3">
        <v>13.27</v>
      </c>
      <c r="K645" t="s">
        <v>90</v>
      </c>
      <c r="L645" t="s">
        <v>59</v>
      </c>
      <c r="M645" t="s">
        <v>74</v>
      </c>
      <c r="N645" t="s">
        <v>61</v>
      </c>
      <c r="O645" t="s">
        <v>91</v>
      </c>
      <c r="P645" t="str">
        <f t="shared" si="21"/>
        <v>High Value</v>
      </c>
      <c r="Q645" t="str">
        <f>VLOOKUP(G645,Merchants!A:C,3,TRUE)</f>
        <v>Travel</v>
      </c>
    </row>
    <row r="646" spans="1:17" x14ac:dyDescent="0.3">
      <c r="A646" t="s">
        <v>1161</v>
      </c>
      <c r="B646" s="2">
        <v>45982.519467592603</v>
      </c>
      <c r="C646" s="2" t="str">
        <f t="shared" si="20"/>
        <v>Nov-2025</v>
      </c>
      <c r="D646" t="s">
        <v>419</v>
      </c>
      <c r="E646" t="str">
        <f>VLOOKUP(D646,Customers!A:H,7,0)</f>
        <v>Student</v>
      </c>
      <c r="F646" t="s">
        <v>522</v>
      </c>
      <c r="G646" t="s">
        <v>554</v>
      </c>
      <c r="H646" t="str">
        <f>IFERROR(VLOOKUP(Transactions!G646,Merchants!A:B,2,FALSE),"Not Found")</f>
        <v>Green Pay</v>
      </c>
      <c r="I646" s="9">
        <v>59786.65</v>
      </c>
      <c r="J646" s="3">
        <v>597.87</v>
      </c>
      <c r="K646" t="s">
        <v>58</v>
      </c>
      <c r="L646" t="s">
        <v>59</v>
      </c>
      <c r="M646" t="s">
        <v>111</v>
      </c>
      <c r="N646" t="s">
        <v>61</v>
      </c>
      <c r="O646" t="s">
        <v>62</v>
      </c>
      <c r="P646" t="str">
        <f t="shared" si="21"/>
        <v>High Value</v>
      </c>
      <c r="Q646" t="str">
        <f>VLOOKUP(G646,Merchants!A:C,3,TRUE)</f>
        <v>Utilities</v>
      </c>
    </row>
    <row r="647" spans="1:17" x14ac:dyDescent="0.3">
      <c r="A647" t="s">
        <v>1162</v>
      </c>
      <c r="B647" s="2">
        <v>45876.485729166663</v>
      </c>
      <c r="C647" s="2" t="str">
        <f t="shared" si="20"/>
        <v>Aug-2025</v>
      </c>
      <c r="D647" t="s">
        <v>564</v>
      </c>
      <c r="E647" t="str">
        <f>VLOOKUP(D647,Customers!A:H,7,0)</f>
        <v>Student</v>
      </c>
      <c r="F647" t="s">
        <v>221</v>
      </c>
      <c r="G647" t="s">
        <v>100</v>
      </c>
      <c r="H647" t="str">
        <f>IFERROR(VLOOKUP(Transactions!G647,Merchants!A:B,2,FALSE),"Not Found")</f>
        <v>Metro Stores</v>
      </c>
      <c r="I647" s="9">
        <v>34135.57</v>
      </c>
      <c r="J647" s="3">
        <v>341.36</v>
      </c>
      <c r="K647" t="s">
        <v>96</v>
      </c>
      <c r="L647" t="s">
        <v>157</v>
      </c>
      <c r="M647" t="s">
        <v>74</v>
      </c>
      <c r="N647" t="s">
        <v>67</v>
      </c>
      <c r="O647" t="s">
        <v>91</v>
      </c>
      <c r="P647" t="str">
        <f t="shared" si="21"/>
        <v>High Value</v>
      </c>
      <c r="Q647" t="str">
        <f>VLOOKUP(G647,Merchants!A:C,3,TRUE)</f>
        <v>Healthcare</v>
      </c>
    </row>
    <row r="648" spans="1:17" x14ac:dyDescent="0.3">
      <c r="A648" t="s">
        <v>1163</v>
      </c>
      <c r="B648" s="2">
        <v>45874.034803240742</v>
      </c>
      <c r="C648" s="2" t="str">
        <f t="shared" si="20"/>
        <v>Aug-2025</v>
      </c>
      <c r="D648" t="s">
        <v>309</v>
      </c>
      <c r="E648" t="str">
        <f>VLOOKUP(D648,Customers!A:H,7,0)</f>
        <v>Self-employed</v>
      </c>
      <c r="F648" t="s">
        <v>84</v>
      </c>
      <c r="G648" t="s">
        <v>215</v>
      </c>
      <c r="H648" t="str">
        <f>IFERROR(VLOOKUP(Transactions!G648,Merchants!A:B,2,FALSE),"Not Found")</f>
        <v>Daily Hub</v>
      </c>
      <c r="I648" s="9">
        <v>57163.44</v>
      </c>
      <c r="J648" s="3">
        <v>285.82</v>
      </c>
      <c r="K648" t="s">
        <v>58</v>
      </c>
      <c r="L648" t="s">
        <v>80</v>
      </c>
      <c r="M648" t="s">
        <v>111</v>
      </c>
      <c r="N648" t="s">
        <v>67</v>
      </c>
      <c r="O648" t="s">
        <v>81</v>
      </c>
      <c r="P648" t="str">
        <f t="shared" si="21"/>
        <v>High Value</v>
      </c>
      <c r="Q648" t="str">
        <f>VLOOKUP(G648,Merchants!A:C,3,TRUE)</f>
        <v>Fashion</v>
      </c>
    </row>
    <row r="649" spans="1:17" x14ac:dyDescent="0.3">
      <c r="A649" t="s">
        <v>1164</v>
      </c>
      <c r="B649" s="2">
        <v>46072.12394675926</v>
      </c>
      <c r="C649" s="2" t="str">
        <f t="shared" si="20"/>
        <v>Feb-2026</v>
      </c>
      <c r="D649" t="s">
        <v>227</v>
      </c>
      <c r="E649" t="str">
        <f>VLOOKUP(D649,Customers!A:H,7,0)</f>
        <v>Self-employed</v>
      </c>
      <c r="F649" t="s">
        <v>592</v>
      </c>
      <c r="G649" t="s">
        <v>85</v>
      </c>
      <c r="H649" t="str">
        <f>IFERROR(VLOOKUP(Transactions!G649,Merchants!A:B,2,FALSE),"Not Found")</f>
        <v>Metro Pay</v>
      </c>
      <c r="I649" s="9">
        <v>17970.37</v>
      </c>
      <c r="J649" s="3">
        <v>179.7</v>
      </c>
      <c r="K649" t="s">
        <v>72</v>
      </c>
      <c r="L649" t="s">
        <v>80</v>
      </c>
      <c r="M649" t="s">
        <v>111</v>
      </c>
      <c r="N649" t="s">
        <v>67</v>
      </c>
      <c r="O649" t="s">
        <v>91</v>
      </c>
      <c r="P649" t="str">
        <f t="shared" si="21"/>
        <v>High Value</v>
      </c>
      <c r="Q649" t="str">
        <f>VLOOKUP(G649,Merchants!A:C,3,TRUE)</f>
        <v>Travel</v>
      </c>
    </row>
    <row r="650" spans="1:17" x14ac:dyDescent="0.3">
      <c r="A650" t="s">
        <v>1165</v>
      </c>
      <c r="B650" s="2">
        <v>46096.518854166658</v>
      </c>
      <c r="C650" s="2" t="str">
        <f t="shared" si="20"/>
        <v>Mar-2026</v>
      </c>
      <c r="D650" t="s">
        <v>116</v>
      </c>
      <c r="E650" t="str">
        <f>VLOOKUP(D650,Customers!A:H,7,0)</f>
        <v>Business Owner</v>
      </c>
      <c r="F650" t="s">
        <v>259</v>
      </c>
      <c r="G650" t="s">
        <v>66</v>
      </c>
      <c r="H650" t="str">
        <f>IFERROR(VLOOKUP(Transactions!G650,Merchants!A:B,2,FALSE),"Not Found")</f>
        <v>Prime Digital</v>
      </c>
      <c r="I650" s="9">
        <v>57805.61</v>
      </c>
      <c r="J650" s="3">
        <v>173.42</v>
      </c>
      <c r="K650" t="s">
        <v>96</v>
      </c>
      <c r="L650" t="s">
        <v>59</v>
      </c>
      <c r="M650" t="s">
        <v>74</v>
      </c>
      <c r="N650" t="s">
        <v>67</v>
      </c>
      <c r="O650" t="s">
        <v>75</v>
      </c>
      <c r="P650" t="str">
        <f t="shared" si="21"/>
        <v>High Value</v>
      </c>
      <c r="Q650" t="str">
        <f>VLOOKUP(G650,Merchants!A:C,3,TRUE)</f>
        <v>Fuel</v>
      </c>
    </row>
    <row r="651" spans="1:17" x14ac:dyDescent="0.3">
      <c r="A651" t="s">
        <v>1166</v>
      </c>
      <c r="B651" s="2">
        <v>46021.865185185183</v>
      </c>
      <c r="C651" s="2" t="str">
        <f t="shared" si="20"/>
        <v>Dec-2025</v>
      </c>
      <c r="D651" t="s">
        <v>177</v>
      </c>
      <c r="E651" t="str">
        <f>VLOOKUP(D651,Customers!A:H,7,0)</f>
        <v>Self-employed</v>
      </c>
      <c r="F651" t="s">
        <v>321</v>
      </c>
      <c r="G651" t="s">
        <v>85</v>
      </c>
      <c r="H651" t="str">
        <f>IFERROR(VLOOKUP(Transactions!G651,Merchants!A:B,2,FALSE),"Not Found")</f>
        <v>Metro Pay</v>
      </c>
      <c r="I651" s="9">
        <v>23409.360000000001</v>
      </c>
      <c r="J651" s="3">
        <v>70.23</v>
      </c>
      <c r="K651" t="s">
        <v>133</v>
      </c>
      <c r="L651" t="s">
        <v>59</v>
      </c>
      <c r="M651" t="s">
        <v>111</v>
      </c>
      <c r="N651" t="s">
        <v>61</v>
      </c>
      <c r="O651" t="s">
        <v>81</v>
      </c>
      <c r="P651" t="str">
        <f t="shared" si="21"/>
        <v>High Value</v>
      </c>
      <c r="Q651" t="str">
        <f>VLOOKUP(G651,Merchants!A:C,3,TRUE)</f>
        <v>Travel</v>
      </c>
    </row>
    <row r="652" spans="1:17" x14ac:dyDescent="0.3">
      <c r="A652" t="s">
        <v>1167</v>
      </c>
      <c r="B652" s="2">
        <v>45672.228321759263</v>
      </c>
      <c r="C652" s="2" t="str">
        <f t="shared" si="20"/>
        <v>Jan-2025</v>
      </c>
      <c r="D652" t="s">
        <v>625</v>
      </c>
      <c r="E652" t="str">
        <f>VLOOKUP(D652,Customers!A:H,7,0)</f>
        <v>Student</v>
      </c>
      <c r="F652" t="s">
        <v>659</v>
      </c>
      <c r="G652" t="s">
        <v>128</v>
      </c>
      <c r="H652" t="str">
        <f>IFERROR(VLOOKUP(Transactions!G652,Merchants!A:B,2,FALSE),"Not Found")</f>
        <v>Blue Foods</v>
      </c>
      <c r="I652" s="9">
        <v>53800.42</v>
      </c>
      <c r="J652" s="3">
        <v>538</v>
      </c>
      <c r="K652" t="s">
        <v>96</v>
      </c>
      <c r="L652" t="s">
        <v>157</v>
      </c>
      <c r="M652" t="s">
        <v>60</v>
      </c>
      <c r="N652" t="s">
        <v>67</v>
      </c>
      <c r="O652" t="s">
        <v>75</v>
      </c>
      <c r="P652" t="str">
        <f t="shared" si="21"/>
        <v>High Value</v>
      </c>
      <c r="Q652" t="str">
        <f>VLOOKUP(G652,Merchants!A:C,3,TRUE)</f>
        <v>Food &amp; Dining</v>
      </c>
    </row>
    <row r="653" spans="1:17" x14ac:dyDescent="0.3">
      <c r="A653" t="s">
        <v>1168</v>
      </c>
      <c r="B653" s="2">
        <v>45786.962245370371</v>
      </c>
      <c r="C653" s="2" t="str">
        <f t="shared" si="20"/>
        <v>May-2025</v>
      </c>
      <c r="D653" t="s">
        <v>154</v>
      </c>
      <c r="E653" t="str">
        <f>VLOOKUP(D653,Customers!A:H,7,0)</f>
        <v>Self-employed</v>
      </c>
      <c r="F653" t="s">
        <v>1012</v>
      </c>
      <c r="G653" t="s">
        <v>225</v>
      </c>
      <c r="H653" t="str">
        <f>IFERROR(VLOOKUP(Transactions!G653,Merchants!A:B,2,FALSE),"Not Found")</f>
        <v>Quick Retail</v>
      </c>
      <c r="I653" s="9">
        <v>27014.79</v>
      </c>
      <c r="J653" s="3">
        <v>54.03</v>
      </c>
      <c r="K653" t="s">
        <v>96</v>
      </c>
      <c r="L653" t="s">
        <v>157</v>
      </c>
      <c r="M653" t="s">
        <v>111</v>
      </c>
      <c r="N653" t="s">
        <v>61</v>
      </c>
      <c r="O653" t="s">
        <v>62</v>
      </c>
      <c r="P653" t="str">
        <f t="shared" si="21"/>
        <v>High Value</v>
      </c>
      <c r="Q653" t="str">
        <f>VLOOKUP(G653,Merchants!A:C,3,TRUE)</f>
        <v>Grocery</v>
      </c>
    </row>
    <row r="654" spans="1:17" x14ac:dyDescent="0.3">
      <c r="A654" t="s">
        <v>1169</v>
      </c>
      <c r="B654" s="2">
        <v>46014.31821759259</v>
      </c>
      <c r="C654" s="2" t="str">
        <f t="shared" si="20"/>
        <v>Dec-2025</v>
      </c>
      <c r="D654" t="s">
        <v>1170</v>
      </c>
      <c r="E654" t="str">
        <f>VLOOKUP(D654,Customers!A:H,7,0)</f>
        <v>Business Owner</v>
      </c>
      <c r="F654" t="s">
        <v>56</v>
      </c>
      <c r="G654" t="s">
        <v>100</v>
      </c>
      <c r="H654" t="str">
        <f>IFERROR(VLOOKUP(Transactions!G654,Merchants!A:B,2,FALSE),"Not Found")</f>
        <v>Metro Stores</v>
      </c>
      <c r="I654" s="9">
        <v>57147.38</v>
      </c>
      <c r="J654" s="3">
        <v>114.29</v>
      </c>
      <c r="K654" t="s">
        <v>58</v>
      </c>
      <c r="L654" t="s">
        <v>157</v>
      </c>
      <c r="M654" t="s">
        <v>60</v>
      </c>
      <c r="N654" t="s">
        <v>61</v>
      </c>
      <c r="O654" t="s">
        <v>91</v>
      </c>
      <c r="P654" t="str">
        <f t="shared" si="21"/>
        <v>High Value</v>
      </c>
      <c r="Q654" t="str">
        <f>VLOOKUP(G654,Merchants!A:C,3,TRUE)</f>
        <v>Healthcare</v>
      </c>
    </row>
    <row r="655" spans="1:17" x14ac:dyDescent="0.3">
      <c r="A655" t="s">
        <v>1171</v>
      </c>
      <c r="B655" s="2">
        <v>46169.9844212963</v>
      </c>
      <c r="C655" s="2" t="str">
        <f t="shared" si="20"/>
        <v>May-2026</v>
      </c>
      <c r="D655" t="s">
        <v>220</v>
      </c>
      <c r="E655" t="str">
        <f>VLOOKUP(D655,Customers!A:H,7,0)</f>
        <v>Student</v>
      </c>
      <c r="F655" t="s">
        <v>181</v>
      </c>
      <c r="G655" t="s">
        <v>347</v>
      </c>
      <c r="H655" t="str">
        <f>IFERROR(VLOOKUP(Transactions!G655,Merchants!A:B,2,FALSE),"Not Found")</f>
        <v>Nova Hub</v>
      </c>
      <c r="I655" s="9">
        <v>59942.99</v>
      </c>
      <c r="J655" s="3">
        <v>299.70999999999998</v>
      </c>
      <c r="K655" t="s">
        <v>96</v>
      </c>
      <c r="L655" t="s">
        <v>59</v>
      </c>
      <c r="M655" t="s">
        <v>60</v>
      </c>
      <c r="N655" t="s">
        <v>67</v>
      </c>
      <c r="O655" t="s">
        <v>62</v>
      </c>
      <c r="P655" t="str">
        <f t="shared" si="21"/>
        <v>High Value</v>
      </c>
      <c r="Q655" t="str">
        <f>VLOOKUP(G655,Merchants!A:C,3,TRUE)</f>
        <v>Fuel</v>
      </c>
    </row>
    <row r="656" spans="1:17" x14ac:dyDescent="0.3">
      <c r="A656" t="s">
        <v>1172</v>
      </c>
      <c r="B656" s="2">
        <v>46127.649872685193</v>
      </c>
      <c r="C656" s="2" t="str">
        <f t="shared" si="20"/>
        <v>Apr-2026</v>
      </c>
      <c r="D656" t="s">
        <v>568</v>
      </c>
      <c r="E656" t="str">
        <f>VLOOKUP(D656,Customers!A:H,7,0)</f>
        <v>Student</v>
      </c>
      <c r="F656" t="s">
        <v>797</v>
      </c>
      <c r="G656" t="s">
        <v>366</v>
      </c>
      <c r="H656" t="str">
        <f>IFERROR(VLOOKUP(Transactions!G656,Merchants!A:B,2,FALSE),"Not Found")</f>
        <v>Smart Pay</v>
      </c>
      <c r="I656" s="9">
        <v>22449.98</v>
      </c>
      <c r="J656" s="3">
        <v>67.349999999999994</v>
      </c>
      <c r="K656" t="s">
        <v>72</v>
      </c>
      <c r="L656" t="s">
        <v>59</v>
      </c>
      <c r="M656" t="s">
        <v>74</v>
      </c>
      <c r="N656" t="s">
        <v>61</v>
      </c>
      <c r="O656" t="s">
        <v>91</v>
      </c>
      <c r="P656" t="str">
        <f t="shared" si="21"/>
        <v>High Value</v>
      </c>
      <c r="Q656" t="str">
        <f>VLOOKUP(G656,Merchants!A:C,3,TRUE)</f>
        <v>Fashion</v>
      </c>
    </row>
    <row r="657" spans="1:17" x14ac:dyDescent="0.3">
      <c r="A657" t="s">
        <v>1173</v>
      </c>
      <c r="B657" s="2">
        <v>45747.157476851848</v>
      </c>
      <c r="C657" s="2" t="str">
        <f t="shared" si="20"/>
        <v>Mar-2025</v>
      </c>
      <c r="D657" t="s">
        <v>109</v>
      </c>
      <c r="E657" t="str">
        <f>VLOOKUP(D657,Customers!A:H,7,0)</f>
        <v>Salaried</v>
      </c>
      <c r="F657" t="s">
        <v>1050</v>
      </c>
      <c r="G657" t="s">
        <v>208</v>
      </c>
      <c r="H657" t="str">
        <f>IFERROR(VLOOKUP(Transactions!G657,Merchants!A:B,2,FALSE),"Not Found")</f>
        <v>Blue Retail</v>
      </c>
      <c r="I657" s="9">
        <v>5469.31</v>
      </c>
      <c r="J657" s="3">
        <v>54.69</v>
      </c>
      <c r="K657" t="s">
        <v>133</v>
      </c>
      <c r="L657" t="s">
        <v>59</v>
      </c>
      <c r="M657" t="s">
        <v>86</v>
      </c>
      <c r="N657" t="s">
        <v>61</v>
      </c>
      <c r="O657" t="s">
        <v>91</v>
      </c>
      <c r="P657" t="str">
        <f t="shared" si="21"/>
        <v>High Value</v>
      </c>
      <c r="Q657" t="str">
        <f>VLOOKUP(G657,Merchants!A:C,3,TRUE)</f>
        <v>Healthcare</v>
      </c>
    </row>
    <row r="658" spans="1:17" x14ac:dyDescent="0.3">
      <c r="A658" t="s">
        <v>1174</v>
      </c>
      <c r="B658" s="2">
        <v>45954.638124999998</v>
      </c>
      <c r="C658" s="2" t="str">
        <f t="shared" si="20"/>
        <v>Oct-2025</v>
      </c>
      <c r="D658" t="s">
        <v>419</v>
      </c>
      <c r="E658" t="str">
        <f>VLOOKUP(D658,Customers!A:H,7,0)</f>
        <v>Student</v>
      </c>
      <c r="F658" t="s">
        <v>197</v>
      </c>
      <c r="G658" t="s">
        <v>277</v>
      </c>
      <c r="H658" t="str">
        <f>IFERROR(VLOOKUP(Transactions!G658,Merchants!A:B,2,FALSE),"Not Found")</f>
        <v>Daily Digital</v>
      </c>
      <c r="I658" s="9">
        <v>12791.08</v>
      </c>
      <c r="J658" s="3">
        <v>127.91</v>
      </c>
      <c r="K658" t="s">
        <v>58</v>
      </c>
      <c r="L658" t="s">
        <v>80</v>
      </c>
      <c r="M658" t="s">
        <v>60</v>
      </c>
      <c r="N658" t="s">
        <v>61</v>
      </c>
      <c r="O658" t="s">
        <v>75</v>
      </c>
      <c r="P658" t="str">
        <f t="shared" si="21"/>
        <v>High Value</v>
      </c>
      <c r="Q658" t="str">
        <f>VLOOKUP(G658,Merchants!A:C,3,TRUE)</f>
        <v>Grocery</v>
      </c>
    </row>
    <row r="659" spans="1:17" x14ac:dyDescent="0.3">
      <c r="A659" t="s">
        <v>1175</v>
      </c>
      <c r="B659" s="2">
        <v>46063.01152777778</v>
      </c>
      <c r="C659" s="2" t="str">
        <f t="shared" si="20"/>
        <v>Feb-2026</v>
      </c>
      <c r="D659" t="s">
        <v>307</v>
      </c>
      <c r="E659" t="str">
        <f>VLOOKUP(D659,Customers!A:H,7,0)</f>
        <v>Salaried</v>
      </c>
      <c r="F659" t="s">
        <v>393</v>
      </c>
      <c r="G659" t="s">
        <v>85</v>
      </c>
      <c r="H659" t="str">
        <f>IFERROR(VLOOKUP(Transactions!G659,Merchants!A:B,2,FALSE),"Not Found")</f>
        <v>Metro Pay</v>
      </c>
      <c r="I659" s="9">
        <v>56383.05</v>
      </c>
      <c r="J659" s="3">
        <v>281.92</v>
      </c>
      <c r="K659" t="s">
        <v>72</v>
      </c>
      <c r="L659" t="s">
        <v>73</v>
      </c>
      <c r="M659" t="s">
        <v>60</v>
      </c>
      <c r="N659" t="s">
        <v>61</v>
      </c>
      <c r="O659" t="s">
        <v>62</v>
      </c>
      <c r="P659" t="str">
        <f t="shared" si="21"/>
        <v>High Value</v>
      </c>
      <c r="Q659" t="str">
        <f>VLOOKUP(G659,Merchants!A:C,3,TRUE)</f>
        <v>Travel</v>
      </c>
    </row>
    <row r="660" spans="1:17" x14ac:dyDescent="0.3">
      <c r="A660" t="s">
        <v>1176</v>
      </c>
      <c r="B660" s="2">
        <v>45662.628888888888</v>
      </c>
      <c r="C660" s="2" t="str">
        <f t="shared" si="20"/>
        <v>Jan-2025</v>
      </c>
      <c r="D660" t="s">
        <v>461</v>
      </c>
      <c r="E660" t="str">
        <f>VLOOKUP(D660,Customers!A:H,7,0)</f>
        <v>Student</v>
      </c>
      <c r="F660" t="s">
        <v>429</v>
      </c>
      <c r="G660" t="s">
        <v>382</v>
      </c>
      <c r="H660" t="str">
        <f>IFERROR(VLOOKUP(Transactions!G660,Merchants!A:B,2,FALSE),"Not Found")</f>
        <v>Fresh Foods</v>
      </c>
      <c r="I660" s="9">
        <v>2057.21</v>
      </c>
      <c r="J660" s="3">
        <v>10.29</v>
      </c>
      <c r="K660" t="s">
        <v>72</v>
      </c>
      <c r="L660" t="s">
        <v>59</v>
      </c>
      <c r="M660" t="s">
        <v>60</v>
      </c>
      <c r="N660" t="s">
        <v>67</v>
      </c>
      <c r="O660" t="s">
        <v>75</v>
      </c>
      <c r="P660" t="str">
        <f t="shared" si="21"/>
        <v>Standard</v>
      </c>
      <c r="Q660" t="str">
        <f>VLOOKUP(G660,Merchants!A:C,3,TRUE)</f>
        <v>Healthcare</v>
      </c>
    </row>
    <row r="661" spans="1:17" x14ac:dyDescent="0.3">
      <c r="A661" t="s">
        <v>1177</v>
      </c>
      <c r="B661" s="2">
        <v>45905.84306712963</v>
      </c>
      <c r="C661" s="2" t="str">
        <f t="shared" si="20"/>
        <v>Sep-2025</v>
      </c>
      <c r="D661" t="s">
        <v>612</v>
      </c>
      <c r="E661" t="str">
        <f>VLOOKUP(D661,Customers!A:H,7,0)</f>
        <v>Student</v>
      </c>
      <c r="F661" t="s">
        <v>360</v>
      </c>
      <c r="G661" t="s">
        <v>71</v>
      </c>
      <c r="H661" t="str">
        <f>IFERROR(VLOOKUP(Transactions!G661,Merchants!A:B,2,FALSE),"Not Found")</f>
        <v>Metro Pay</v>
      </c>
      <c r="I661" s="9">
        <v>58412.07</v>
      </c>
      <c r="J661" s="3">
        <v>584.12</v>
      </c>
      <c r="K661" t="s">
        <v>96</v>
      </c>
      <c r="L661" t="s">
        <v>59</v>
      </c>
      <c r="M661" t="s">
        <v>111</v>
      </c>
      <c r="N661" t="s">
        <v>61</v>
      </c>
      <c r="O661" t="s">
        <v>62</v>
      </c>
      <c r="P661" t="str">
        <f t="shared" si="21"/>
        <v>High Value</v>
      </c>
      <c r="Q661" t="str">
        <f>VLOOKUP(G661,Merchants!A:C,3,TRUE)</f>
        <v>Fashion</v>
      </c>
    </row>
    <row r="662" spans="1:17" x14ac:dyDescent="0.3">
      <c r="A662" t="s">
        <v>1178</v>
      </c>
      <c r="B662" s="2">
        <v>46070.482604166667</v>
      </c>
      <c r="C662" s="2" t="str">
        <f t="shared" si="20"/>
        <v>Feb-2026</v>
      </c>
      <c r="D662" t="s">
        <v>239</v>
      </c>
      <c r="E662" t="str">
        <f>VLOOKUP(D662,Customers!A:H,7,0)</f>
        <v>Salaried</v>
      </c>
      <c r="F662" t="s">
        <v>131</v>
      </c>
      <c r="G662" t="s">
        <v>124</v>
      </c>
      <c r="H662" t="str">
        <f>IFERROR(VLOOKUP(Transactions!G662,Merchants!A:B,2,FALSE),"Not Found")</f>
        <v>Daily Services</v>
      </c>
      <c r="I662" s="9">
        <v>31084.9</v>
      </c>
      <c r="J662" s="3">
        <v>62.17</v>
      </c>
      <c r="K662" t="s">
        <v>133</v>
      </c>
      <c r="L662" t="s">
        <v>59</v>
      </c>
      <c r="M662" t="s">
        <v>74</v>
      </c>
      <c r="N662" t="s">
        <v>61</v>
      </c>
      <c r="O662" t="s">
        <v>62</v>
      </c>
      <c r="P662" t="str">
        <f t="shared" si="21"/>
        <v>High Value</v>
      </c>
      <c r="Q662" t="str">
        <f>VLOOKUP(G662,Merchants!A:C,3,TRUE)</f>
        <v>Food &amp; Dining</v>
      </c>
    </row>
    <row r="663" spans="1:17" x14ac:dyDescent="0.3">
      <c r="A663" t="s">
        <v>1179</v>
      </c>
      <c r="B663" s="2">
        <v>45988.309108796297</v>
      </c>
      <c r="C663" s="2" t="str">
        <f t="shared" si="20"/>
        <v>Nov-2025</v>
      </c>
      <c r="D663" t="s">
        <v>1126</v>
      </c>
      <c r="E663" t="str">
        <f>VLOOKUP(D663,Customers!A:H,7,0)</f>
        <v>Student</v>
      </c>
      <c r="F663" t="s">
        <v>541</v>
      </c>
      <c r="G663" t="s">
        <v>168</v>
      </c>
      <c r="H663" t="str">
        <f>IFERROR(VLOOKUP(Transactions!G663,Merchants!A:B,2,FALSE),"Not Found")</f>
        <v>Quick Hub</v>
      </c>
      <c r="I663" s="9">
        <v>5685.94</v>
      </c>
      <c r="J663" s="3">
        <v>11.37</v>
      </c>
      <c r="K663" t="s">
        <v>90</v>
      </c>
      <c r="L663" t="s">
        <v>59</v>
      </c>
      <c r="M663" t="s">
        <v>86</v>
      </c>
      <c r="N663" t="s">
        <v>67</v>
      </c>
      <c r="O663" t="s">
        <v>75</v>
      </c>
      <c r="P663" t="str">
        <f t="shared" si="21"/>
        <v>High Value</v>
      </c>
      <c r="Q663" t="str">
        <f>VLOOKUP(G663,Merchants!A:C,3,TRUE)</f>
        <v>Utilities</v>
      </c>
    </row>
    <row r="664" spans="1:17" x14ac:dyDescent="0.3">
      <c r="A664" t="s">
        <v>1180</v>
      </c>
      <c r="B664" s="2">
        <v>45683.19804398148</v>
      </c>
      <c r="C664" s="2" t="str">
        <f t="shared" si="20"/>
        <v>Jan-2025</v>
      </c>
      <c r="D664" t="s">
        <v>1181</v>
      </c>
      <c r="E664" t="str">
        <f>VLOOKUP(D664,Customers!A:H,7,0)</f>
        <v>Business Owner</v>
      </c>
      <c r="F664" t="s">
        <v>844</v>
      </c>
      <c r="G664" t="s">
        <v>156</v>
      </c>
      <c r="H664" t="str">
        <f>IFERROR(VLOOKUP(Transactions!G664,Merchants!A:B,2,FALSE),"Not Found")</f>
        <v>Blue Digital</v>
      </c>
      <c r="I664" s="9">
        <v>59006.51</v>
      </c>
      <c r="J664" s="3">
        <v>295.02999999999997</v>
      </c>
      <c r="K664" t="s">
        <v>90</v>
      </c>
      <c r="L664" t="s">
        <v>80</v>
      </c>
      <c r="M664" t="s">
        <v>60</v>
      </c>
      <c r="N664" t="s">
        <v>67</v>
      </c>
      <c r="O664" t="s">
        <v>62</v>
      </c>
      <c r="P664" t="str">
        <f t="shared" si="21"/>
        <v>High Value</v>
      </c>
      <c r="Q664" t="str">
        <f>VLOOKUP(G664,Merchants!A:C,3,TRUE)</f>
        <v>Electronics</v>
      </c>
    </row>
    <row r="665" spans="1:17" x14ac:dyDescent="0.3">
      <c r="A665" t="s">
        <v>1182</v>
      </c>
      <c r="B665" s="2">
        <v>46045.395150462973</v>
      </c>
      <c r="C665" s="2" t="str">
        <f t="shared" si="20"/>
        <v>Jan-2026</v>
      </c>
      <c r="D665" t="s">
        <v>1126</v>
      </c>
      <c r="E665" t="str">
        <f>VLOOKUP(D665,Customers!A:H,7,0)</f>
        <v>Student</v>
      </c>
      <c r="F665" t="s">
        <v>293</v>
      </c>
      <c r="G665" t="s">
        <v>237</v>
      </c>
      <c r="H665" t="str">
        <f>IFERROR(VLOOKUP(Transactions!G665,Merchants!A:B,2,FALSE),"Not Found")</f>
        <v>Metro Pay</v>
      </c>
      <c r="I665" s="9">
        <v>39589.54</v>
      </c>
      <c r="J665" s="3">
        <v>118.77</v>
      </c>
      <c r="K665" t="s">
        <v>133</v>
      </c>
      <c r="L665" t="s">
        <v>59</v>
      </c>
      <c r="M665" t="s">
        <v>86</v>
      </c>
      <c r="N665" t="s">
        <v>67</v>
      </c>
      <c r="O665" t="s">
        <v>75</v>
      </c>
      <c r="P665" t="str">
        <f t="shared" si="21"/>
        <v>High Value</v>
      </c>
      <c r="Q665" t="str">
        <f>VLOOKUP(G665,Merchants!A:C,3,TRUE)</f>
        <v>Healthcare</v>
      </c>
    </row>
    <row r="666" spans="1:17" x14ac:dyDescent="0.3">
      <c r="A666" t="s">
        <v>1183</v>
      </c>
      <c r="B666" s="2">
        <v>46268.186111111107</v>
      </c>
      <c r="C666" s="2" t="str">
        <f t="shared" si="20"/>
        <v>Sep-2026</v>
      </c>
      <c r="D666" t="s">
        <v>98</v>
      </c>
      <c r="E666" t="str">
        <f>VLOOKUP(D666,Customers!A:H,7,0)</f>
        <v>Self-employed</v>
      </c>
      <c r="F666" t="s">
        <v>1184</v>
      </c>
      <c r="G666" t="s">
        <v>318</v>
      </c>
      <c r="H666" t="str">
        <f>IFERROR(VLOOKUP(Transactions!G666,Merchants!A:B,2,FALSE),"Not Found")</f>
        <v>Urban Digital</v>
      </c>
      <c r="I666" s="9">
        <v>6513.89</v>
      </c>
      <c r="J666" s="3">
        <v>19.54</v>
      </c>
      <c r="K666" t="s">
        <v>72</v>
      </c>
      <c r="L666" t="s">
        <v>59</v>
      </c>
      <c r="M666" t="s">
        <v>111</v>
      </c>
      <c r="N666" t="s">
        <v>61</v>
      </c>
      <c r="O666" t="s">
        <v>91</v>
      </c>
      <c r="P666" t="str">
        <f t="shared" si="21"/>
        <v>High Value</v>
      </c>
      <c r="Q666" t="str">
        <f>VLOOKUP(G666,Merchants!A:C,3,TRUE)</f>
        <v>Utilities</v>
      </c>
    </row>
    <row r="667" spans="1:17" x14ac:dyDescent="0.3">
      <c r="A667" t="s">
        <v>1185</v>
      </c>
      <c r="B667" s="2">
        <v>46160.03329861111</v>
      </c>
      <c r="C667" s="2" t="str">
        <f t="shared" si="20"/>
        <v>May-2026</v>
      </c>
      <c r="D667" t="s">
        <v>609</v>
      </c>
      <c r="E667" t="str">
        <f>VLOOKUP(D667,Customers!A:H,7,0)</f>
        <v>Self-employed</v>
      </c>
      <c r="F667" t="s">
        <v>276</v>
      </c>
      <c r="G667" t="s">
        <v>66</v>
      </c>
      <c r="H667" t="str">
        <f>IFERROR(VLOOKUP(Transactions!G667,Merchants!A:B,2,FALSE),"Not Found")</f>
        <v>Prime Digital</v>
      </c>
      <c r="I667" s="9">
        <v>24883.33</v>
      </c>
      <c r="J667" s="3">
        <v>49.77</v>
      </c>
      <c r="K667" t="s">
        <v>96</v>
      </c>
      <c r="L667" t="s">
        <v>59</v>
      </c>
      <c r="M667" t="s">
        <v>60</v>
      </c>
      <c r="N667" t="s">
        <v>61</v>
      </c>
      <c r="O667" t="s">
        <v>62</v>
      </c>
      <c r="P667" t="str">
        <f t="shared" si="21"/>
        <v>High Value</v>
      </c>
      <c r="Q667" t="str">
        <f>VLOOKUP(G667,Merchants!A:C,3,TRUE)</f>
        <v>Fuel</v>
      </c>
    </row>
    <row r="668" spans="1:17" x14ac:dyDescent="0.3">
      <c r="A668" t="s">
        <v>1186</v>
      </c>
      <c r="B668" s="2">
        <v>45842.453217592592</v>
      </c>
      <c r="C668" s="2" t="str">
        <f t="shared" si="20"/>
        <v>Jul-2025</v>
      </c>
      <c r="D668" t="s">
        <v>159</v>
      </c>
      <c r="E668" t="str">
        <f>VLOOKUP(D668,Customers!A:H,7,0)</f>
        <v>Business Owner</v>
      </c>
      <c r="F668" t="s">
        <v>399</v>
      </c>
      <c r="G668" t="s">
        <v>201</v>
      </c>
      <c r="H668" t="str">
        <f>IFERROR(VLOOKUP(Transactions!G668,Merchants!A:B,2,FALSE),"Not Found")</f>
        <v>Urban Stores</v>
      </c>
      <c r="I668" s="9">
        <v>707.4</v>
      </c>
      <c r="J668" s="3">
        <v>1.41</v>
      </c>
      <c r="K668" t="s">
        <v>72</v>
      </c>
      <c r="L668" t="s">
        <v>59</v>
      </c>
      <c r="M668" t="s">
        <v>74</v>
      </c>
      <c r="N668" t="s">
        <v>67</v>
      </c>
      <c r="O668" t="s">
        <v>62</v>
      </c>
      <c r="P668" t="str">
        <f t="shared" si="21"/>
        <v>Standard</v>
      </c>
      <c r="Q668" t="str">
        <f>VLOOKUP(G668,Merchants!A:C,3,TRUE)</f>
        <v>Entertainment</v>
      </c>
    </row>
    <row r="669" spans="1:17" x14ac:dyDescent="0.3">
      <c r="A669" t="s">
        <v>1187</v>
      </c>
      <c r="B669" s="2">
        <v>46192.386076388888</v>
      </c>
      <c r="C669" s="2" t="str">
        <f t="shared" si="20"/>
        <v>Jun-2026</v>
      </c>
      <c r="D669" t="s">
        <v>275</v>
      </c>
      <c r="E669" t="str">
        <f>VLOOKUP(D669,Customers!A:H,7,0)</f>
        <v>Student</v>
      </c>
      <c r="F669" t="s">
        <v>293</v>
      </c>
      <c r="G669" t="s">
        <v>233</v>
      </c>
      <c r="H669" t="str">
        <f>IFERROR(VLOOKUP(Transactions!G669,Merchants!A:B,2,FALSE),"Not Found")</f>
        <v>Urban Retail</v>
      </c>
      <c r="I669" s="9">
        <v>55602.33</v>
      </c>
      <c r="J669" s="3">
        <v>111.2</v>
      </c>
      <c r="K669" t="s">
        <v>133</v>
      </c>
      <c r="L669" t="s">
        <v>59</v>
      </c>
      <c r="M669" t="s">
        <v>111</v>
      </c>
      <c r="N669" t="s">
        <v>67</v>
      </c>
      <c r="O669" t="s">
        <v>81</v>
      </c>
      <c r="P669" t="str">
        <f t="shared" si="21"/>
        <v>High Value</v>
      </c>
      <c r="Q669" t="str">
        <f>VLOOKUP(G669,Merchants!A:C,3,TRUE)</f>
        <v>Utilities</v>
      </c>
    </row>
    <row r="670" spans="1:17" x14ac:dyDescent="0.3">
      <c r="A670" t="s">
        <v>1188</v>
      </c>
      <c r="B670" s="2">
        <v>45775.329131944447</v>
      </c>
      <c r="C670" s="2" t="str">
        <f t="shared" si="20"/>
        <v>Apr-2025</v>
      </c>
      <c r="D670" t="s">
        <v>759</v>
      </c>
      <c r="E670" t="str">
        <f>VLOOKUP(D670,Customers!A:H,7,0)</f>
        <v>Business Owner</v>
      </c>
      <c r="F670" t="s">
        <v>516</v>
      </c>
      <c r="G670" t="s">
        <v>146</v>
      </c>
      <c r="H670" t="str">
        <f>IFERROR(VLOOKUP(Transactions!G670,Merchants!A:B,2,FALSE),"Not Found")</f>
        <v>Prime Mart</v>
      </c>
      <c r="I670" s="9">
        <v>1866.91</v>
      </c>
      <c r="J670" s="3">
        <v>3.73</v>
      </c>
      <c r="K670" t="s">
        <v>72</v>
      </c>
      <c r="L670" t="s">
        <v>59</v>
      </c>
      <c r="M670" t="s">
        <v>60</v>
      </c>
      <c r="N670" t="s">
        <v>61</v>
      </c>
      <c r="O670" t="s">
        <v>62</v>
      </c>
      <c r="P670" t="str">
        <f t="shared" si="21"/>
        <v>Standard</v>
      </c>
      <c r="Q670" t="str">
        <f>VLOOKUP(G670,Merchants!A:C,3,TRUE)</f>
        <v>Food &amp; Dining</v>
      </c>
    </row>
    <row r="671" spans="1:17" x14ac:dyDescent="0.3">
      <c r="A671" t="s">
        <v>1189</v>
      </c>
      <c r="B671" s="2">
        <v>45752.528761574067</v>
      </c>
      <c r="C671" s="2" t="str">
        <f t="shared" si="20"/>
        <v>Apr-2025</v>
      </c>
      <c r="D671" t="s">
        <v>122</v>
      </c>
      <c r="E671" t="str">
        <f>VLOOKUP(D671,Customers!A:H,7,0)</f>
        <v>Self-employed</v>
      </c>
      <c r="F671" t="s">
        <v>797</v>
      </c>
      <c r="G671" t="s">
        <v>150</v>
      </c>
      <c r="H671" t="str">
        <f>IFERROR(VLOOKUP(Transactions!G671,Merchants!A:B,2,FALSE),"Not Found")</f>
        <v>Nova Services</v>
      </c>
      <c r="I671" s="9">
        <v>42514.21</v>
      </c>
      <c r="J671" s="3">
        <v>425.14</v>
      </c>
      <c r="K671" t="s">
        <v>96</v>
      </c>
      <c r="L671" t="s">
        <v>80</v>
      </c>
      <c r="M671" t="s">
        <v>111</v>
      </c>
      <c r="N671" t="s">
        <v>61</v>
      </c>
      <c r="O671" t="s">
        <v>62</v>
      </c>
      <c r="P671" t="str">
        <f t="shared" si="21"/>
        <v>High Value</v>
      </c>
      <c r="Q671" t="str">
        <f>VLOOKUP(G671,Merchants!A:C,3,TRUE)</f>
        <v>Electronics</v>
      </c>
    </row>
    <row r="672" spans="1:17" x14ac:dyDescent="0.3">
      <c r="A672" t="s">
        <v>1190</v>
      </c>
      <c r="B672" s="2">
        <v>45860.426412037043</v>
      </c>
      <c r="C672" s="2" t="str">
        <f t="shared" si="20"/>
        <v>Jul-2025</v>
      </c>
      <c r="D672" t="s">
        <v>144</v>
      </c>
      <c r="E672" t="str">
        <f>VLOOKUP(D672,Customers!A:H,7,0)</f>
        <v>Self-employed</v>
      </c>
      <c r="F672" t="s">
        <v>561</v>
      </c>
      <c r="G672" t="s">
        <v>57</v>
      </c>
      <c r="H672" t="str">
        <f>IFERROR(VLOOKUP(Transactions!G672,Merchants!A:B,2,FALSE),"Not Found")</f>
        <v>Daily Stores</v>
      </c>
      <c r="I672" s="9">
        <v>57716.09</v>
      </c>
      <c r="J672" s="3">
        <v>288.58</v>
      </c>
      <c r="K672" t="s">
        <v>96</v>
      </c>
      <c r="L672" t="s">
        <v>59</v>
      </c>
      <c r="M672" t="s">
        <v>74</v>
      </c>
      <c r="N672" t="s">
        <v>61</v>
      </c>
      <c r="O672" t="s">
        <v>75</v>
      </c>
      <c r="P672" t="str">
        <f t="shared" si="21"/>
        <v>High Value</v>
      </c>
      <c r="Q672" t="str">
        <f>VLOOKUP(G672,Merchants!A:C,3,TRUE)</f>
        <v>Travel</v>
      </c>
    </row>
    <row r="673" spans="1:17" x14ac:dyDescent="0.3">
      <c r="A673" t="s">
        <v>1191</v>
      </c>
      <c r="B673" s="2">
        <v>46268.412129629629</v>
      </c>
      <c r="C673" s="2" t="str">
        <f t="shared" si="20"/>
        <v>Sep-2026</v>
      </c>
      <c r="D673" t="s">
        <v>102</v>
      </c>
      <c r="E673" t="str">
        <f>VLOOKUP(D673,Customers!A:H,7,0)</f>
        <v>Business Owner</v>
      </c>
      <c r="F673" t="s">
        <v>211</v>
      </c>
      <c r="G673" t="s">
        <v>71</v>
      </c>
      <c r="H673" t="str">
        <f>IFERROR(VLOOKUP(Transactions!G673,Merchants!A:B,2,FALSE),"Not Found")</f>
        <v>Metro Pay</v>
      </c>
      <c r="I673" s="9">
        <v>48971.94</v>
      </c>
      <c r="J673" s="3">
        <v>489.72</v>
      </c>
      <c r="K673" t="s">
        <v>72</v>
      </c>
      <c r="L673" t="s">
        <v>80</v>
      </c>
      <c r="M673" t="s">
        <v>60</v>
      </c>
      <c r="N673" t="s">
        <v>67</v>
      </c>
      <c r="O673" t="s">
        <v>75</v>
      </c>
      <c r="P673" t="str">
        <f t="shared" si="21"/>
        <v>High Value</v>
      </c>
      <c r="Q673" t="str">
        <f>VLOOKUP(G673,Merchants!A:C,3,TRUE)</f>
        <v>Fashion</v>
      </c>
    </row>
    <row r="674" spans="1:17" x14ac:dyDescent="0.3">
      <c r="A674" t="s">
        <v>1192</v>
      </c>
      <c r="B674" s="2">
        <v>45829.051203703697</v>
      </c>
      <c r="C674" s="2" t="str">
        <f t="shared" si="20"/>
        <v>Jun-2025</v>
      </c>
      <c r="D674" t="s">
        <v>1058</v>
      </c>
      <c r="E674" t="str">
        <f>VLOOKUP(D674,Customers!A:H,7,0)</f>
        <v>Business Owner</v>
      </c>
      <c r="F674" t="s">
        <v>1002</v>
      </c>
      <c r="G674" t="s">
        <v>156</v>
      </c>
      <c r="H674" t="str">
        <f>IFERROR(VLOOKUP(Transactions!G674,Merchants!A:B,2,FALSE),"Not Found")</f>
        <v>Blue Digital</v>
      </c>
      <c r="I674" s="9">
        <v>57490.04</v>
      </c>
      <c r="J674" s="3">
        <v>574.9</v>
      </c>
      <c r="K674" t="s">
        <v>133</v>
      </c>
      <c r="L674" t="s">
        <v>59</v>
      </c>
      <c r="M674" t="s">
        <v>60</v>
      </c>
      <c r="N674" t="s">
        <v>61</v>
      </c>
      <c r="O674" t="s">
        <v>91</v>
      </c>
      <c r="P674" t="str">
        <f t="shared" si="21"/>
        <v>High Value</v>
      </c>
      <c r="Q674" t="str">
        <f>VLOOKUP(G674,Merchants!A:C,3,TRUE)</f>
        <v>Electronics</v>
      </c>
    </row>
    <row r="675" spans="1:17" x14ac:dyDescent="0.3">
      <c r="A675" t="s">
        <v>1193</v>
      </c>
      <c r="B675" s="2">
        <v>45775.272916666669</v>
      </c>
      <c r="C675" s="2" t="str">
        <f t="shared" si="20"/>
        <v>Apr-2025</v>
      </c>
      <c r="D675" t="s">
        <v>914</v>
      </c>
      <c r="E675" t="str">
        <f>VLOOKUP(D675,Customers!A:H,7,0)</f>
        <v>Student</v>
      </c>
      <c r="F675" t="s">
        <v>467</v>
      </c>
      <c r="G675" t="s">
        <v>430</v>
      </c>
      <c r="H675" t="str">
        <f>IFERROR(VLOOKUP(Transactions!G675,Merchants!A:B,2,FALSE),"Not Found")</f>
        <v>Prime Foods</v>
      </c>
      <c r="I675" s="9">
        <v>48561.52</v>
      </c>
      <c r="J675" s="3">
        <v>145.68</v>
      </c>
      <c r="K675" t="s">
        <v>90</v>
      </c>
      <c r="L675" t="s">
        <v>59</v>
      </c>
      <c r="M675" t="s">
        <v>60</v>
      </c>
      <c r="N675" t="s">
        <v>61</v>
      </c>
      <c r="O675" t="s">
        <v>62</v>
      </c>
      <c r="P675" t="str">
        <f t="shared" si="21"/>
        <v>High Value</v>
      </c>
      <c r="Q675" t="str">
        <f>VLOOKUP(G675,Merchants!A:C,3,TRUE)</f>
        <v>Entertainment</v>
      </c>
    </row>
    <row r="676" spans="1:17" x14ac:dyDescent="0.3">
      <c r="A676" t="s">
        <v>1194</v>
      </c>
      <c r="B676" s="2">
        <v>45979.185532407413</v>
      </c>
      <c r="C676" s="2" t="str">
        <f t="shared" si="20"/>
        <v>Nov-2025</v>
      </c>
      <c r="D676" t="s">
        <v>491</v>
      </c>
      <c r="E676" t="str">
        <f>VLOOKUP(D676,Customers!A:H,7,0)</f>
        <v>Student</v>
      </c>
      <c r="F676" t="s">
        <v>544</v>
      </c>
      <c r="G676" t="s">
        <v>71</v>
      </c>
      <c r="H676" t="str">
        <f>IFERROR(VLOOKUP(Transactions!G676,Merchants!A:B,2,FALSE),"Not Found")</f>
        <v>Metro Pay</v>
      </c>
      <c r="I676" s="9">
        <v>677.02</v>
      </c>
      <c r="J676" s="3">
        <v>3.39</v>
      </c>
      <c r="K676" t="s">
        <v>72</v>
      </c>
      <c r="L676" t="s">
        <v>80</v>
      </c>
      <c r="M676" t="s">
        <v>111</v>
      </c>
      <c r="N676" t="s">
        <v>67</v>
      </c>
      <c r="O676" t="s">
        <v>75</v>
      </c>
      <c r="P676" t="str">
        <f t="shared" si="21"/>
        <v>Standard</v>
      </c>
      <c r="Q676" t="str">
        <f>VLOOKUP(G676,Merchants!A:C,3,TRUE)</f>
        <v>Fashion</v>
      </c>
    </row>
    <row r="677" spans="1:17" x14ac:dyDescent="0.3">
      <c r="A677" t="s">
        <v>1195</v>
      </c>
      <c r="B677" s="2">
        <v>45948.912951388891</v>
      </c>
      <c r="C677" s="2" t="str">
        <f t="shared" si="20"/>
        <v>Oct-2025</v>
      </c>
      <c r="D677" t="s">
        <v>435</v>
      </c>
      <c r="E677" t="str">
        <f>VLOOKUP(D677,Customers!A:H,7,0)</f>
        <v>Business Owner</v>
      </c>
      <c r="F677" t="s">
        <v>224</v>
      </c>
      <c r="G677" t="s">
        <v>85</v>
      </c>
      <c r="H677" t="str">
        <f>IFERROR(VLOOKUP(Transactions!G677,Merchants!A:B,2,FALSE),"Not Found")</f>
        <v>Metro Pay</v>
      </c>
      <c r="I677" s="9">
        <v>12809.29</v>
      </c>
      <c r="J677" s="3">
        <v>64.05</v>
      </c>
      <c r="K677" t="s">
        <v>58</v>
      </c>
      <c r="L677" t="s">
        <v>59</v>
      </c>
      <c r="M677" t="s">
        <v>74</v>
      </c>
      <c r="N677" t="s">
        <v>61</v>
      </c>
      <c r="O677" t="s">
        <v>81</v>
      </c>
      <c r="P677" t="str">
        <f t="shared" si="21"/>
        <v>High Value</v>
      </c>
      <c r="Q677" t="str">
        <f>VLOOKUP(G677,Merchants!A:C,3,TRUE)</f>
        <v>Travel</v>
      </c>
    </row>
    <row r="678" spans="1:17" x14ac:dyDescent="0.3">
      <c r="A678" t="s">
        <v>1196</v>
      </c>
      <c r="B678" s="2">
        <v>45985.30059027778</v>
      </c>
      <c r="C678" s="2" t="str">
        <f t="shared" si="20"/>
        <v>Nov-2025</v>
      </c>
      <c r="D678" t="s">
        <v>639</v>
      </c>
      <c r="E678" t="str">
        <f>VLOOKUP(D678,Customers!A:H,7,0)</f>
        <v>Self-employed</v>
      </c>
      <c r="F678" t="s">
        <v>290</v>
      </c>
      <c r="G678" t="s">
        <v>66</v>
      </c>
      <c r="H678" t="str">
        <f>IFERROR(VLOOKUP(Transactions!G678,Merchants!A:B,2,FALSE),"Not Found")</f>
        <v>Prime Digital</v>
      </c>
      <c r="I678" s="9">
        <v>11907.68</v>
      </c>
      <c r="J678" s="3">
        <v>119.08</v>
      </c>
      <c r="K678" t="s">
        <v>58</v>
      </c>
      <c r="L678" t="s">
        <v>73</v>
      </c>
      <c r="M678" t="s">
        <v>86</v>
      </c>
      <c r="N678" t="s">
        <v>61</v>
      </c>
      <c r="O678" t="s">
        <v>62</v>
      </c>
      <c r="P678" t="str">
        <f t="shared" si="21"/>
        <v>High Value</v>
      </c>
      <c r="Q678" t="str">
        <f>VLOOKUP(G678,Merchants!A:C,3,TRUE)</f>
        <v>Fuel</v>
      </c>
    </row>
    <row r="679" spans="1:17" x14ac:dyDescent="0.3">
      <c r="A679" t="s">
        <v>1197</v>
      </c>
      <c r="B679" s="2">
        <v>46273.495879629627</v>
      </c>
      <c r="C679" s="2" t="str">
        <f t="shared" si="20"/>
        <v>Sep-2026</v>
      </c>
      <c r="D679" t="s">
        <v>481</v>
      </c>
      <c r="E679" t="str">
        <f>VLOOKUP(D679,Customers!A:H,7,0)</f>
        <v>Student</v>
      </c>
      <c r="F679" t="s">
        <v>722</v>
      </c>
      <c r="G679" t="s">
        <v>156</v>
      </c>
      <c r="H679" t="str">
        <f>IFERROR(VLOOKUP(Transactions!G679,Merchants!A:B,2,FALSE),"Not Found")</f>
        <v>Blue Digital</v>
      </c>
      <c r="I679" s="9">
        <v>35511.15</v>
      </c>
      <c r="J679" s="3">
        <v>71.02</v>
      </c>
      <c r="K679" t="s">
        <v>133</v>
      </c>
      <c r="L679" t="s">
        <v>59</v>
      </c>
      <c r="M679" t="s">
        <v>86</v>
      </c>
      <c r="N679" t="s">
        <v>61</v>
      </c>
      <c r="O679" t="s">
        <v>81</v>
      </c>
      <c r="P679" t="str">
        <f t="shared" si="21"/>
        <v>High Value</v>
      </c>
      <c r="Q679" t="str">
        <f>VLOOKUP(G679,Merchants!A:C,3,TRUE)</f>
        <v>Electronics</v>
      </c>
    </row>
    <row r="680" spans="1:17" x14ac:dyDescent="0.3">
      <c r="A680" t="s">
        <v>1198</v>
      </c>
      <c r="B680" s="2">
        <v>45792.611076388886</v>
      </c>
      <c r="C680" s="2" t="str">
        <f t="shared" si="20"/>
        <v>May-2025</v>
      </c>
      <c r="D680" t="s">
        <v>88</v>
      </c>
      <c r="E680" t="str">
        <f>VLOOKUP(D680,Customers!A:H,7,0)</f>
        <v>Salaried</v>
      </c>
      <c r="F680" t="s">
        <v>855</v>
      </c>
      <c r="G680" t="s">
        <v>783</v>
      </c>
      <c r="H680" t="str">
        <f>IFERROR(VLOOKUP(Transactions!G680,Merchants!A:B,2,FALSE),"Not Found")</f>
        <v>Daily Stores</v>
      </c>
      <c r="I680" s="9">
        <v>2316.79</v>
      </c>
      <c r="J680" s="3">
        <v>4.63</v>
      </c>
      <c r="K680" t="s">
        <v>58</v>
      </c>
      <c r="L680" t="s">
        <v>59</v>
      </c>
      <c r="M680" t="s">
        <v>74</v>
      </c>
      <c r="N680" t="s">
        <v>67</v>
      </c>
      <c r="O680" t="s">
        <v>75</v>
      </c>
      <c r="P680" t="str">
        <f t="shared" si="21"/>
        <v>Standard</v>
      </c>
      <c r="Q680" t="str">
        <f>VLOOKUP(G680,Merchants!A:C,3,TRUE)</f>
        <v>Entertainment</v>
      </c>
    </row>
    <row r="681" spans="1:17" x14ac:dyDescent="0.3">
      <c r="A681" t="s">
        <v>1199</v>
      </c>
      <c r="B681" s="2">
        <v>45966.416689814818</v>
      </c>
      <c r="C681" s="2" t="str">
        <f t="shared" si="20"/>
        <v>Nov-2025</v>
      </c>
      <c r="D681" t="s">
        <v>194</v>
      </c>
      <c r="E681" t="str">
        <f>VLOOKUP(D681,Customers!A:H,7,0)</f>
        <v>Self-employed</v>
      </c>
      <c r="F681" t="s">
        <v>1200</v>
      </c>
      <c r="G681" t="s">
        <v>182</v>
      </c>
      <c r="H681" t="str">
        <f>IFERROR(VLOOKUP(Transactions!G681,Merchants!A:B,2,FALSE),"Not Found")</f>
        <v>Fresh Hub</v>
      </c>
      <c r="I681" s="9">
        <v>19099.66</v>
      </c>
      <c r="J681" s="3">
        <v>38.200000000000003</v>
      </c>
      <c r="K681" t="s">
        <v>96</v>
      </c>
      <c r="L681" t="s">
        <v>59</v>
      </c>
      <c r="M681" t="s">
        <v>86</v>
      </c>
      <c r="N681" t="s">
        <v>61</v>
      </c>
      <c r="O681" t="s">
        <v>81</v>
      </c>
      <c r="P681" t="str">
        <f t="shared" si="21"/>
        <v>High Value</v>
      </c>
      <c r="Q681" t="str">
        <f>VLOOKUP(G681,Merchants!A:C,3,TRUE)</f>
        <v>Healthcare</v>
      </c>
    </row>
    <row r="682" spans="1:17" x14ac:dyDescent="0.3">
      <c r="A682" t="s">
        <v>1201</v>
      </c>
      <c r="B682" s="2">
        <v>46123.748402777783</v>
      </c>
      <c r="C682" s="2" t="str">
        <f t="shared" si="20"/>
        <v>Apr-2026</v>
      </c>
      <c r="D682" t="s">
        <v>292</v>
      </c>
      <c r="E682" t="str">
        <f>VLOOKUP(D682,Customers!A:H,7,0)</f>
        <v>Self-employed</v>
      </c>
      <c r="F682" t="s">
        <v>516</v>
      </c>
      <c r="G682" t="s">
        <v>208</v>
      </c>
      <c r="H682" t="str">
        <f>IFERROR(VLOOKUP(Transactions!G682,Merchants!A:B,2,FALSE),"Not Found")</f>
        <v>Blue Retail</v>
      </c>
      <c r="I682" s="9">
        <v>50935.47</v>
      </c>
      <c r="J682" s="3">
        <v>101.87</v>
      </c>
      <c r="K682" t="s">
        <v>58</v>
      </c>
      <c r="L682" t="s">
        <v>157</v>
      </c>
      <c r="M682" t="s">
        <v>86</v>
      </c>
      <c r="N682" t="s">
        <v>67</v>
      </c>
      <c r="O682" t="s">
        <v>91</v>
      </c>
      <c r="P682" t="str">
        <f t="shared" si="21"/>
        <v>High Value</v>
      </c>
      <c r="Q682" t="str">
        <f>VLOOKUP(G682,Merchants!A:C,3,TRUE)</f>
        <v>Healthcare</v>
      </c>
    </row>
    <row r="683" spans="1:17" x14ac:dyDescent="0.3">
      <c r="A683" t="s">
        <v>1202</v>
      </c>
      <c r="B683" s="2">
        <v>45668.210462962961</v>
      </c>
      <c r="C683" s="2" t="str">
        <f t="shared" si="20"/>
        <v>Jan-2025</v>
      </c>
      <c r="D683" t="s">
        <v>407</v>
      </c>
      <c r="E683" t="str">
        <f>VLOOKUP(D683,Customers!A:H,7,0)</f>
        <v>Salaried</v>
      </c>
      <c r="F683" t="s">
        <v>497</v>
      </c>
      <c r="G683" t="s">
        <v>103</v>
      </c>
      <c r="H683" t="str">
        <f>IFERROR(VLOOKUP(Transactions!G683,Merchants!A:B,2,FALSE),"Not Found")</f>
        <v>Nova Pay</v>
      </c>
      <c r="I683" s="9">
        <v>6397.63</v>
      </c>
      <c r="J683" s="3">
        <v>63.98</v>
      </c>
      <c r="K683" t="s">
        <v>90</v>
      </c>
      <c r="L683" t="s">
        <v>59</v>
      </c>
      <c r="M683" t="s">
        <v>60</v>
      </c>
      <c r="N683" t="s">
        <v>67</v>
      </c>
      <c r="O683" t="s">
        <v>91</v>
      </c>
      <c r="P683" t="str">
        <f t="shared" si="21"/>
        <v>High Value</v>
      </c>
      <c r="Q683" t="str">
        <f>VLOOKUP(G683,Merchants!A:C,3,TRUE)</f>
        <v>Fashion</v>
      </c>
    </row>
    <row r="684" spans="1:17" x14ac:dyDescent="0.3">
      <c r="A684" t="s">
        <v>1203</v>
      </c>
      <c r="B684" s="2">
        <v>45923.065347222233</v>
      </c>
      <c r="C684" s="2" t="str">
        <f t="shared" si="20"/>
        <v>Sep-2025</v>
      </c>
      <c r="D684" t="s">
        <v>352</v>
      </c>
      <c r="E684" t="str">
        <f>VLOOKUP(D684,Customers!A:H,7,0)</f>
        <v>Self-employed</v>
      </c>
      <c r="F684" t="s">
        <v>1204</v>
      </c>
      <c r="G684" t="s">
        <v>107</v>
      </c>
      <c r="H684" t="str">
        <f>IFERROR(VLOOKUP(Transactions!G684,Merchants!A:B,2,FALSE),"Not Found")</f>
        <v>Blue Services</v>
      </c>
      <c r="I684" s="9">
        <v>6737.14</v>
      </c>
      <c r="J684" s="3">
        <v>13.47</v>
      </c>
      <c r="K684" t="s">
        <v>133</v>
      </c>
      <c r="L684" t="s">
        <v>157</v>
      </c>
      <c r="M684" t="s">
        <v>74</v>
      </c>
      <c r="N684" t="s">
        <v>61</v>
      </c>
      <c r="O684" t="s">
        <v>62</v>
      </c>
      <c r="P684" t="str">
        <f t="shared" si="21"/>
        <v>High Value</v>
      </c>
      <c r="Q684" t="str">
        <f>VLOOKUP(G684,Merchants!A:C,3,TRUE)</f>
        <v>Travel</v>
      </c>
    </row>
    <row r="685" spans="1:17" x14ac:dyDescent="0.3">
      <c r="A685" t="s">
        <v>1205</v>
      </c>
      <c r="B685" s="2">
        <v>45799.885115740741</v>
      </c>
      <c r="C685" s="2" t="str">
        <f t="shared" si="20"/>
        <v>May-2025</v>
      </c>
      <c r="D685" t="s">
        <v>217</v>
      </c>
      <c r="E685" t="str">
        <f>VLOOKUP(D685,Customers!A:H,7,0)</f>
        <v>Self-employed</v>
      </c>
      <c r="F685" t="s">
        <v>329</v>
      </c>
      <c r="G685" t="s">
        <v>66</v>
      </c>
      <c r="H685" t="str">
        <f>IFERROR(VLOOKUP(Transactions!G685,Merchants!A:B,2,FALSE),"Not Found")</f>
        <v>Prime Digital</v>
      </c>
      <c r="I685" s="9">
        <v>27695.56</v>
      </c>
      <c r="J685" s="3">
        <v>83.09</v>
      </c>
      <c r="K685" t="s">
        <v>96</v>
      </c>
      <c r="L685" t="s">
        <v>59</v>
      </c>
      <c r="M685" t="s">
        <v>86</v>
      </c>
      <c r="N685" t="s">
        <v>67</v>
      </c>
      <c r="O685" t="s">
        <v>75</v>
      </c>
      <c r="P685" t="str">
        <f t="shared" si="21"/>
        <v>High Value</v>
      </c>
      <c r="Q685" t="str">
        <f>VLOOKUP(G685,Merchants!A:C,3,TRUE)</f>
        <v>Fuel</v>
      </c>
    </row>
    <row r="686" spans="1:17" x14ac:dyDescent="0.3">
      <c r="A686" t="s">
        <v>1206</v>
      </c>
      <c r="B686" s="2">
        <v>46159.42559027778</v>
      </c>
      <c r="C686" s="2" t="str">
        <f t="shared" si="20"/>
        <v>May-2026</v>
      </c>
      <c r="D686" t="s">
        <v>98</v>
      </c>
      <c r="E686" t="str">
        <f>VLOOKUP(D686,Customers!A:H,7,0)</f>
        <v>Self-employed</v>
      </c>
      <c r="F686" t="s">
        <v>1207</v>
      </c>
      <c r="G686" t="s">
        <v>132</v>
      </c>
      <c r="H686" t="str">
        <f>IFERROR(VLOOKUP(Transactions!G686,Merchants!A:B,2,FALSE),"Not Found")</f>
        <v>Metro Retail</v>
      </c>
      <c r="I686" s="9">
        <v>19382.490000000002</v>
      </c>
      <c r="J686" s="3">
        <v>58.15</v>
      </c>
      <c r="K686" t="s">
        <v>58</v>
      </c>
      <c r="L686" t="s">
        <v>80</v>
      </c>
      <c r="M686" t="s">
        <v>60</v>
      </c>
      <c r="N686" t="s">
        <v>67</v>
      </c>
      <c r="O686" t="s">
        <v>62</v>
      </c>
      <c r="P686" t="str">
        <f t="shared" si="21"/>
        <v>High Value</v>
      </c>
      <c r="Q686" t="str">
        <f>VLOOKUP(G686,Merchants!A:C,3,TRUE)</f>
        <v>Entertainment</v>
      </c>
    </row>
    <row r="687" spans="1:17" x14ac:dyDescent="0.3">
      <c r="A687" t="s">
        <v>1208</v>
      </c>
      <c r="B687" s="2">
        <v>45737.113993055558</v>
      </c>
      <c r="C687" s="2" t="str">
        <f t="shared" si="20"/>
        <v>Mar-2025</v>
      </c>
      <c r="D687" t="s">
        <v>246</v>
      </c>
      <c r="E687" t="str">
        <f>VLOOKUP(D687,Customers!A:H,7,0)</f>
        <v>Student</v>
      </c>
      <c r="F687" t="s">
        <v>1012</v>
      </c>
      <c r="G687" t="s">
        <v>554</v>
      </c>
      <c r="H687" t="str">
        <f>IFERROR(VLOOKUP(Transactions!G687,Merchants!A:B,2,FALSE),"Not Found")</f>
        <v>Green Pay</v>
      </c>
      <c r="I687" s="9">
        <v>58308.74</v>
      </c>
      <c r="J687" s="3">
        <v>116.62</v>
      </c>
      <c r="K687" t="s">
        <v>96</v>
      </c>
      <c r="L687" t="s">
        <v>59</v>
      </c>
      <c r="M687" t="s">
        <v>111</v>
      </c>
      <c r="N687" t="s">
        <v>61</v>
      </c>
      <c r="O687" t="s">
        <v>91</v>
      </c>
      <c r="P687" t="str">
        <f t="shared" si="21"/>
        <v>High Value</v>
      </c>
      <c r="Q687" t="str">
        <f>VLOOKUP(G687,Merchants!A:C,3,TRUE)</f>
        <v>Utilities</v>
      </c>
    </row>
    <row r="688" spans="1:17" x14ac:dyDescent="0.3">
      <c r="A688" t="s">
        <v>1209</v>
      </c>
      <c r="B688" s="2">
        <v>46006.31653935185</v>
      </c>
      <c r="C688" s="2" t="str">
        <f t="shared" si="20"/>
        <v>Dec-2025</v>
      </c>
      <c r="D688" t="s">
        <v>138</v>
      </c>
      <c r="E688" t="str">
        <f>VLOOKUP(D688,Customers!A:H,7,0)</f>
        <v>Self-employed</v>
      </c>
      <c r="F688" t="s">
        <v>412</v>
      </c>
      <c r="G688" t="s">
        <v>554</v>
      </c>
      <c r="H688" t="str">
        <f>IFERROR(VLOOKUP(Transactions!G688,Merchants!A:B,2,FALSE),"Not Found")</f>
        <v>Green Pay</v>
      </c>
      <c r="I688" s="9">
        <v>48858.33</v>
      </c>
      <c r="J688" s="3">
        <v>244.29</v>
      </c>
      <c r="K688" t="s">
        <v>90</v>
      </c>
      <c r="L688" t="s">
        <v>80</v>
      </c>
      <c r="M688" t="s">
        <v>86</v>
      </c>
      <c r="N688" t="s">
        <v>67</v>
      </c>
      <c r="O688" t="s">
        <v>62</v>
      </c>
      <c r="P688" t="str">
        <f t="shared" si="21"/>
        <v>High Value</v>
      </c>
      <c r="Q688" t="str">
        <f>VLOOKUP(G688,Merchants!A:C,3,TRUE)</f>
        <v>Utilities</v>
      </c>
    </row>
    <row r="689" spans="1:17" x14ac:dyDescent="0.3">
      <c r="A689" t="s">
        <v>1210</v>
      </c>
      <c r="B689" s="2">
        <v>46030.584930555553</v>
      </c>
      <c r="C689" s="2" t="str">
        <f t="shared" si="20"/>
        <v>Jan-2026</v>
      </c>
      <c r="D689" t="s">
        <v>521</v>
      </c>
      <c r="E689" t="str">
        <f>VLOOKUP(D689,Customers!A:H,7,0)</f>
        <v>Self-employed</v>
      </c>
      <c r="F689" t="s">
        <v>774</v>
      </c>
      <c r="G689" t="s">
        <v>430</v>
      </c>
      <c r="H689" t="str">
        <f>IFERROR(VLOOKUP(Transactions!G689,Merchants!A:B,2,FALSE),"Not Found")</f>
        <v>Prime Foods</v>
      </c>
      <c r="I689" s="9">
        <v>58506.37</v>
      </c>
      <c r="J689" s="3">
        <v>175.52</v>
      </c>
      <c r="K689" t="s">
        <v>72</v>
      </c>
      <c r="L689" t="s">
        <v>73</v>
      </c>
      <c r="M689" t="s">
        <v>74</v>
      </c>
      <c r="N689" t="s">
        <v>67</v>
      </c>
      <c r="O689" t="s">
        <v>81</v>
      </c>
      <c r="P689" t="str">
        <f t="shared" si="21"/>
        <v>High Value</v>
      </c>
      <c r="Q689" t="str">
        <f>VLOOKUP(G689,Merchants!A:C,3,TRUE)</f>
        <v>Entertainment</v>
      </c>
    </row>
    <row r="690" spans="1:17" x14ac:dyDescent="0.3">
      <c r="A690" t="s">
        <v>1211</v>
      </c>
      <c r="B690" s="2">
        <v>46249.983611111107</v>
      </c>
      <c r="C690" s="2" t="str">
        <f t="shared" si="20"/>
        <v>Aug-2026</v>
      </c>
      <c r="D690" t="s">
        <v>231</v>
      </c>
      <c r="E690" t="str">
        <f>VLOOKUP(D690,Customers!A:H,7,0)</f>
        <v>Student</v>
      </c>
      <c r="F690" t="s">
        <v>844</v>
      </c>
      <c r="G690" t="s">
        <v>783</v>
      </c>
      <c r="H690" t="str">
        <f>IFERROR(VLOOKUP(Transactions!G690,Merchants!A:B,2,FALSE),"Not Found")</f>
        <v>Daily Stores</v>
      </c>
      <c r="I690" s="9">
        <v>6213.65</v>
      </c>
      <c r="J690" s="3">
        <v>12.43</v>
      </c>
      <c r="K690" t="s">
        <v>96</v>
      </c>
      <c r="L690" t="s">
        <v>59</v>
      </c>
      <c r="M690" t="s">
        <v>111</v>
      </c>
      <c r="N690" t="s">
        <v>61</v>
      </c>
      <c r="O690" t="s">
        <v>91</v>
      </c>
      <c r="P690" t="str">
        <f t="shared" si="21"/>
        <v>High Value</v>
      </c>
      <c r="Q690" t="str">
        <f>VLOOKUP(G690,Merchants!A:C,3,TRUE)</f>
        <v>Entertainment</v>
      </c>
    </row>
    <row r="691" spans="1:17" x14ac:dyDescent="0.3">
      <c r="A691" t="s">
        <v>1212</v>
      </c>
      <c r="B691" s="2">
        <v>46145.80537037037</v>
      </c>
      <c r="C691" s="2" t="str">
        <f t="shared" si="20"/>
        <v>May-2026</v>
      </c>
      <c r="D691" t="s">
        <v>220</v>
      </c>
      <c r="E691" t="str">
        <f>VLOOKUP(D691,Customers!A:H,7,0)</f>
        <v>Student</v>
      </c>
      <c r="F691" t="s">
        <v>827</v>
      </c>
      <c r="G691" t="s">
        <v>57</v>
      </c>
      <c r="H691" t="str">
        <f>IFERROR(VLOOKUP(Transactions!G691,Merchants!A:B,2,FALSE),"Not Found")</f>
        <v>Daily Stores</v>
      </c>
      <c r="I691" s="9">
        <v>27213.19</v>
      </c>
      <c r="J691" s="3">
        <v>54.43</v>
      </c>
      <c r="K691" t="s">
        <v>90</v>
      </c>
      <c r="L691" t="s">
        <v>59</v>
      </c>
      <c r="M691" t="s">
        <v>74</v>
      </c>
      <c r="N691" t="s">
        <v>61</v>
      </c>
      <c r="O691" t="s">
        <v>81</v>
      </c>
      <c r="P691" t="str">
        <f t="shared" si="21"/>
        <v>High Value</v>
      </c>
      <c r="Q691" t="str">
        <f>VLOOKUP(G691,Merchants!A:C,3,TRUE)</f>
        <v>Travel</v>
      </c>
    </row>
    <row r="692" spans="1:17" x14ac:dyDescent="0.3">
      <c r="A692" t="s">
        <v>1213</v>
      </c>
      <c r="B692" s="2">
        <v>45712.669525462959</v>
      </c>
      <c r="C692" s="2" t="str">
        <f t="shared" si="20"/>
        <v>Feb-2025</v>
      </c>
      <c r="D692" t="s">
        <v>1074</v>
      </c>
      <c r="E692" t="str">
        <f>VLOOKUP(D692,Customers!A:H,7,0)</f>
        <v>Self-employed</v>
      </c>
      <c r="F692" t="s">
        <v>557</v>
      </c>
      <c r="G692" t="s">
        <v>132</v>
      </c>
      <c r="H692" t="str">
        <f>IFERROR(VLOOKUP(Transactions!G692,Merchants!A:B,2,FALSE),"Not Found")</f>
        <v>Metro Retail</v>
      </c>
      <c r="I692" s="9">
        <v>16428.07</v>
      </c>
      <c r="J692" s="3">
        <v>164.28</v>
      </c>
      <c r="K692" t="s">
        <v>90</v>
      </c>
      <c r="L692" t="s">
        <v>59</v>
      </c>
      <c r="M692" t="s">
        <v>74</v>
      </c>
      <c r="N692" t="s">
        <v>67</v>
      </c>
      <c r="O692" t="s">
        <v>81</v>
      </c>
      <c r="P692" t="str">
        <f t="shared" si="21"/>
        <v>High Value</v>
      </c>
      <c r="Q692" t="str">
        <f>VLOOKUP(G692,Merchants!A:C,3,TRUE)</f>
        <v>Entertainment</v>
      </c>
    </row>
    <row r="693" spans="1:17" x14ac:dyDescent="0.3">
      <c r="A693" t="s">
        <v>1214</v>
      </c>
      <c r="B693" s="2">
        <v>46200.921516203707</v>
      </c>
      <c r="C693" s="2" t="str">
        <f t="shared" si="20"/>
        <v>Jun-2026</v>
      </c>
      <c r="D693" t="s">
        <v>428</v>
      </c>
      <c r="E693" t="str">
        <f>VLOOKUP(D693,Customers!A:H,7,0)</f>
        <v>Business Owner</v>
      </c>
      <c r="F693" t="s">
        <v>301</v>
      </c>
      <c r="G693" t="s">
        <v>124</v>
      </c>
      <c r="H693" t="str">
        <f>IFERROR(VLOOKUP(Transactions!G693,Merchants!A:B,2,FALSE),"Not Found")</f>
        <v>Daily Services</v>
      </c>
      <c r="I693" s="9">
        <v>29667.61</v>
      </c>
      <c r="J693" s="3">
        <v>59.34</v>
      </c>
      <c r="K693" t="s">
        <v>90</v>
      </c>
      <c r="L693" t="s">
        <v>59</v>
      </c>
      <c r="M693" t="s">
        <v>86</v>
      </c>
      <c r="N693" t="s">
        <v>67</v>
      </c>
      <c r="O693" t="s">
        <v>91</v>
      </c>
      <c r="P693" t="str">
        <f t="shared" si="21"/>
        <v>High Value</v>
      </c>
      <c r="Q693" t="str">
        <f>VLOOKUP(G693,Merchants!A:C,3,TRUE)</f>
        <v>Food &amp; Dining</v>
      </c>
    </row>
    <row r="694" spans="1:17" x14ac:dyDescent="0.3">
      <c r="A694" t="s">
        <v>1215</v>
      </c>
      <c r="B694" s="2">
        <v>46247.403796296298</v>
      </c>
      <c r="C694" s="2" t="str">
        <f t="shared" si="20"/>
        <v>Aug-2026</v>
      </c>
      <c r="D694" t="s">
        <v>407</v>
      </c>
      <c r="E694" t="str">
        <f>VLOOKUP(D694,Customers!A:H,7,0)</f>
        <v>Salaried</v>
      </c>
      <c r="F694" t="s">
        <v>393</v>
      </c>
      <c r="G694" t="s">
        <v>208</v>
      </c>
      <c r="H694" t="str">
        <f>IFERROR(VLOOKUP(Transactions!G694,Merchants!A:B,2,FALSE),"Not Found")</f>
        <v>Blue Retail</v>
      </c>
      <c r="I694" s="9">
        <v>14402.15</v>
      </c>
      <c r="J694" s="3">
        <v>72.010000000000005</v>
      </c>
      <c r="K694" t="s">
        <v>96</v>
      </c>
      <c r="L694" t="s">
        <v>59</v>
      </c>
      <c r="M694" t="s">
        <v>74</v>
      </c>
      <c r="N694" t="s">
        <v>61</v>
      </c>
      <c r="O694" t="s">
        <v>91</v>
      </c>
      <c r="P694" t="str">
        <f t="shared" si="21"/>
        <v>High Value</v>
      </c>
      <c r="Q694" t="str">
        <f>VLOOKUP(G694,Merchants!A:C,3,TRUE)</f>
        <v>Healthcare</v>
      </c>
    </row>
    <row r="695" spans="1:17" x14ac:dyDescent="0.3">
      <c r="A695" t="s">
        <v>1216</v>
      </c>
      <c r="B695" s="2">
        <v>45883.406967592593</v>
      </c>
      <c r="C695" s="2" t="str">
        <f t="shared" si="20"/>
        <v>Aug-2025</v>
      </c>
      <c r="D695" t="s">
        <v>501</v>
      </c>
      <c r="E695" t="str">
        <f>VLOOKUP(D695,Customers!A:H,7,0)</f>
        <v>Salaried</v>
      </c>
      <c r="F695" t="s">
        <v>247</v>
      </c>
      <c r="G695" t="s">
        <v>132</v>
      </c>
      <c r="H695" t="str">
        <f>IFERROR(VLOOKUP(Transactions!G695,Merchants!A:B,2,FALSE),"Not Found")</f>
        <v>Metro Retail</v>
      </c>
      <c r="I695" s="9">
        <v>29760.78</v>
      </c>
      <c r="J695" s="3">
        <v>89.28</v>
      </c>
      <c r="K695" t="s">
        <v>133</v>
      </c>
      <c r="L695" t="s">
        <v>59</v>
      </c>
      <c r="M695" t="s">
        <v>60</v>
      </c>
      <c r="N695" t="s">
        <v>67</v>
      </c>
      <c r="O695" t="s">
        <v>91</v>
      </c>
      <c r="P695" t="str">
        <f t="shared" si="21"/>
        <v>High Value</v>
      </c>
      <c r="Q695" t="str">
        <f>VLOOKUP(G695,Merchants!A:C,3,TRUE)</f>
        <v>Entertainment</v>
      </c>
    </row>
    <row r="696" spans="1:17" x14ac:dyDescent="0.3">
      <c r="A696" t="s">
        <v>1217</v>
      </c>
      <c r="B696" s="2">
        <v>45847.763425925928</v>
      </c>
      <c r="C696" s="2" t="str">
        <f t="shared" si="20"/>
        <v>Jul-2025</v>
      </c>
      <c r="D696" t="s">
        <v>119</v>
      </c>
      <c r="E696" t="str">
        <f>VLOOKUP(D696,Customers!A:H,7,0)</f>
        <v>Salaried</v>
      </c>
      <c r="F696" t="s">
        <v>844</v>
      </c>
      <c r="G696" t="s">
        <v>95</v>
      </c>
      <c r="H696" t="str">
        <f>IFERROR(VLOOKUP(Transactions!G696,Merchants!A:B,2,FALSE),"Not Found")</f>
        <v>Quick Pay</v>
      </c>
      <c r="I696" s="9">
        <v>54476.17</v>
      </c>
      <c r="J696" s="3">
        <v>272.38</v>
      </c>
      <c r="K696" t="s">
        <v>72</v>
      </c>
      <c r="L696" t="s">
        <v>80</v>
      </c>
      <c r="M696" t="s">
        <v>86</v>
      </c>
      <c r="N696" t="s">
        <v>67</v>
      </c>
      <c r="O696" t="s">
        <v>62</v>
      </c>
      <c r="P696" t="str">
        <f t="shared" si="21"/>
        <v>High Value</v>
      </c>
      <c r="Q696" t="str">
        <f>VLOOKUP(G696,Merchants!A:C,3,TRUE)</f>
        <v>Healthcare</v>
      </c>
    </row>
    <row r="697" spans="1:17" x14ac:dyDescent="0.3">
      <c r="A697" t="s">
        <v>1218</v>
      </c>
      <c r="B697" s="2">
        <v>45998.690578703703</v>
      </c>
      <c r="C697" s="2" t="str">
        <f t="shared" si="20"/>
        <v>Dec-2025</v>
      </c>
      <c r="D697" t="s">
        <v>102</v>
      </c>
      <c r="E697" t="str">
        <f>VLOOKUP(D697,Customers!A:H,7,0)</f>
        <v>Business Owner</v>
      </c>
      <c r="F697" t="s">
        <v>1219</v>
      </c>
      <c r="G697" t="s">
        <v>783</v>
      </c>
      <c r="H697" t="str">
        <f>IFERROR(VLOOKUP(Transactions!G697,Merchants!A:B,2,FALSE),"Not Found")</f>
        <v>Daily Stores</v>
      </c>
      <c r="I697" s="9">
        <v>8595.84</v>
      </c>
      <c r="J697" s="3">
        <v>85.96</v>
      </c>
      <c r="K697" t="s">
        <v>90</v>
      </c>
      <c r="L697" t="s">
        <v>59</v>
      </c>
      <c r="M697" t="s">
        <v>60</v>
      </c>
      <c r="N697" t="s">
        <v>67</v>
      </c>
      <c r="O697" t="s">
        <v>62</v>
      </c>
      <c r="P697" t="str">
        <f t="shared" si="21"/>
        <v>High Value</v>
      </c>
      <c r="Q697" t="str">
        <f>VLOOKUP(G697,Merchants!A:C,3,TRUE)</f>
        <v>Entertainment</v>
      </c>
    </row>
    <row r="698" spans="1:17" x14ac:dyDescent="0.3">
      <c r="A698" t="s">
        <v>1220</v>
      </c>
      <c r="B698" s="2">
        <v>45667.901122685187</v>
      </c>
      <c r="C698" s="2" t="str">
        <f t="shared" si="20"/>
        <v>Jan-2025</v>
      </c>
      <c r="D698" t="s">
        <v>69</v>
      </c>
      <c r="E698" t="str">
        <f>VLOOKUP(D698,Customers!A:H,7,0)</f>
        <v>Self-employed</v>
      </c>
      <c r="F698" t="s">
        <v>374</v>
      </c>
      <c r="G698" t="s">
        <v>192</v>
      </c>
      <c r="H698" t="str">
        <f>IFERROR(VLOOKUP(Transactions!G698,Merchants!A:B,2,FALSE),"Not Found")</f>
        <v>Blue Foods</v>
      </c>
      <c r="I698" s="9">
        <v>21193.4</v>
      </c>
      <c r="J698" s="3">
        <v>42.39</v>
      </c>
      <c r="K698" t="s">
        <v>96</v>
      </c>
      <c r="L698" t="s">
        <v>59</v>
      </c>
      <c r="M698" t="s">
        <v>86</v>
      </c>
      <c r="N698" t="s">
        <v>67</v>
      </c>
      <c r="O698" t="s">
        <v>91</v>
      </c>
      <c r="P698" t="str">
        <f t="shared" si="21"/>
        <v>High Value</v>
      </c>
      <c r="Q698" t="str">
        <f>VLOOKUP(G698,Merchants!A:C,3,TRUE)</f>
        <v>Travel</v>
      </c>
    </row>
    <row r="699" spans="1:17" x14ac:dyDescent="0.3">
      <c r="A699" t="s">
        <v>1221</v>
      </c>
      <c r="B699" s="2">
        <v>46238.440937500003</v>
      </c>
      <c r="C699" s="2" t="str">
        <f t="shared" si="20"/>
        <v>Aug-2026</v>
      </c>
      <c r="D699" t="s">
        <v>524</v>
      </c>
      <c r="E699" t="str">
        <f>VLOOKUP(D699,Customers!A:H,7,0)</f>
        <v>Salaried</v>
      </c>
      <c r="F699" t="s">
        <v>1200</v>
      </c>
      <c r="G699" t="s">
        <v>244</v>
      </c>
      <c r="H699" t="str">
        <f>IFERROR(VLOOKUP(Transactions!G699,Merchants!A:B,2,FALSE),"Not Found")</f>
        <v>Blue Hub</v>
      </c>
      <c r="I699" s="9">
        <v>50138.01</v>
      </c>
      <c r="J699" s="3">
        <v>150.41</v>
      </c>
      <c r="K699" t="s">
        <v>58</v>
      </c>
      <c r="L699" t="s">
        <v>59</v>
      </c>
      <c r="M699" t="s">
        <v>60</v>
      </c>
      <c r="N699" t="s">
        <v>61</v>
      </c>
      <c r="O699" t="s">
        <v>75</v>
      </c>
      <c r="P699" t="str">
        <f t="shared" si="21"/>
        <v>High Value</v>
      </c>
      <c r="Q699" t="str">
        <f>VLOOKUP(G699,Merchants!A:C,3,TRUE)</f>
        <v>Healthcare</v>
      </c>
    </row>
    <row r="700" spans="1:17" x14ac:dyDescent="0.3">
      <c r="A700" t="s">
        <v>1222</v>
      </c>
      <c r="B700" s="2">
        <v>46160.532141203701</v>
      </c>
      <c r="C700" s="2" t="str">
        <f t="shared" si="20"/>
        <v>May-2026</v>
      </c>
      <c r="D700" t="s">
        <v>309</v>
      </c>
      <c r="E700" t="str">
        <f>VLOOKUP(D700,Customers!A:H,7,0)</f>
        <v>Self-employed</v>
      </c>
      <c r="F700" t="s">
        <v>487</v>
      </c>
      <c r="G700" t="s">
        <v>554</v>
      </c>
      <c r="H700" t="str">
        <f>IFERROR(VLOOKUP(Transactions!G700,Merchants!A:B,2,FALSE),"Not Found")</f>
        <v>Green Pay</v>
      </c>
      <c r="I700" s="9">
        <v>59388.61</v>
      </c>
      <c r="J700" s="3">
        <v>593.89</v>
      </c>
      <c r="K700" t="s">
        <v>58</v>
      </c>
      <c r="L700" t="s">
        <v>59</v>
      </c>
      <c r="M700" t="s">
        <v>60</v>
      </c>
      <c r="N700" t="s">
        <v>61</v>
      </c>
      <c r="O700" t="s">
        <v>81</v>
      </c>
      <c r="P700" t="str">
        <f t="shared" si="21"/>
        <v>High Value</v>
      </c>
      <c r="Q700" t="str">
        <f>VLOOKUP(G700,Merchants!A:C,3,TRUE)</f>
        <v>Utilities</v>
      </c>
    </row>
    <row r="701" spans="1:17" x14ac:dyDescent="0.3">
      <c r="A701" t="s">
        <v>1223</v>
      </c>
      <c r="B701" s="2">
        <v>46188.903761574067</v>
      </c>
      <c r="C701" s="2" t="str">
        <f t="shared" si="20"/>
        <v>Jun-2026</v>
      </c>
      <c r="D701" t="s">
        <v>524</v>
      </c>
      <c r="E701" t="str">
        <f>VLOOKUP(D701,Customers!A:H,7,0)</f>
        <v>Salaried</v>
      </c>
      <c r="F701" t="s">
        <v>604</v>
      </c>
      <c r="G701" t="s">
        <v>322</v>
      </c>
      <c r="H701" t="str">
        <f>IFERROR(VLOOKUP(Transactions!G701,Merchants!A:B,2,FALSE),"Not Found")</f>
        <v>Metro Pay</v>
      </c>
      <c r="I701" s="9">
        <v>29112.85</v>
      </c>
      <c r="J701" s="3">
        <v>58.23</v>
      </c>
      <c r="K701" t="s">
        <v>90</v>
      </c>
      <c r="L701" t="s">
        <v>59</v>
      </c>
      <c r="M701" t="s">
        <v>60</v>
      </c>
      <c r="N701" t="s">
        <v>61</v>
      </c>
      <c r="O701" t="s">
        <v>91</v>
      </c>
      <c r="P701" t="str">
        <f t="shared" si="21"/>
        <v>High Value</v>
      </c>
      <c r="Q701" t="str">
        <f>VLOOKUP(G701,Merchants!A:C,3,TRUE)</f>
        <v>Grocery</v>
      </c>
    </row>
    <row r="702" spans="1:17" x14ac:dyDescent="0.3">
      <c r="A702" t="s">
        <v>1224</v>
      </c>
      <c r="B702" s="2">
        <v>45908.876215277778</v>
      </c>
      <c r="C702" s="2" t="str">
        <f t="shared" si="20"/>
        <v>Sep-2025</v>
      </c>
      <c r="D702" t="s">
        <v>55</v>
      </c>
      <c r="E702" t="str">
        <f>VLOOKUP(D702,Customers!A:H,7,0)</f>
        <v>Self-employed</v>
      </c>
      <c r="F702" t="s">
        <v>531</v>
      </c>
      <c r="G702" t="s">
        <v>103</v>
      </c>
      <c r="H702" t="str">
        <f>IFERROR(VLOOKUP(Transactions!G702,Merchants!A:B,2,FALSE),"Not Found")</f>
        <v>Nova Pay</v>
      </c>
      <c r="I702" s="9">
        <v>44486.64</v>
      </c>
      <c r="J702" s="3">
        <v>222.43</v>
      </c>
      <c r="K702" t="s">
        <v>90</v>
      </c>
      <c r="L702" t="s">
        <v>157</v>
      </c>
      <c r="M702" t="s">
        <v>74</v>
      </c>
      <c r="N702" t="s">
        <v>67</v>
      </c>
      <c r="O702" t="s">
        <v>81</v>
      </c>
      <c r="P702" t="str">
        <f t="shared" si="21"/>
        <v>High Value</v>
      </c>
      <c r="Q702" t="str">
        <f>VLOOKUP(G702,Merchants!A:C,3,TRUE)</f>
        <v>Fashion</v>
      </c>
    </row>
    <row r="703" spans="1:17" x14ac:dyDescent="0.3">
      <c r="A703" t="s">
        <v>1225</v>
      </c>
      <c r="B703" s="2">
        <v>46215.681550925918</v>
      </c>
      <c r="C703" s="2" t="str">
        <f t="shared" si="20"/>
        <v>Jul-2026</v>
      </c>
      <c r="D703" t="s">
        <v>352</v>
      </c>
      <c r="E703" t="str">
        <f>VLOOKUP(D703,Customers!A:H,7,0)</f>
        <v>Self-employed</v>
      </c>
      <c r="F703" t="s">
        <v>369</v>
      </c>
      <c r="G703" t="s">
        <v>128</v>
      </c>
      <c r="H703" t="str">
        <f>IFERROR(VLOOKUP(Transactions!G703,Merchants!A:B,2,FALSE),"Not Found")</f>
        <v>Blue Foods</v>
      </c>
      <c r="I703" s="9">
        <v>59241.17</v>
      </c>
      <c r="J703" s="3">
        <v>177.72</v>
      </c>
      <c r="K703" t="s">
        <v>72</v>
      </c>
      <c r="L703" t="s">
        <v>73</v>
      </c>
      <c r="M703" t="s">
        <v>60</v>
      </c>
      <c r="N703" t="s">
        <v>61</v>
      </c>
      <c r="O703" t="s">
        <v>75</v>
      </c>
      <c r="P703" t="str">
        <f t="shared" si="21"/>
        <v>High Value</v>
      </c>
      <c r="Q703" t="str">
        <f>VLOOKUP(G703,Merchants!A:C,3,TRUE)</f>
        <v>Food &amp; Dining</v>
      </c>
    </row>
    <row r="704" spans="1:17" x14ac:dyDescent="0.3">
      <c r="A704" t="s">
        <v>1226</v>
      </c>
      <c r="B704" s="2">
        <v>45940.469247685192</v>
      </c>
      <c r="C704" s="2" t="str">
        <f t="shared" si="20"/>
        <v>Oct-2025</v>
      </c>
      <c r="D704" t="s">
        <v>574</v>
      </c>
      <c r="E704" t="str">
        <f>VLOOKUP(D704,Customers!A:H,7,0)</f>
        <v>Salaried</v>
      </c>
      <c r="F704" t="s">
        <v>857</v>
      </c>
      <c r="G704" t="s">
        <v>117</v>
      </c>
      <c r="H704" t="str">
        <f>IFERROR(VLOOKUP(Transactions!G704,Merchants!A:B,2,FALSE),"Not Found")</f>
        <v>Prime Pay</v>
      </c>
      <c r="I704" s="9">
        <v>11515.3</v>
      </c>
      <c r="J704" s="3">
        <v>57.58</v>
      </c>
      <c r="K704" t="s">
        <v>96</v>
      </c>
      <c r="L704" t="s">
        <v>59</v>
      </c>
      <c r="M704" t="s">
        <v>60</v>
      </c>
      <c r="N704" t="s">
        <v>61</v>
      </c>
      <c r="O704" t="s">
        <v>91</v>
      </c>
      <c r="P704" t="str">
        <f t="shared" si="21"/>
        <v>High Value</v>
      </c>
      <c r="Q704" t="str">
        <f>VLOOKUP(G704,Merchants!A:C,3,TRUE)</f>
        <v>Travel</v>
      </c>
    </row>
    <row r="705" spans="1:17" x14ac:dyDescent="0.3">
      <c r="A705" t="s">
        <v>1227</v>
      </c>
      <c r="B705" s="2">
        <v>45666.756886574083</v>
      </c>
      <c r="C705" s="2" t="str">
        <f t="shared" si="20"/>
        <v>Jan-2025</v>
      </c>
      <c r="D705" t="s">
        <v>284</v>
      </c>
      <c r="E705" t="str">
        <f>VLOOKUP(D705,Customers!A:H,7,0)</f>
        <v>Student</v>
      </c>
      <c r="F705" t="s">
        <v>875</v>
      </c>
      <c r="G705" t="s">
        <v>132</v>
      </c>
      <c r="H705" t="str">
        <f>IFERROR(VLOOKUP(Transactions!G705,Merchants!A:B,2,FALSE),"Not Found")</f>
        <v>Metro Retail</v>
      </c>
      <c r="I705" s="9">
        <v>55641.26</v>
      </c>
      <c r="J705" s="3">
        <v>166.92</v>
      </c>
      <c r="K705" t="s">
        <v>133</v>
      </c>
      <c r="L705" t="s">
        <v>59</v>
      </c>
      <c r="M705" t="s">
        <v>111</v>
      </c>
      <c r="N705" t="s">
        <v>61</v>
      </c>
      <c r="O705" t="s">
        <v>75</v>
      </c>
      <c r="P705" t="str">
        <f t="shared" si="21"/>
        <v>High Value</v>
      </c>
      <c r="Q705" t="str">
        <f>VLOOKUP(G705,Merchants!A:C,3,TRUE)</f>
        <v>Entertainment</v>
      </c>
    </row>
    <row r="706" spans="1:17" x14ac:dyDescent="0.3">
      <c r="A706" t="s">
        <v>1228</v>
      </c>
      <c r="B706" s="2">
        <v>45953.098020833328</v>
      </c>
      <c r="C706" s="2" t="str">
        <f t="shared" si="20"/>
        <v>Oct-2025</v>
      </c>
      <c r="D706" t="s">
        <v>852</v>
      </c>
      <c r="E706" t="str">
        <f>VLOOKUP(D706,Customers!A:H,7,0)</f>
        <v>Business Owner</v>
      </c>
      <c r="F706" t="s">
        <v>262</v>
      </c>
      <c r="G706" t="s">
        <v>168</v>
      </c>
      <c r="H706" t="str">
        <f>IFERROR(VLOOKUP(Transactions!G706,Merchants!A:B,2,FALSE),"Not Found")</f>
        <v>Quick Hub</v>
      </c>
      <c r="I706" s="9">
        <v>48007.13</v>
      </c>
      <c r="J706" s="3">
        <v>96.01</v>
      </c>
      <c r="K706" t="s">
        <v>58</v>
      </c>
      <c r="L706" t="s">
        <v>59</v>
      </c>
      <c r="M706" t="s">
        <v>86</v>
      </c>
      <c r="N706" t="s">
        <v>61</v>
      </c>
      <c r="O706" t="s">
        <v>81</v>
      </c>
      <c r="P706" t="str">
        <f t="shared" si="21"/>
        <v>High Value</v>
      </c>
      <c r="Q706" t="str">
        <f>VLOOKUP(G706,Merchants!A:C,3,TRUE)</f>
        <v>Utilities</v>
      </c>
    </row>
    <row r="707" spans="1:17" x14ac:dyDescent="0.3">
      <c r="A707" t="s">
        <v>1229</v>
      </c>
      <c r="B707" s="2">
        <v>45663.652812499997</v>
      </c>
      <c r="C707" s="2" t="str">
        <f t="shared" ref="C707:C770" si="22">TEXT(B707,"mmm-yyyy")</f>
        <v>Jan-2025</v>
      </c>
      <c r="D707" t="s">
        <v>309</v>
      </c>
      <c r="E707" t="str">
        <f>VLOOKUP(D707,Customers!A:H,7,0)</f>
        <v>Self-employed</v>
      </c>
      <c r="F707" t="s">
        <v>456</v>
      </c>
      <c r="G707" t="s">
        <v>421</v>
      </c>
      <c r="H707" t="str">
        <f>IFERROR(VLOOKUP(Transactions!G707,Merchants!A:B,2,FALSE),"Not Found")</f>
        <v>Smart Pay</v>
      </c>
      <c r="I707" s="9">
        <v>21200.11</v>
      </c>
      <c r="J707" s="3">
        <v>42.4</v>
      </c>
      <c r="K707" t="s">
        <v>72</v>
      </c>
      <c r="L707" t="s">
        <v>73</v>
      </c>
      <c r="M707" t="s">
        <v>111</v>
      </c>
      <c r="N707" t="s">
        <v>67</v>
      </c>
      <c r="O707" t="s">
        <v>81</v>
      </c>
      <c r="P707" t="str">
        <f t="shared" ref="P707:P770" si="23">IF(I707&gt;=2500,"High Value","Standard")</f>
        <v>High Value</v>
      </c>
      <c r="Q707" t="str">
        <f>VLOOKUP(G707,Merchants!A:C,3,TRUE)</f>
        <v>Entertainment</v>
      </c>
    </row>
    <row r="708" spans="1:17" x14ac:dyDescent="0.3">
      <c r="A708" t="s">
        <v>1230</v>
      </c>
      <c r="B708" s="2">
        <v>45804.298437500001</v>
      </c>
      <c r="C708" s="2" t="str">
        <f t="shared" si="22"/>
        <v>May-2025</v>
      </c>
      <c r="D708" t="s">
        <v>441</v>
      </c>
      <c r="E708" t="str">
        <f>VLOOKUP(D708,Customers!A:H,7,0)</f>
        <v>Business Owner</v>
      </c>
      <c r="F708" t="s">
        <v>1231</v>
      </c>
      <c r="G708" t="s">
        <v>277</v>
      </c>
      <c r="H708" t="str">
        <f>IFERROR(VLOOKUP(Transactions!G708,Merchants!A:B,2,FALSE),"Not Found")</f>
        <v>Daily Digital</v>
      </c>
      <c r="I708" s="9">
        <v>25979.84</v>
      </c>
      <c r="J708" s="3">
        <v>129.9</v>
      </c>
      <c r="K708" t="s">
        <v>72</v>
      </c>
      <c r="L708" t="s">
        <v>157</v>
      </c>
      <c r="M708" t="s">
        <v>111</v>
      </c>
      <c r="N708" t="s">
        <v>61</v>
      </c>
      <c r="O708" t="s">
        <v>75</v>
      </c>
      <c r="P708" t="str">
        <f t="shared" si="23"/>
        <v>High Value</v>
      </c>
      <c r="Q708" t="str">
        <f>VLOOKUP(G708,Merchants!A:C,3,TRUE)</f>
        <v>Grocery</v>
      </c>
    </row>
    <row r="709" spans="1:17" x14ac:dyDescent="0.3">
      <c r="A709" t="s">
        <v>1232</v>
      </c>
      <c r="B709" s="2">
        <v>46066.148877314823</v>
      </c>
      <c r="C709" s="2" t="str">
        <f t="shared" si="22"/>
        <v>Feb-2026</v>
      </c>
      <c r="D709" t="s">
        <v>289</v>
      </c>
      <c r="E709" t="str">
        <f>VLOOKUP(D709,Customers!A:H,7,0)</f>
        <v>Business Owner</v>
      </c>
      <c r="F709" t="s">
        <v>243</v>
      </c>
      <c r="G709" t="s">
        <v>117</v>
      </c>
      <c r="H709" t="str">
        <f>IFERROR(VLOOKUP(Transactions!G709,Merchants!A:B,2,FALSE),"Not Found")</f>
        <v>Prime Pay</v>
      </c>
      <c r="I709" s="9">
        <v>53592.72</v>
      </c>
      <c r="J709" s="3">
        <v>267.95999999999998</v>
      </c>
      <c r="K709" t="s">
        <v>72</v>
      </c>
      <c r="L709" t="s">
        <v>157</v>
      </c>
      <c r="M709" t="s">
        <v>111</v>
      </c>
      <c r="N709" t="s">
        <v>67</v>
      </c>
      <c r="O709" t="s">
        <v>81</v>
      </c>
      <c r="P709" t="str">
        <f t="shared" si="23"/>
        <v>High Value</v>
      </c>
      <c r="Q709" t="str">
        <f>VLOOKUP(G709,Merchants!A:C,3,TRUE)</f>
        <v>Travel</v>
      </c>
    </row>
    <row r="710" spans="1:17" x14ac:dyDescent="0.3">
      <c r="A710" t="s">
        <v>1233</v>
      </c>
      <c r="B710" s="2">
        <v>45796.631550925929</v>
      </c>
      <c r="C710" s="2" t="str">
        <f t="shared" si="22"/>
        <v>May-2025</v>
      </c>
      <c r="D710" t="s">
        <v>728</v>
      </c>
      <c r="E710" t="str">
        <f>VLOOKUP(D710,Customers!A:H,7,0)</f>
        <v>Salaried</v>
      </c>
      <c r="F710" t="s">
        <v>627</v>
      </c>
      <c r="G710" t="s">
        <v>237</v>
      </c>
      <c r="H710" t="str">
        <f>IFERROR(VLOOKUP(Transactions!G710,Merchants!A:B,2,FALSE),"Not Found")</f>
        <v>Metro Pay</v>
      </c>
      <c r="I710" s="9">
        <v>33301.599999999999</v>
      </c>
      <c r="J710" s="3">
        <v>66.599999999999994</v>
      </c>
      <c r="K710" t="s">
        <v>96</v>
      </c>
      <c r="L710" t="s">
        <v>59</v>
      </c>
      <c r="M710" t="s">
        <v>111</v>
      </c>
      <c r="N710" t="s">
        <v>61</v>
      </c>
      <c r="O710" t="s">
        <v>75</v>
      </c>
      <c r="P710" t="str">
        <f t="shared" si="23"/>
        <v>High Value</v>
      </c>
      <c r="Q710" t="str">
        <f>VLOOKUP(G710,Merchants!A:C,3,TRUE)</f>
        <v>Healthcare</v>
      </c>
    </row>
    <row r="711" spans="1:17" x14ac:dyDescent="0.3">
      <c r="A711" t="s">
        <v>1234</v>
      </c>
      <c r="B711" s="2">
        <v>45756.210266203707</v>
      </c>
      <c r="C711" s="2" t="str">
        <f t="shared" si="22"/>
        <v>Apr-2025</v>
      </c>
      <c r="D711" t="s">
        <v>411</v>
      </c>
      <c r="E711" t="str">
        <f>VLOOKUP(D711,Customers!A:H,7,0)</f>
        <v>Student</v>
      </c>
      <c r="F711" t="s">
        <v>1235</v>
      </c>
      <c r="G711" t="s">
        <v>117</v>
      </c>
      <c r="H711" t="str">
        <f>IFERROR(VLOOKUP(Transactions!G711,Merchants!A:B,2,FALSE),"Not Found")</f>
        <v>Prime Pay</v>
      </c>
      <c r="I711" s="9">
        <v>31641.63</v>
      </c>
      <c r="J711" s="3">
        <v>158.21</v>
      </c>
      <c r="K711" t="s">
        <v>96</v>
      </c>
      <c r="L711" t="s">
        <v>80</v>
      </c>
      <c r="M711" t="s">
        <v>74</v>
      </c>
      <c r="N711" t="s">
        <v>61</v>
      </c>
      <c r="O711" t="s">
        <v>75</v>
      </c>
      <c r="P711" t="str">
        <f t="shared" si="23"/>
        <v>High Value</v>
      </c>
      <c r="Q711" t="str">
        <f>VLOOKUP(G711,Merchants!A:C,3,TRUE)</f>
        <v>Travel</v>
      </c>
    </row>
    <row r="712" spans="1:17" x14ac:dyDescent="0.3">
      <c r="A712" t="s">
        <v>1236</v>
      </c>
      <c r="B712" s="2">
        <v>45686.847881944443</v>
      </c>
      <c r="C712" s="2" t="str">
        <f t="shared" si="22"/>
        <v>Jan-2025</v>
      </c>
      <c r="D712" t="s">
        <v>953</v>
      </c>
      <c r="E712" t="str">
        <f>VLOOKUP(D712,Customers!A:H,7,0)</f>
        <v>Self-employed</v>
      </c>
      <c r="F712" t="s">
        <v>336</v>
      </c>
      <c r="G712" t="s">
        <v>263</v>
      </c>
      <c r="H712" t="str">
        <f>IFERROR(VLOOKUP(Transactions!G712,Merchants!A:B,2,FALSE),"Not Found")</f>
        <v>Urban Retail</v>
      </c>
      <c r="I712" s="9">
        <v>1682.69</v>
      </c>
      <c r="J712" s="3">
        <v>3.37</v>
      </c>
      <c r="K712" t="s">
        <v>90</v>
      </c>
      <c r="L712" t="s">
        <v>80</v>
      </c>
      <c r="M712" t="s">
        <v>60</v>
      </c>
      <c r="N712" t="s">
        <v>67</v>
      </c>
      <c r="O712" t="s">
        <v>81</v>
      </c>
      <c r="P712" t="str">
        <f t="shared" si="23"/>
        <v>Standard</v>
      </c>
      <c r="Q712" t="str">
        <f>VLOOKUP(G712,Merchants!A:C,3,TRUE)</f>
        <v>Grocery</v>
      </c>
    </row>
    <row r="713" spans="1:17" x14ac:dyDescent="0.3">
      <c r="A713" t="s">
        <v>1237</v>
      </c>
      <c r="B713" s="2">
        <v>45712.595671296287</v>
      </c>
      <c r="C713" s="2" t="str">
        <f t="shared" si="22"/>
        <v>Feb-2025</v>
      </c>
      <c r="D713" t="s">
        <v>461</v>
      </c>
      <c r="E713" t="str">
        <f>VLOOKUP(D713,Customers!A:H,7,0)</f>
        <v>Student</v>
      </c>
      <c r="F713" t="s">
        <v>285</v>
      </c>
      <c r="G713" t="s">
        <v>607</v>
      </c>
      <c r="H713" t="str">
        <f>IFERROR(VLOOKUP(Transactions!G713,Merchants!A:B,2,FALSE),"Not Found")</f>
        <v>Daily Digital</v>
      </c>
      <c r="I713" s="9">
        <v>7643.56</v>
      </c>
      <c r="J713" s="3">
        <v>76.44</v>
      </c>
      <c r="K713" t="s">
        <v>58</v>
      </c>
      <c r="L713" t="s">
        <v>80</v>
      </c>
      <c r="M713" t="s">
        <v>86</v>
      </c>
      <c r="N713" t="s">
        <v>61</v>
      </c>
      <c r="O713" t="s">
        <v>91</v>
      </c>
      <c r="P713" t="str">
        <f t="shared" si="23"/>
        <v>High Value</v>
      </c>
      <c r="Q713" t="str">
        <f>VLOOKUP(G713,Merchants!A:C,3,TRUE)</f>
        <v>Healthcare</v>
      </c>
    </row>
    <row r="714" spans="1:17" x14ac:dyDescent="0.3">
      <c r="A714" t="s">
        <v>1238</v>
      </c>
      <c r="B714" s="2">
        <v>45999.901631944442</v>
      </c>
      <c r="C714" s="2" t="str">
        <f t="shared" si="22"/>
        <v>Dec-2025</v>
      </c>
      <c r="D714" t="s">
        <v>119</v>
      </c>
      <c r="E714" t="str">
        <f>VLOOKUP(D714,Customers!A:H,7,0)</f>
        <v>Salaried</v>
      </c>
      <c r="F714" t="s">
        <v>1204</v>
      </c>
      <c r="G714" t="s">
        <v>607</v>
      </c>
      <c r="H714" t="str">
        <f>IFERROR(VLOOKUP(Transactions!G714,Merchants!A:B,2,FALSE),"Not Found")</f>
        <v>Daily Digital</v>
      </c>
      <c r="I714" s="9">
        <v>5934.2</v>
      </c>
      <c r="J714" s="3">
        <v>59.34</v>
      </c>
      <c r="K714" t="s">
        <v>58</v>
      </c>
      <c r="L714" t="s">
        <v>59</v>
      </c>
      <c r="M714" t="s">
        <v>86</v>
      </c>
      <c r="N714" t="s">
        <v>67</v>
      </c>
      <c r="O714" t="s">
        <v>62</v>
      </c>
      <c r="P714" t="str">
        <f t="shared" si="23"/>
        <v>High Value</v>
      </c>
      <c r="Q714" t="str">
        <f>VLOOKUP(G714,Merchants!A:C,3,TRUE)</f>
        <v>Healthcare</v>
      </c>
    </row>
    <row r="715" spans="1:17" x14ac:dyDescent="0.3">
      <c r="A715" t="s">
        <v>1239</v>
      </c>
      <c r="B715" s="2">
        <v>46233.751388888893</v>
      </c>
      <c r="C715" s="2" t="str">
        <f t="shared" si="22"/>
        <v>Jul-2026</v>
      </c>
      <c r="D715" t="s">
        <v>948</v>
      </c>
      <c r="E715" t="str">
        <f>VLOOKUP(D715,Customers!A:H,7,0)</f>
        <v>Student</v>
      </c>
      <c r="F715" t="s">
        <v>583</v>
      </c>
      <c r="G715" t="s">
        <v>263</v>
      </c>
      <c r="H715" t="str">
        <f>IFERROR(VLOOKUP(Transactions!G715,Merchants!A:B,2,FALSE),"Not Found")</f>
        <v>Urban Retail</v>
      </c>
      <c r="I715" s="9">
        <v>8270.52</v>
      </c>
      <c r="J715" s="3">
        <v>24.81</v>
      </c>
      <c r="K715" t="s">
        <v>58</v>
      </c>
      <c r="L715" t="s">
        <v>73</v>
      </c>
      <c r="M715" t="s">
        <v>74</v>
      </c>
      <c r="N715" t="s">
        <v>67</v>
      </c>
      <c r="O715" t="s">
        <v>91</v>
      </c>
      <c r="P715" t="str">
        <f t="shared" si="23"/>
        <v>High Value</v>
      </c>
      <c r="Q715" t="str">
        <f>VLOOKUP(G715,Merchants!A:C,3,TRUE)</f>
        <v>Grocery</v>
      </c>
    </row>
    <row r="716" spans="1:17" x14ac:dyDescent="0.3">
      <c r="A716" t="s">
        <v>1240</v>
      </c>
      <c r="B716" s="2">
        <v>45726.0000462963</v>
      </c>
      <c r="C716" s="2" t="str">
        <f t="shared" si="22"/>
        <v>Mar-2025</v>
      </c>
      <c r="D716" t="s">
        <v>1103</v>
      </c>
      <c r="E716" t="str">
        <f>VLOOKUP(D716,Customers!A:H,7,0)</f>
        <v>Business Owner</v>
      </c>
      <c r="F716" t="s">
        <v>485</v>
      </c>
      <c r="G716" t="s">
        <v>244</v>
      </c>
      <c r="H716" t="str">
        <f>IFERROR(VLOOKUP(Transactions!G716,Merchants!A:B,2,FALSE),"Not Found")</f>
        <v>Blue Hub</v>
      </c>
      <c r="I716" s="9">
        <v>9266.02</v>
      </c>
      <c r="J716" s="3">
        <v>18.53</v>
      </c>
      <c r="K716" t="s">
        <v>96</v>
      </c>
      <c r="L716" t="s">
        <v>73</v>
      </c>
      <c r="M716" t="s">
        <v>86</v>
      </c>
      <c r="N716" t="s">
        <v>61</v>
      </c>
      <c r="O716" t="s">
        <v>75</v>
      </c>
      <c r="P716" t="str">
        <f t="shared" si="23"/>
        <v>High Value</v>
      </c>
      <c r="Q716" t="str">
        <f>VLOOKUP(G716,Merchants!A:C,3,TRUE)</f>
        <v>Healthcare</v>
      </c>
    </row>
    <row r="717" spans="1:17" x14ac:dyDescent="0.3">
      <c r="A717" t="s">
        <v>1241</v>
      </c>
      <c r="B717" s="2">
        <v>45714.184791666667</v>
      </c>
      <c r="C717" s="2" t="str">
        <f t="shared" si="22"/>
        <v>Feb-2025</v>
      </c>
      <c r="D717" t="s">
        <v>618</v>
      </c>
      <c r="E717" t="str">
        <f>VLOOKUP(D717,Customers!A:H,7,0)</f>
        <v>Business Owner</v>
      </c>
      <c r="F717" t="s">
        <v>1242</v>
      </c>
      <c r="G717" t="s">
        <v>347</v>
      </c>
      <c r="H717" t="str">
        <f>IFERROR(VLOOKUP(Transactions!G717,Merchants!A:B,2,FALSE),"Not Found")</f>
        <v>Nova Hub</v>
      </c>
      <c r="I717" s="9">
        <v>18065.43</v>
      </c>
      <c r="J717" s="3">
        <v>54.2</v>
      </c>
      <c r="K717" t="s">
        <v>72</v>
      </c>
      <c r="L717" t="s">
        <v>59</v>
      </c>
      <c r="M717" t="s">
        <v>74</v>
      </c>
      <c r="N717" t="s">
        <v>67</v>
      </c>
      <c r="O717" t="s">
        <v>75</v>
      </c>
      <c r="P717" t="str">
        <f t="shared" si="23"/>
        <v>High Value</v>
      </c>
      <c r="Q717" t="str">
        <f>VLOOKUP(G717,Merchants!A:C,3,TRUE)</f>
        <v>Fuel</v>
      </c>
    </row>
    <row r="718" spans="1:17" x14ac:dyDescent="0.3">
      <c r="A718" t="s">
        <v>1243</v>
      </c>
      <c r="B718" s="2">
        <v>45807.965127314812</v>
      </c>
      <c r="C718" s="2" t="str">
        <f t="shared" si="22"/>
        <v>May-2025</v>
      </c>
      <c r="D718" t="s">
        <v>448</v>
      </c>
      <c r="E718" t="str">
        <f>VLOOKUP(D718,Customers!A:H,7,0)</f>
        <v>Business Owner</v>
      </c>
      <c r="F718" t="s">
        <v>492</v>
      </c>
      <c r="G718" t="s">
        <v>107</v>
      </c>
      <c r="H718" t="str">
        <f>IFERROR(VLOOKUP(Transactions!G718,Merchants!A:B,2,FALSE),"Not Found")</f>
        <v>Blue Services</v>
      </c>
      <c r="I718" s="9">
        <v>1397.31</v>
      </c>
      <c r="J718" s="3">
        <v>4.1900000000000004</v>
      </c>
      <c r="K718" t="s">
        <v>133</v>
      </c>
      <c r="L718" t="s">
        <v>59</v>
      </c>
      <c r="M718" t="s">
        <v>111</v>
      </c>
      <c r="N718" t="s">
        <v>61</v>
      </c>
      <c r="O718" t="s">
        <v>75</v>
      </c>
      <c r="P718" t="str">
        <f t="shared" si="23"/>
        <v>Standard</v>
      </c>
      <c r="Q718" t="str">
        <f>VLOOKUP(G718,Merchants!A:C,3,TRUE)</f>
        <v>Travel</v>
      </c>
    </row>
    <row r="719" spans="1:17" x14ac:dyDescent="0.3">
      <c r="A719" t="s">
        <v>1244</v>
      </c>
      <c r="B719" s="2">
        <v>45954.439097222217</v>
      </c>
      <c r="C719" s="2" t="str">
        <f t="shared" si="22"/>
        <v>Oct-2025</v>
      </c>
      <c r="D719" t="s">
        <v>1170</v>
      </c>
      <c r="E719" t="str">
        <f>VLOOKUP(D719,Customers!A:H,7,0)</f>
        <v>Business Owner</v>
      </c>
      <c r="F719" t="s">
        <v>777</v>
      </c>
      <c r="G719" t="s">
        <v>79</v>
      </c>
      <c r="H719" t="str">
        <f>IFERROR(VLOOKUP(Transactions!G719,Merchants!A:B,2,FALSE),"Not Found")</f>
        <v>Nova Retail</v>
      </c>
      <c r="I719" s="9">
        <v>40085.379999999997</v>
      </c>
      <c r="J719" s="3">
        <v>400.85</v>
      </c>
      <c r="K719" t="s">
        <v>96</v>
      </c>
      <c r="L719" t="s">
        <v>157</v>
      </c>
      <c r="M719" t="s">
        <v>74</v>
      </c>
      <c r="N719" t="s">
        <v>67</v>
      </c>
      <c r="O719" t="s">
        <v>75</v>
      </c>
      <c r="P719" t="str">
        <f t="shared" si="23"/>
        <v>High Value</v>
      </c>
      <c r="Q719" t="str">
        <f>VLOOKUP(G719,Merchants!A:C,3,TRUE)</f>
        <v>Grocery</v>
      </c>
    </row>
    <row r="720" spans="1:17" x14ac:dyDescent="0.3">
      <c r="A720" t="s">
        <v>1245</v>
      </c>
      <c r="B720" s="2">
        <v>46084.644479166673</v>
      </c>
      <c r="C720" s="2" t="str">
        <f t="shared" si="22"/>
        <v>Mar-2026</v>
      </c>
      <c r="D720" t="s">
        <v>223</v>
      </c>
      <c r="E720" t="str">
        <f>VLOOKUP(D720,Customers!A:H,7,0)</f>
        <v>Business Owner</v>
      </c>
      <c r="F720" t="s">
        <v>730</v>
      </c>
      <c r="G720" t="s">
        <v>229</v>
      </c>
      <c r="H720" t="str">
        <f>IFERROR(VLOOKUP(Transactions!G720,Merchants!A:B,2,FALSE),"Not Found")</f>
        <v>Urban Services</v>
      </c>
      <c r="I720" s="9">
        <v>8975.18</v>
      </c>
      <c r="J720" s="3">
        <v>17.95</v>
      </c>
      <c r="K720" t="s">
        <v>133</v>
      </c>
      <c r="L720" t="s">
        <v>59</v>
      </c>
      <c r="M720" t="s">
        <v>60</v>
      </c>
      <c r="N720" t="s">
        <v>67</v>
      </c>
      <c r="O720" t="s">
        <v>75</v>
      </c>
      <c r="P720" t="str">
        <f t="shared" si="23"/>
        <v>High Value</v>
      </c>
      <c r="Q720" t="str">
        <f>VLOOKUP(G720,Merchants!A:C,3,TRUE)</f>
        <v>Fashion</v>
      </c>
    </row>
    <row r="721" spans="1:17" x14ac:dyDescent="0.3">
      <c r="A721" t="s">
        <v>1246</v>
      </c>
      <c r="B721" s="2">
        <v>45701.538124999999</v>
      </c>
      <c r="C721" s="2" t="str">
        <f t="shared" si="22"/>
        <v>Feb-2025</v>
      </c>
      <c r="D721" t="s">
        <v>314</v>
      </c>
      <c r="E721" t="str">
        <f>VLOOKUP(D721,Customers!A:H,7,0)</f>
        <v>Business Owner</v>
      </c>
      <c r="F721" t="s">
        <v>106</v>
      </c>
      <c r="G721" t="s">
        <v>95</v>
      </c>
      <c r="H721" t="str">
        <f>IFERROR(VLOOKUP(Transactions!G721,Merchants!A:B,2,FALSE),"Not Found")</f>
        <v>Quick Pay</v>
      </c>
      <c r="I721" s="9">
        <v>57771.51</v>
      </c>
      <c r="J721" s="3">
        <v>577.72</v>
      </c>
      <c r="K721" t="s">
        <v>72</v>
      </c>
      <c r="L721" t="s">
        <v>59</v>
      </c>
      <c r="M721" t="s">
        <v>111</v>
      </c>
      <c r="N721" t="s">
        <v>61</v>
      </c>
      <c r="O721" t="s">
        <v>75</v>
      </c>
      <c r="P721" t="str">
        <f t="shared" si="23"/>
        <v>High Value</v>
      </c>
      <c r="Q721" t="str">
        <f>VLOOKUP(G721,Merchants!A:C,3,TRUE)</f>
        <v>Healthcare</v>
      </c>
    </row>
    <row r="722" spans="1:17" x14ac:dyDescent="0.3">
      <c r="A722" t="s">
        <v>1247</v>
      </c>
      <c r="B722" s="2">
        <v>46183.095208333332</v>
      </c>
      <c r="C722" s="2" t="str">
        <f t="shared" si="22"/>
        <v>Jun-2026</v>
      </c>
      <c r="D722" t="s">
        <v>83</v>
      </c>
      <c r="E722" t="str">
        <f>VLOOKUP(D722,Customers!A:H,7,0)</f>
        <v>Business Owner</v>
      </c>
      <c r="F722" t="s">
        <v>687</v>
      </c>
      <c r="G722" t="s">
        <v>146</v>
      </c>
      <c r="H722" t="str">
        <f>IFERROR(VLOOKUP(Transactions!G722,Merchants!A:B,2,FALSE),"Not Found")</f>
        <v>Prime Mart</v>
      </c>
      <c r="I722" s="9">
        <v>10552.36</v>
      </c>
      <c r="J722" s="3">
        <v>52.76</v>
      </c>
      <c r="K722" t="s">
        <v>72</v>
      </c>
      <c r="L722" t="s">
        <v>59</v>
      </c>
      <c r="M722" t="s">
        <v>60</v>
      </c>
      <c r="N722" t="s">
        <v>61</v>
      </c>
      <c r="O722" t="s">
        <v>91</v>
      </c>
      <c r="P722" t="str">
        <f t="shared" si="23"/>
        <v>High Value</v>
      </c>
      <c r="Q722" t="str">
        <f>VLOOKUP(G722,Merchants!A:C,3,TRUE)</f>
        <v>Food &amp; Dining</v>
      </c>
    </row>
    <row r="723" spans="1:17" x14ac:dyDescent="0.3">
      <c r="A723" t="s">
        <v>1248</v>
      </c>
      <c r="B723" s="2">
        <v>46153.571192129632</v>
      </c>
      <c r="C723" s="2" t="str">
        <f t="shared" si="22"/>
        <v>May-2026</v>
      </c>
      <c r="D723" t="s">
        <v>252</v>
      </c>
      <c r="E723" t="str">
        <f>VLOOKUP(D723,Customers!A:H,7,0)</f>
        <v>Business Owner</v>
      </c>
      <c r="F723" t="s">
        <v>412</v>
      </c>
      <c r="G723" t="s">
        <v>150</v>
      </c>
      <c r="H723" t="str">
        <f>IFERROR(VLOOKUP(Transactions!G723,Merchants!A:B,2,FALSE),"Not Found")</f>
        <v>Nova Services</v>
      </c>
      <c r="I723" s="9">
        <v>57757.05</v>
      </c>
      <c r="J723" s="3">
        <v>173.27</v>
      </c>
      <c r="K723" t="s">
        <v>133</v>
      </c>
      <c r="L723" t="s">
        <v>59</v>
      </c>
      <c r="M723" t="s">
        <v>60</v>
      </c>
      <c r="N723" t="s">
        <v>67</v>
      </c>
      <c r="O723" t="s">
        <v>81</v>
      </c>
      <c r="P723" t="str">
        <f t="shared" si="23"/>
        <v>High Value</v>
      </c>
      <c r="Q723" t="str">
        <f>VLOOKUP(G723,Merchants!A:C,3,TRUE)</f>
        <v>Electronics</v>
      </c>
    </row>
    <row r="724" spans="1:17" x14ac:dyDescent="0.3">
      <c r="A724" t="s">
        <v>1249</v>
      </c>
      <c r="B724" s="2">
        <v>46260.880972222221</v>
      </c>
      <c r="C724" s="2" t="str">
        <f t="shared" si="22"/>
        <v>Aug-2026</v>
      </c>
      <c r="D724" t="s">
        <v>570</v>
      </c>
      <c r="E724" t="str">
        <f>VLOOKUP(D724,Customers!A:H,7,0)</f>
        <v>Business Owner</v>
      </c>
      <c r="F724" t="s">
        <v>1017</v>
      </c>
      <c r="G724" t="s">
        <v>783</v>
      </c>
      <c r="H724" t="str">
        <f>IFERROR(VLOOKUP(Transactions!G724,Merchants!A:B,2,FALSE),"Not Found")</f>
        <v>Daily Stores</v>
      </c>
      <c r="I724" s="9">
        <v>20950.900000000001</v>
      </c>
      <c r="J724" s="3">
        <v>209.51</v>
      </c>
      <c r="K724" t="s">
        <v>90</v>
      </c>
      <c r="L724" t="s">
        <v>59</v>
      </c>
      <c r="M724" t="s">
        <v>111</v>
      </c>
      <c r="N724" t="s">
        <v>67</v>
      </c>
      <c r="O724" t="s">
        <v>91</v>
      </c>
      <c r="P724" t="str">
        <f t="shared" si="23"/>
        <v>High Value</v>
      </c>
      <c r="Q724" t="str">
        <f>VLOOKUP(G724,Merchants!A:C,3,TRUE)</f>
        <v>Entertainment</v>
      </c>
    </row>
    <row r="725" spans="1:17" x14ac:dyDescent="0.3">
      <c r="A725" t="s">
        <v>1250</v>
      </c>
      <c r="B725" s="2">
        <v>46169.722731481481</v>
      </c>
      <c r="C725" s="2" t="str">
        <f t="shared" si="22"/>
        <v>May-2026</v>
      </c>
      <c r="D725" t="s">
        <v>109</v>
      </c>
      <c r="E725" t="str">
        <f>VLOOKUP(D725,Customers!A:H,7,0)</f>
        <v>Salaried</v>
      </c>
      <c r="F725" t="s">
        <v>813</v>
      </c>
      <c r="G725" t="s">
        <v>215</v>
      </c>
      <c r="H725" t="str">
        <f>IFERROR(VLOOKUP(Transactions!G725,Merchants!A:B,2,FALSE),"Not Found")</f>
        <v>Daily Hub</v>
      </c>
      <c r="I725" s="9">
        <v>19487.2</v>
      </c>
      <c r="J725" s="3">
        <v>58.46</v>
      </c>
      <c r="K725" t="s">
        <v>96</v>
      </c>
      <c r="L725" t="s">
        <v>59</v>
      </c>
      <c r="M725" t="s">
        <v>74</v>
      </c>
      <c r="N725" t="s">
        <v>67</v>
      </c>
      <c r="O725" t="s">
        <v>91</v>
      </c>
      <c r="P725" t="str">
        <f t="shared" si="23"/>
        <v>High Value</v>
      </c>
      <c r="Q725" t="str">
        <f>VLOOKUP(G725,Merchants!A:C,3,TRUE)</f>
        <v>Fashion</v>
      </c>
    </row>
    <row r="726" spans="1:17" x14ac:dyDescent="0.3">
      <c r="A726" t="s">
        <v>1251</v>
      </c>
      <c r="B726" s="2">
        <v>46284.379988425928</v>
      </c>
      <c r="C726" s="2" t="str">
        <f t="shared" si="22"/>
        <v>Sep-2026</v>
      </c>
      <c r="D726" t="s">
        <v>749</v>
      </c>
      <c r="E726" t="str">
        <f>VLOOKUP(D726,Customers!A:H,7,0)</f>
        <v>Self-employed</v>
      </c>
      <c r="F726" t="s">
        <v>588</v>
      </c>
      <c r="G726" t="s">
        <v>100</v>
      </c>
      <c r="H726" t="str">
        <f>IFERROR(VLOOKUP(Transactions!G726,Merchants!A:B,2,FALSE),"Not Found")</f>
        <v>Metro Stores</v>
      </c>
      <c r="I726" s="9">
        <v>6956.98</v>
      </c>
      <c r="J726" s="3">
        <v>13.91</v>
      </c>
      <c r="K726" t="s">
        <v>133</v>
      </c>
      <c r="L726" t="s">
        <v>73</v>
      </c>
      <c r="M726" t="s">
        <v>86</v>
      </c>
      <c r="N726" t="s">
        <v>67</v>
      </c>
      <c r="O726" t="s">
        <v>81</v>
      </c>
      <c r="P726" t="str">
        <f t="shared" si="23"/>
        <v>High Value</v>
      </c>
      <c r="Q726" t="str">
        <f>VLOOKUP(G726,Merchants!A:C,3,TRUE)</f>
        <v>Healthcare</v>
      </c>
    </row>
    <row r="727" spans="1:17" x14ac:dyDescent="0.3">
      <c r="A727" t="s">
        <v>1252</v>
      </c>
      <c r="B727" s="2">
        <v>45768.681921296287</v>
      </c>
      <c r="C727" s="2" t="str">
        <f t="shared" si="22"/>
        <v>Apr-2025</v>
      </c>
      <c r="D727" t="s">
        <v>808</v>
      </c>
      <c r="E727" t="str">
        <f>VLOOKUP(D727,Customers!A:H,7,0)</f>
        <v>Salaried</v>
      </c>
      <c r="F727" t="s">
        <v>462</v>
      </c>
      <c r="G727" t="s">
        <v>318</v>
      </c>
      <c r="H727" t="str">
        <f>IFERROR(VLOOKUP(Transactions!G727,Merchants!A:B,2,FALSE),"Not Found")</f>
        <v>Urban Digital</v>
      </c>
      <c r="I727" s="9">
        <v>22719.97</v>
      </c>
      <c r="J727" s="3">
        <v>68.16</v>
      </c>
      <c r="K727" t="s">
        <v>96</v>
      </c>
      <c r="L727" t="s">
        <v>157</v>
      </c>
      <c r="M727" t="s">
        <v>60</v>
      </c>
      <c r="N727" t="s">
        <v>67</v>
      </c>
      <c r="O727" t="s">
        <v>62</v>
      </c>
      <c r="P727" t="str">
        <f t="shared" si="23"/>
        <v>High Value</v>
      </c>
      <c r="Q727" t="str">
        <f>VLOOKUP(G727,Merchants!A:C,3,TRUE)</f>
        <v>Utilities</v>
      </c>
    </row>
    <row r="728" spans="1:17" x14ac:dyDescent="0.3">
      <c r="A728" t="s">
        <v>1253</v>
      </c>
      <c r="B728" s="2">
        <v>45823.658483796287</v>
      </c>
      <c r="C728" s="2" t="str">
        <f t="shared" si="22"/>
        <v>Jun-2025</v>
      </c>
      <c r="D728" t="s">
        <v>379</v>
      </c>
      <c r="E728" t="str">
        <f>VLOOKUP(D728,Customers!A:H,7,0)</f>
        <v>Student</v>
      </c>
      <c r="F728" t="s">
        <v>1254</v>
      </c>
      <c r="G728" t="s">
        <v>783</v>
      </c>
      <c r="H728" t="str">
        <f>IFERROR(VLOOKUP(Transactions!G728,Merchants!A:B,2,FALSE),"Not Found")</f>
        <v>Daily Stores</v>
      </c>
      <c r="I728" s="9">
        <v>48848.88</v>
      </c>
      <c r="J728" s="3">
        <v>146.55000000000001</v>
      </c>
      <c r="K728" t="s">
        <v>58</v>
      </c>
      <c r="L728" t="s">
        <v>73</v>
      </c>
      <c r="M728" t="s">
        <v>111</v>
      </c>
      <c r="N728" t="s">
        <v>67</v>
      </c>
      <c r="O728" t="s">
        <v>62</v>
      </c>
      <c r="P728" t="str">
        <f t="shared" si="23"/>
        <v>High Value</v>
      </c>
      <c r="Q728" t="str">
        <f>VLOOKUP(G728,Merchants!A:C,3,TRUE)</f>
        <v>Entertainment</v>
      </c>
    </row>
    <row r="729" spans="1:17" x14ac:dyDescent="0.3">
      <c r="A729" t="s">
        <v>1255</v>
      </c>
      <c r="B729" s="2">
        <v>45663.54546296296</v>
      </c>
      <c r="C729" s="2" t="str">
        <f t="shared" si="22"/>
        <v>Jan-2025</v>
      </c>
      <c r="D729" t="s">
        <v>320</v>
      </c>
      <c r="E729" t="str">
        <f>VLOOKUP(D729,Customers!A:H,7,0)</f>
        <v>Student</v>
      </c>
      <c r="F729" t="s">
        <v>793</v>
      </c>
      <c r="G729" t="s">
        <v>128</v>
      </c>
      <c r="H729" t="str">
        <f>IFERROR(VLOOKUP(Transactions!G729,Merchants!A:B,2,FALSE),"Not Found")</f>
        <v>Blue Foods</v>
      </c>
      <c r="I729" s="9">
        <v>46485.7</v>
      </c>
      <c r="J729" s="3">
        <v>92.97</v>
      </c>
      <c r="K729" t="s">
        <v>133</v>
      </c>
      <c r="L729" t="s">
        <v>59</v>
      </c>
      <c r="M729" t="s">
        <v>74</v>
      </c>
      <c r="N729" t="s">
        <v>67</v>
      </c>
      <c r="O729" t="s">
        <v>62</v>
      </c>
      <c r="P729" t="str">
        <f t="shared" si="23"/>
        <v>High Value</v>
      </c>
      <c r="Q729" t="str">
        <f>VLOOKUP(G729,Merchants!A:C,3,TRUE)</f>
        <v>Food &amp; Dining</v>
      </c>
    </row>
    <row r="730" spans="1:17" x14ac:dyDescent="0.3">
      <c r="A730" t="s">
        <v>1256</v>
      </c>
      <c r="B730" s="2">
        <v>46242.718668981477</v>
      </c>
      <c r="C730" s="2" t="str">
        <f t="shared" si="22"/>
        <v>Aug-2026</v>
      </c>
      <c r="D730" t="s">
        <v>570</v>
      </c>
      <c r="E730" t="str">
        <f>VLOOKUP(D730,Customers!A:H,7,0)</f>
        <v>Business Owner</v>
      </c>
      <c r="F730" t="s">
        <v>1115</v>
      </c>
      <c r="G730" t="s">
        <v>117</v>
      </c>
      <c r="H730" t="str">
        <f>IFERROR(VLOOKUP(Transactions!G730,Merchants!A:B,2,FALSE),"Not Found")</f>
        <v>Prime Pay</v>
      </c>
      <c r="I730" s="9">
        <v>30100.93</v>
      </c>
      <c r="J730" s="3">
        <v>90.3</v>
      </c>
      <c r="K730" t="s">
        <v>96</v>
      </c>
      <c r="L730" t="s">
        <v>59</v>
      </c>
      <c r="M730" t="s">
        <v>86</v>
      </c>
      <c r="N730" t="s">
        <v>67</v>
      </c>
      <c r="O730" t="s">
        <v>62</v>
      </c>
      <c r="P730" t="str">
        <f t="shared" si="23"/>
        <v>High Value</v>
      </c>
      <c r="Q730" t="str">
        <f>VLOOKUP(G730,Merchants!A:C,3,TRUE)</f>
        <v>Travel</v>
      </c>
    </row>
    <row r="731" spans="1:17" x14ac:dyDescent="0.3">
      <c r="A731" t="s">
        <v>1257</v>
      </c>
      <c r="B731" s="2">
        <v>46187.452418981477</v>
      </c>
      <c r="C731" s="2" t="str">
        <f t="shared" si="22"/>
        <v>Jun-2026</v>
      </c>
      <c r="D731" t="s">
        <v>817</v>
      </c>
      <c r="E731" t="str">
        <f>VLOOKUP(D731,Customers!A:H,7,0)</f>
        <v>Salaried</v>
      </c>
      <c r="F731" t="s">
        <v>423</v>
      </c>
      <c r="G731" t="s">
        <v>201</v>
      </c>
      <c r="H731" t="str">
        <f>IFERROR(VLOOKUP(Transactions!G731,Merchants!A:B,2,FALSE),"Not Found")</f>
        <v>Urban Stores</v>
      </c>
      <c r="I731" s="9">
        <v>6144.69</v>
      </c>
      <c r="J731" s="3">
        <v>12.29</v>
      </c>
      <c r="K731" t="s">
        <v>58</v>
      </c>
      <c r="L731" t="s">
        <v>59</v>
      </c>
      <c r="M731" t="s">
        <v>111</v>
      </c>
      <c r="N731" t="s">
        <v>61</v>
      </c>
      <c r="O731" t="s">
        <v>81</v>
      </c>
      <c r="P731" t="str">
        <f t="shared" si="23"/>
        <v>High Value</v>
      </c>
      <c r="Q731" t="str">
        <f>VLOOKUP(G731,Merchants!A:C,3,TRUE)</f>
        <v>Entertainment</v>
      </c>
    </row>
    <row r="732" spans="1:17" x14ac:dyDescent="0.3">
      <c r="A732" t="s">
        <v>1258</v>
      </c>
      <c r="B732" s="2">
        <v>46057.542951388888</v>
      </c>
      <c r="C732" s="2" t="str">
        <f t="shared" si="22"/>
        <v>Feb-2026</v>
      </c>
      <c r="D732" t="s">
        <v>177</v>
      </c>
      <c r="E732" t="str">
        <f>VLOOKUP(D732,Customers!A:H,7,0)</f>
        <v>Self-employed</v>
      </c>
      <c r="F732" t="s">
        <v>702</v>
      </c>
      <c r="G732" t="s">
        <v>71</v>
      </c>
      <c r="H732" t="str">
        <f>IFERROR(VLOOKUP(Transactions!G732,Merchants!A:B,2,FALSE),"Not Found")</f>
        <v>Metro Pay</v>
      </c>
      <c r="I732" s="9">
        <v>4170.37</v>
      </c>
      <c r="J732" s="3">
        <v>20.85</v>
      </c>
      <c r="K732" t="s">
        <v>90</v>
      </c>
      <c r="L732" t="s">
        <v>73</v>
      </c>
      <c r="M732" t="s">
        <v>60</v>
      </c>
      <c r="N732" t="s">
        <v>61</v>
      </c>
      <c r="O732" t="s">
        <v>91</v>
      </c>
      <c r="P732" t="str">
        <f t="shared" si="23"/>
        <v>High Value</v>
      </c>
      <c r="Q732" t="str">
        <f>VLOOKUP(G732,Merchants!A:C,3,TRUE)</f>
        <v>Fashion</v>
      </c>
    </row>
    <row r="733" spans="1:17" x14ac:dyDescent="0.3">
      <c r="A733" t="s">
        <v>1259</v>
      </c>
      <c r="B733" s="2">
        <v>46217.168194444443</v>
      </c>
      <c r="C733" s="2" t="str">
        <f t="shared" si="22"/>
        <v>Jul-2026</v>
      </c>
      <c r="D733" t="s">
        <v>484</v>
      </c>
      <c r="E733" t="str">
        <f>VLOOKUP(D733,Customers!A:H,7,0)</f>
        <v>Self-employed</v>
      </c>
      <c r="F733" t="s">
        <v>304</v>
      </c>
      <c r="G733" t="s">
        <v>175</v>
      </c>
      <c r="H733" t="str">
        <f>IFERROR(VLOOKUP(Transactions!G733,Merchants!A:B,2,FALSE),"Not Found")</f>
        <v>Fresh Mart</v>
      </c>
      <c r="I733" s="9">
        <v>35008.07</v>
      </c>
      <c r="J733" s="3">
        <v>175.04</v>
      </c>
      <c r="K733" t="s">
        <v>72</v>
      </c>
      <c r="L733" t="s">
        <v>157</v>
      </c>
      <c r="M733" t="s">
        <v>74</v>
      </c>
      <c r="N733" t="s">
        <v>61</v>
      </c>
      <c r="O733" t="s">
        <v>62</v>
      </c>
      <c r="P733" t="str">
        <f t="shared" si="23"/>
        <v>High Value</v>
      </c>
      <c r="Q733" t="str">
        <f>VLOOKUP(G733,Merchants!A:C,3,TRUE)</f>
        <v>Electronics</v>
      </c>
    </row>
    <row r="734" spans="1:17" x14ac:dyDescent="0.3">
      <c r="A734" t="s">
        <v>1260</v>
      </c>
      <c r="B734" s="2">
        <v>46000.090092592603</v>
      </c>
      <c r="C734" s="2" t="str">
        <f t="shared" si="22"/>
        <v>Dec-2025</v>
      </c>
      <c r="D734" t="s">
        <v>261</v>
      </c>
      <c r="E734" t="str">
        <f>VLOOKUP(D734,Customers!A:H,7,0)</f>
        <v>Student</v>
      </c>
      <c r="F734" t="s">
        <v>369</v>
      </c>
      <c r="G734" t="s">
        <v>607</v>
      </c>
      <c r="H734" t="str">
        <f>IFERROR(VLOOKUP(Transactions!G734,Merchants!A:B,2,FALSE),"Not Found")</f>
        <v>Daily Digital</v>
      </c>
      <c r="I734" s="9">
        <v>8443.39</v>
      </c>
      <c r="J734" s="3">
        <v>42.22</v>
      </c>
      <c r="K734" t="s">
        <v>90</v>
      </c>
      <c r="L734" t="s">
        <v>59</v>
      </c>
      <c r="M734" t="s">
        <v>74</v>
      </c>
      <c r="N734" t="s">
        <v>67</v>
      </c>
      <c r="O734" t="s">
        <v>91</v>
      </c>
      <c r="P734" t="str">
        <f t="shared" si="23"/>
        <v>High Value</v>
      </c>
      <c r="Q734" t="str">
        <f>VLOOKUP(G734,Merchants!A:C,3,TRUE)</f>
        <v>Healthcare</v>
      </c>
    </row>
    <row r="735" spans="1:17" x14ac:dyDescent="0.3">
      <c r="A735" t="s">
        <v>1261</v>
      </c>
      <c r="B735" s="2">
        <v>46012.107349537036</v>
      </c>
      <c r="C735" s="2" t="str">
        <f t="shared" si="22"/>
        <v>Dec-2025</v>
      </c>
      <c r="D735" t="s">
        <v>390</v>
      </c>
      <c r="E735" t="str">
        <f>VLOOKUP(D735,Customers!A:H,7,0)</f>
        <v>Student</v>
      </c>
      <c r="F735" t="s">
        <v>228</v>
      </c>
      <c r="G735" t="s">
        <v>146</v>
      </c>
      <c r="H735" t="str">
        <f>IFERROR(VLOOKUP(Transactions!G735,Merchants!A:B,2,FALSE),"Not Found")</f>
        <v>Prime Mart</v>
      </c>
      <c r="I735" s="9">
        <v>56999.48</v>
      </c>
      <c r="J735" s="3">
        <v>114</v>
      </c>
      <c r="K735" t="s">
        <v>72</v>
      </c>
      <c r="L735" t="s">
        <v>59</v>
      </c>
      <c r="M735" t="s">
        <v>86</v>
      </c>
      <c r="N735" t="s">
        <v>67</v>
      </c>
      <c r="O735" t="s">
        <v>91</v>
      </c>
      <c r="P735" t="str">
        <f t="shared" si="23"/>
        <v>High Value</v>
      </c>
      <c r="Q735" t="str">
        <f>VLOOKUP(G735,Merchants!A:C,3,TRUE)</f>
        <v>Food &amp; Dining</v>
      </c>
    </row>
    <row r="736" spans="1:17" x14ac:dyDescent="0.3">
      <c r="A736" t="s">
        <v>1262</v>
      </c>
      <c r="B736" s="2">
        <v>46166.770046296297</v>
      </c>
      <c r="C736" s="2" t="str">
        <f t="shared" si="22"/>
        <v>May-2026</v>
      </c>
      <c r="D736" t="s">
        <v>948</v>
      </c>
      <c r="E736" t="str">
        <f>VLOOKUP(D736,Customers!A:H,7,0)</f>
        <v>Student</v>
      </c>
      <c r="F736" t="s">
        <v>415</v>
      </c>
      <c r="G736" t="s">
        <v>322</v>
      </c>
      <c r="H736" t="str">
        <f>IFERROR(VLOOKUP(Transactions!G736,Merchants!A:B,2,FALSE),"Not Found")</f>
        <v>Metro Pay</v>
      </c>
      <c r="I736" s="9">
        <v>13592.18</v>
      </c>
      <c r="J736" s="3">
        <v>135.91999999999999</v>
      </c>
      <c r="K736" t="s">
        <v>58</v>
      </c>
      <c r="L736" t="s">
        <v>59</v>
      </c>
      <c r="M736" t="s">
        <v>86</v>
      </c>
      <c r="N736" t="s">
        <v>67</v>
      </c>
      <c r="O736" t="s">
        <v>62</v>
      </c>
      <c r="P736" t="str">
        <f t="shared" si="23"/>
        <v>High Value</v>
      </c>
      <c r="Q736" t="str">
        <f>VLOOKUP(G736,Merchants!A:C,3,TRUE)</f>
        <v>Grocery</v>
      </c>
    </row>
    <row r="737" spans="1:17" x14ac:dyDescent="0.3">
      <c r="A737" t="s">
        <v>1263</v>
      </c>
      <c r="B737" s="2">
        <v>46205.92255787037</v>
      </c>
      <c r="C737" s="2" t="str">
        <f t="shared" si="22"/>
        <v>Jul-2026</v>
      </c>
      <c r="D737" t="s">
        <v>390</v>
      </c>
      <c r="E737" t="str">
        <f>VLOOKUP(D737,Customers!A:H,7,0)</f>
        <v>Student</v>
      </c>
      <c r="F737" t="s">
        <v>505</v>
      </c>
      <c r="G737" t="s">
        <v>607</v>
      </c>
      <c r="H737" t="str">
        <f>IFERROR(VLOOKUP(Transactions!G737,Merchants!A:B,2,FALSE),"Not Found")</f>
        <v>Daily Digital</v>
      </c>
      <c r="I737" s="9">
        <v>51631.64</v>
      </c>
      <c r="J737" s="3">
        <v>103.26</v>
      </c>
      <c r="K737" t="s">
        <v>96</v>
      </c>
      <c r="L737" t="s">
        <v>80</v>
      </c>
      <c r="M737" t="s">
        <v>74</v>
      </c>
      <c r="N737" t="s">
        <v>67</v>
      </c>
      <c r="O737" t="s">
        <v>75</v>
      </c>
      <c r="P737" t="str">
        <f t="shared" si="23"/>
        <v>High Value</v>
      </c>
      <c r="Q737" t="str">
        <f>VLOOKUP(G737,Merchants!A:C,3,TRUE)</f>
        <v>Healthcare</v>
      </c>
    </row>
    <row r="738" spans="1:17" x14ac:dyDescent="0.3">
      <c r="A738" t="s">
        <v>1264</v>
      </c>
      <c r="B738" s="2">
        <v>46095.833668981482</v>
      </c>
      <c r="C738" s="2" t="str">
        <f t="shared" si="22"/>
        <v>Mar-2026</v>
      </c>
      <c r="D738" t="s">
        <v>220</v>
      </c>
      <c r="E738" t="str">
        <f>VLOOKUP(D738,Customers!A:H,7,0)</f>
        <v>Student</v>
      </c>
      <c r="F738" t="s">
        <v>557</v>
      </c>
      <c r="G738" t="s">
        <v>201</v>
      </c>
      <c r="H738" t="str">
        <f>IFERROR(VLOOKUP(Transactions!G738,Merchants!A:B,2,FALSE),"Not Found")</f>
        <v>Urban Stores</v>
      </c>
      <c r="I738" s="9">
        <v>8352.4500000000007</v>
      </c>
      <c r="J738" s="3">
        <v>41.76</v>
      </c>
      <c r="K738" t="s">
        <v>96</v>
      </c>
      <c r="L738" t="s">
        <v>59</v>
      </c>
      <c r="M738" t="s">
        <v>86</v>
      </c>
      <c r="N738" t="s">
        <v>67</v>
      </c>
      <c r="O738" t="s">
        <v>62</v>
      </c>
      <c r="P738" t="str">
        <f t="shared" si="23"/>
        <v>High Value</v>
      </c>
      <c r="Q738" t="str">
        <f>VLOOKUP(G738,Merchants!A:C,3,TRUE)</f>
        <v>Entertainment</v>
      </c>
    </row>
    <row r="739" spans="1:17" x14ac:dyDescent="0.3">
      <c r="A739" t="s">
        <v>1265</v>
      </c>
      <c r="B739" s="2">
        <v>45752.892951388887</v>
      </c>
      <c r="C739" s="2" t="str">
        <f t="shared" si="22"/>
        <v>Apr-2025</v>
      </c>
      <c r="D739" t="s">
        <v>338</v>
      </c>
      <c r="E739" t="str">
        <f>VLOOKUP(D739,Customers!A:H,7,0)</f>
        <v>Student</v>
      </c>
      <c r="F739" t="s">
        <v>374</v>
      </c>
      <c r="G739" t="s">
        <v>192</v>
      </c>
      <c r="H739" t="str">
        <f>IFERROR(VLOOKUP(Transactions!G739,Merchants!A:B,2,FALSE),"Not Found")</f>
        <v>Blue Foods</v>
      </c>
      <c r="I739" s="9">
        <v>701.97</v>
      </c>
      <c r="J739" s="3">
        <v>1.4</v>
      </c>
      <c r="K739" t="s">
        <v>58</v>
      </c>
      <c r="L739" t="s">
        <v>59</v>
      </c>
      <c r="M739" t="s">
        <v>86</v>
      </c>
      <c r="N739" t="s">
        <v>67</v>
      </c>
      <c r="O739" t="s">
        <v>62</v>
      </c>
      <c r="P739" t="str">
        <f t="shared" si="23"/>
        <v>Standard</v>
      </c>
      <c r="Q739" t="str">
        <f>VLOOKUP(G739,Merchants!A:C,3,TRUE)</f>
        <v>Travel</v>
      </c>
    </row>
    <row r="740" spans="1:17" x14ac:dyDescent="0.3">
      <c r="A740" t="s">
        <v>1266</v>
      </c>
      <c r="B740" s="2">
        <v>46107.273958333331</v>
      </c>
      <c r="C740" s="2" t="str">
        <f t="shared" si="22"/>
        <v>Mar-2026</v>
      </c>
      <c r="D740" t="s">
        <v>599</v>
      </c>
      <c r="E740" t="str">
        <f>VLOOKUP(D740,Customers!A:H,7,0)</f>
        <v>Student</v>
      </c>
      <c r="F740" t="s">
        <v>1267</v>
      </c>
      <c r="G740" t="s">
        <v>382</v>
      </c>
      <c r="H740" t="str">
        <f>IFERROR(VLOOKUP(Transactions!G740,Merchants!A:B,2,FALSE),"Not Found")</f>
        <v>Fresh Foods</v>
      </c>
      <c r="I740" s="9">
        <v>17027.5</v>
      </c>
      <c r="J740" s="3">
        <v>51.08</v>
      </c>
      <c r="K740" t="s">
        <v>96</v>
      </c>
      <c r="L740" t="s">
        <v>59</v>
      </c>
      <c r="M740" t="s">
        <v>74</v>
      </c>
      <c r="N740" t="s">
        <v>67</v>
      </c>
      <c r="O740" t="s">
        <v>91</v>
      </c>
      <c r="P740" t="str">
        <f t="shared" si="23"/>
        <v>High Value</v>
      </c>
      <c r="Q740" t="str">
        <f>VLOOKUP(G740,Merchants!A:C,3,TRUE)</f>
        <v>Healthcare</v>
      </c>
    </row>
    <row r="741" spans="1:17" x14ac:dyDescent="0.3">
      <c r="A741" t="s">
        <v>1268</v>
      </c>
      <c r="B741" s="2">
        <v>45736.379560185182</v>
      </c>
      <c r="C741" s="2" t="str">
        <f t="shared" si="22"/>
        <v>Mar-2025</v>
      </c>
      <c r="D741" t="s">
        <v>441</v>
      </c>
      <c r="E741" t="str">
        <f>VLOOKUP(D741,Customers!A:H,7,0)</f>
        <v>Business Owner</v>
      </c>
      <c r="F741" t="s">
        <v>1269</v>
      </c>
      <c r="G741" t="s">
        <v>263</v>
      </c>
      <c r="H741" t="str">
        <f>IFERROR(VLOOKUP(Transactions!G741,Merchants!A:B,2,FALSE),"Not Found")</f>
        <v>Urban Retail</v>
      </c>
      <c r="I741" s="9">
        <v>56308.37</v>
      </c>
      <c r="J741" s="3">
        <v>281.54000000000002</v>
      </c>
      <c r="K741" t="s">
        <v>72</v>
      </c>
      <c r="L741" t="s">
        <v>59</v>
      </c>
      <c r="M741" t="s">
        <v>60</v>
      </c>
      <c r="N741" t="s">
        <v>67</v>
      </c>
      <c r="O741" t="s">
        <v>81</v>
      </c>
      <c r="P741" t="str">
        <f t="shared" si="23"/>
        <v>High Value</v>
      </c>
      <c r="Q741" t="str">
        <f>VLOOKUP(G741,Merchants!A:C,3,TRUE)</f>
        <v>Grocery</v>
      </c>
    </row>
    <row r="742" spans="1:17" x14ac:dyDescent="0.3">
      <c r="A742" t="s">
        <v>1270</v>
      </c>
      <c r="B742" s="2">
        <v>45984.821342592593</v>
      </c>
      <c r="C742" s="2" t="str">
        <f t="shared" si="22"/>
        <v>Nov-2025</v>
      </c>
      <c r="D742" t="s">
        <v>350</v>
      </c>
      <c r="E742" t="str">
        <f>VLOOKUP(D742,Customers!A:H,7,0)</f>
        <v>Business Owner</v>
      </c>
      <c r="F742" t="s">
        <v>595</v>
      </c>
      <c r="G742" t="s">
        <v>79</v>
      </c>
      <c r="H742" t="str">
        <f>IFERROR(VLOOKUP(Transactions!G742,Merchants!A:B,2,FALSE),"Not Found")</f>
        <v>Nova Retail</v>
      </c>
      <c r="I742" s="9">
        <v>30256.38</v>
      </c>
      <c r="J742" s="3">
        <v>302.56</v>
      </c>
      <c r="K742" t="s">
        <v>58</v>
      </c>
      <c r="L742" t="s">
        <v>59</v>
      </c>
      <c r="M742" t="s">
        <v>111</v>
      </c>
      <c r="N742" t="s">
        <v>67</v>
      </c>
      <c r="O742" t="s">
        <v>62</v>
      </c>
      <c r="P742" t="str">
        <f t="shared" si="23"/>
        <v>High Value</v>
      </c>
      <c r="Q742" t="str">
        <f>VLOOKUP(G742,Merchants!A:C,3,TRUE)</f>
        <v>Grocery</v>
      </c>
    </row>
    <row r="743" spans="1:17" x14ac:dyDescent="0.3">
      <c r="A743" t="s">
        <v>1271</v>
      </c>
      <c r="B743" s="2">
        <v>45970.838865740741</v>
      </c>
      <c r="C743" s="2" t="str">
        <f t="shared" si="22"/>
        <v>Nov-2025</v>
      </c>
      <c r="D743" t="s">
        <v>154</v>
      </c>
      <c r="E743" t="str">
        <f>VLOOKUP(D743,Customers!A:H,7,0)</f>
        <v>Self-employed</v>
      </c>
      <c r="F743" t="s">
        <v>354</v>
      </c>
      <c r="G743" t="s">
        <v>107</v>
      </c>
      <c r="H743" t="str">
        <f>IFERROR(VLOOKUP(Transactions!G743,Merchants!A:B,2,FALSE),"Not Found")</f>
        <v>Blue Services</v>
      </c>
      <c r="I743" s="9">
        <v>12725.1</v>
      </c>
      <c r="J743" s="3">
        <v>38.18</v>
      </c>
      <c r="K743" t="s">
        <v>96</v>
      </c>
      <c r="L743" t="s">
        <v>59</v>
      </c>
      <c r="M743" t="s">
        <v>74</v>
      </c>
      <c r="N743" t="s">
        <v>67</v>
      </c>
      <c r="O743" t="s">
        <v>91</v>
      </c>
      <c r="P743" t="str">
        <f t="shared" si="23"/>
        <v>High Value</v>
      </c>
      <c r="Q743" t="str">
        <f>VLOOKUP(G743,Merchants!A:C,3,TRUE)</f>
        <v>Travel</v>
      </c>
    </row>
    <row r="744" spans="1:17" x14ac:dyDescent="0.3">
      <c r="A744" t="s">
        <v>1272</v>
      </c>
      <c r="B744" s="2">
        <v>46168.051203703697</v>
      </c>
      <c r="C744" s="2" t="str">
        <f t="shared" si="22"/>
        <v>May-2026</v>
      </c>
      <c r="D744" t="s">
        <v>135</v>
      </c>
      <c r="E744" t="str">
        <f>VLOOKUP(D744,Customers!A:H,7,0)</f>
        <v>Salaried</v>
      </c>
      <c r="F744" t="s">
        <v>1273</v>
      </c>
      <c r="G744" t="s">
        <v>79</v>
      </c>
      <c r="H744" t="str">
        <f>IFERROR(VLOOKUP(Transactions!G744,Merchants!A:B,2,FALSE),"Not Found")</f>
        <v>Nova Retail</v>
      </c>
      <c r="I744" s="9">
        <v>16290.88</v>
      </c>
      <c r="J744" s="3">
        <v>81.45</v>
      </c>
      <c r="K744" t="s">
        <v>133</v>
      </c>
      <c r="L744" t="s">
        <v>59</v>
      </c>
      <c r="M744" t="s">
        <v>74</v>
      </c>
      <c r="N744" t="s">
        <v>61</v>
      </c>
      <c r="O744" t="s">
        <v>91</v>
      </c>
      <c r="P744" t="str">
        <f t="shared" si="23"/>
        <v>High Value</v>
      </c>
      <c r="Q744" t="str">
        <f>VLOOKUP(G744,Merchants!A:C,3,TRUE)</f>
        <v>Grocery</v>
      </c>
    </row>
    <row r="745" spans="1:17" x14ac:dyDescent="0.3">
      <c r="A745" t="s">
        <v>1274</v>
      </c>
      <c r="B745" s="2">
        <v>46049.583541666667</v>
      </c>
      <c r="C745" s="2" t="str">
        <f t="shared" si="22"/>
        <v>Jan-2026</v>
      </c>
      <c r="D745" t="s">
        <v>1181</v>
      </c>
      <c r="E745" t="str">
        <f>VLOOKUP(D745,Customers!A:H,7,0)</f>
        <v>Business Owner</v>
      </c>
      <c r="F745" t="s">
        <v>1275</v>
      </c>
      <c r="G745" t="s">
        <v>117</v>
      </c>
      <c r="H745" t="str">
        <f>IFERROR(VLOOKUP(Transactions!G745,Merchants!A:B,2,FALSE),"Not Found")</f>
        <v>Prime Pay</v>
      </c>
      <c r="I745" s="9">
        <v>26696.78</v>
      </c>
      <c r="J745" s="3">
        <v>266.97000000000003</v>
      </c>
      <c r="K745" t="s">
        <v>133</v>
      </c>
      <c r="L745" t="s">
        <v>59</v>
      </c>
      <c r="M745" t="s">
        <v>86</v>
      </c>
      <c r="N745" t="s">
        <v>61</v>
      </c>
      <c r="O745" t="s">
        <v>91</v>
      </c>
      <c r="P745" t="str">
        <f t="shared" si="23"/>
        <v>High Value</v>
      </c>
      <c r="Q745" t="str">
        <f>VLOOKUP(G745,Merchants!A:C,3,TRUE)</f>
        <v>Travel</v>
      </c>
    </row>
    <row r="746" spans="1:17" x14ac:dyDescent="0.3">
      <c r="A746" t="s">
        <v>1276</v>
      </c>
      <c r="B746" s="2">
        <v>46212.527627314812</v>
      </c>
      <c r="C746" s="2" t="str">
        <f t="shared" si="22"/>
        <v>Jul-2026</v>
      </c>
      <c r="D746" t="s">
        <v>352</v>
      </c>
      <c r="E746" t="str">
        <f>VLOOKUP(D746,Customers!A:H,7,0)</f>
        <v>Self-employed</v>
      </c>
      <c r="F746" t="s">
        <v>1277</v>
      </c>
      <c r="G746" t="s">
        <v>168</v>
      </c>
      <c r="H746" t="str">
        <f>IFERROR(VLOOKUP(Transactions!G746,Merchants!A:B,2,FALSE),"Not Found")</f>
        <v>Quick Hub</v>
      </c>
      <c r="I746" s="9">
        <v>56239.71</v>
      </c>
      <c r="J746" s="3">
        <v>281.2</v>
      </c>
      <c r="K746" t="s">
        <v>90</v>
      </c>
      <c r="L746" t="s">
        <v>157</v>
      </c>
      <c r="M746" t="s">
        <v>86</v>
      </c>
      <c r="N746" t="s">
        <v>61</v>
      </c>
      <c r="O746" t="s">
        <v>75</v>
      </c>
      <c r="P746" t="str">
        <f t="shared" si="23"/>
        <v>High Value</v>
      </c>
      <c r="Q746" t="str">
        <f>VLOOKUP(G746,Merchants!A:C,3,TRUE)</f>
        <v>Utilities</v>
      </c>
    </row>
    <row r="747" spans="1:17" x14ac:dyDescent="0.3">
      <c r="A747" t="s">
        <v>1278</v>
      </c>
      <c r="B747" s="2">
        <v>46095.086643518523</v>
      </c>
      <c r="C747" s="2" t="str">
        <f t="shared" si="22"/>
        <v>Mar-2026</v>
      </c>
      <c r="D747" t="s">
        <v>680</v>
      </c>
      <c r="E747" t="str">
        <f>VLOOKUP(D747,Customers!A:H,7,0)</f>
        <v>Self-employed</v>
      </c>
      <c r="F747" t="s">
        <v>188</v>
      </c>
      <c r="G747" t="s">
        <v>117</v>
      </c>
      <c r="H747" t="str">
        <f>IFERROR(VLOOKUP(Transactions!G747,Merchants!A:B,2,FALSE),"Not Found")</f>
        <v>Prime Pay</v>
      </c>
      <c r="I747" s="9">
        <v>48463.06</v>
      </c>
      <c r="J747" s="3">
        <v>242.32</v>
      </c>
      <c r="K747" t="s">
        <v>133</v>
      </c>
      <c r="L747" t="s">
        <v>59</v>
      </c>
      <c r="M747" t="s">
        <v>60</v>
      </c>
      <c r="N747" t="s">
        <v>67</v>
      </c>
      <c r="O747" t="s">
        <v>75</v>
      </c>
      <c r="P747" t="str">
        <f t="shared" si="23"/>
        <v>High Value</v>
      </c>
      <c r="Q747" t="str">
        <f>VLOOKUP(G747,Merchants!A:C,3,TRUE)</f>
        <v>Travel</v>
      </c>
    </row>
    <row r="748" spans="1:17" x14ac:dyDescent="0.3">
      <c r="A748" t="s">
        <v>1279</v>
      </c>
      <c r="B748" s="2">
        <v>46136.361388888887</v>
      </c>
      <c r="C748" s="2" t="str">
        <f t="shared" si="22"/>
        <v>Apr-2026</v>
      </c>
      <c r="D748" t="s">
        <v>135</v>
      </c>
      <c r="E748" t="str">
        <f>VLOOKUP(D748,Customers!A:H,7,0)</f>
        <v>Salaried</v>
      </c>
      <c r="F748" t="s">
        <v>301</v>
      </c>
      <c r="G748" t="s">
        <v>347</v>
      </c>
      <c r="H748" t="str">
        <f>IFERROR(VLOOKUP(Transactions!G748,Merchants!A:B,2,FALSE),"Not Found")</f>
        <v>Nova Hub</v>
      </c>
      <c r="I748" s="9">
        <v>7999.18</v>
      </c>
      <c r="J748" s="3">
        <v>40</v>
      </c>
      <c r="K748" t="s">
        <v>72</v>
      </c>
      <c r="L748" t="s">
        <v>59</v>
      </c>
      <c r="M748" t="s">
        <v>60</v>
      </c>
      <c r="N748" t="s">
        <v>61</v>
      </c>
      <c r="O748" t="s">
        <v>91</v>
      </c>
      <c r="P748" t="str">
        <f t="shared" si="23"/>
        <v>High Value</v>
      </c>
      <c r="Q748" t="str">
        <f>VLOOKUP(G748,Merchants!A:C,3,TRUE)</f>
        <v>Fuel</v>
      </c>
    </row>
    <row r="749" spans="1:17" x14ac:dyDescent="0.3">
      <c r="A749" t="s">
        <v>1280</v>
      </c>
      <c r="B749" s="2">
        <v>46288.416076388887</v>
      </c>
      <c r="C749" s="2" t="str">
        <f t="shared" si="22"/>
        <v>Sep-2026</v>
      </c>
      <c r="D749" t="s">
        <v>93</v>
      </c>
      <c r="E749" t="str">
        <f>VLOOKUP(D749,Customers!A:H,7,0)</f>
        <v>Student</v>
      </c>
      <c r="F749" t="s">
        <v>489</v>
      </c>
      <c r="G749" t="s">
        <v>71</v>
      </c>
      <c r="H749" t="str">
        <f>IFERROR(VLOOKUP(Transactions!G749,Merchants!A:B,2,FALSE),"Not Found")</f>
        <v>Metro Pay</v>
      </c>
      <c r="I749" s="9">
        <v>21765.52</v>
      </c>
      <c r="J749" s="3">
        <v>43.53</v>
      </c>
      <c r="K749" t="s">
        <v>72</v>
      </c>
      <c r="L749" t="s">
        <v>80</v>
      </c>
      <c r="M749" t="s">
        <v>60</v>
      </c>
      <c r="N749" t="s">
        <v>67</v>
      </c>
      <c r="O749" t="s">
        <v>75</v>
      </c>
      <c r="P749" t="str">
        <f t="shared" si="23"/>
        <v>High Value</v>
      </c>
      <c r="Q749" t="str">
        <f>VLOOKUP(G749,Merchants!A:C,3,TRUE)</f>
        <v>Fashion</v>
      </c>
    </row>
    <row r="750" spans="1:17" x14ac:dyDescent="0.3">
      <c r="A750" t="s">
        <v>1281</v>
      </c>
      <c r="B750" s="2">
        <v>46131.026192129633</v>
      </c>
      <c r="C750" s="2" t="str">
        <f t="shared" si="22"/>
        <v>Apr-2026</v>
      </c>
      <c r="D750" t="s">
        <v>515</v>
      </c>
      <c r="E750" t="str">
        <f>VLOOKUP(D750,Customers!A:H,7,0)</f>
        <v>Business Owner</v>
      </c>
      <c r="F750" t="s">
        <v>247</v>
      </c>
      <c r="G750" t="s">
        <v>164</v>
      </c>
      <c r="H750" t="str">
        <f>IFERROR(VLOOKUP(Transactions!G750,Merchants!A:B,2,FALSE),"Not Found")</f>
        <v>Green Foods</v>
      </c>
      <c r="I750" s="9">
        <v>26450.57</v>
      </c>
      <c r="J750" s="3">
        <v>132.25</v>
      </c>
      <c r="K750" t="s">
        <v>90</v>
      </c>
      <c r="L750" t="s">
        <v>59</v>
      </c>
      <c r="M750" t="s">
        <v>74</v>
      </c>
      <c r="N750" t="s">
        <v>67</v>
      </c>
      <c r="O750" t="s">
        <v>91</v>
      </c>
      <c r="P750" t="str">
        <f t="shared" si="23"/>
        <v>High Value</v>
      </c>
      <c r="Q750" t="str">
        <f>VLOOKUP(G750,Merchants!A:C,3,TRUE)</f>
        <v>Grocery</v>
      </c>
    </row>
    <row r="751" spans="1:17" x14ac:dyDescent="0.3">
      <c r="A751" t="s">
        <v>1282</v>
      </c>
      <c r="B751" s="2">
        <v>45941.925879629627</v>
      </c>
      <c r="C751" s="2" t="str">
        <f t="shared" si="22"/>
        <v>Oct-2025</v>
      </c>
      <c r="D751" t="s">
        <v>556</v>
      </c>
      <c r="E751" t="str">
        <f>VLOOKUP(D751,Customers!A:H,7,0)</f>
        <v>Business Owner</v>
      </c>
      <c r="F751" t="s">
        <v>315</v>
      </c>
      <c r="G751" t="s">
        <v>79</v>
      </c>
      <c r="H751" t="str">
        <f>IFERROR(VLOOKUP(Transactions!G751,Merchants!A:B,2,FALSE),"Not Found")</f>
        <v>Nova Retail</v>
      </c>
      <c r="I751" s="9">
        <v>33131.730000000003</v>
      </c>
      <c r="J751" s="3">
        <v>331.32</v>
      </c>
      <c r="K751" t="s">
        <v>72</v>
      </c>
      <c r="L751" t="s">
        <v>157</v>
      </c>
      <c r="M751" t="s">
        <v>74</v>
      </c>
      <c r="N751" t="s">
        <v>67</v>
      </c>
      <c r="O751" t="s">
        <v>62</v>
      </c>
      <c r="P751" t="str">
        <f t="shared" si="23"/>
        <v>High Value</v>
      </c>
      <c r="Q751" t="str">
        <f>VLOOKUP(G751,Merchants!A:C,3,TRUE)</f>
        <v>Grocery</v>
      </c>
    </row>
    <row r="752" spans="1:17" x14ac:dyDescent="0.3">
      <c r="A752" t="s">
        <v>1283</v>
      </c>
      <c r="B752" s="2">
        <v>45836.22284722222</v>
      </c>
      <c r="C752" s="2" t="str">
        <f t="shared" si="22"/>
        <v>Jun-2025</v>
      </c>
      <c r="D752" t="s">
        <v>419</v>
      </c>
      <c r="E752" t="str">
        <f>VLOOKUP(D752,Customers!A:H,7,0)</f>
        <v>Student</v>
      </c>
      <c r="F752" t="s">
        <v>99</v>
      </c>
      <c r="G752" t="s">
        <v>175</v>
      </c>
      <c r="H752" t="str">
        <f>IFERROR(VLOOKUP(Transactions!G752,Merchants!A:B,2,FALSE),"Not Found")</f>
        <v>Fresh Mart</v>
      </c>
      <c r="I752" s="9">
        <v>52287.23</v>
      </c>
      <c r="J752" s="3">
        <v>156.86000000000001</v>
      </c>
      <c r="K752" t="s">
        <v>90</v>
      </c>
      <c r="L752" t="s">
        <v>80</v>
      </c>
      <c r="M752" t="s">
        <v>74</v>
      </c>
      <c r="N752" t="s">
        <v>61</v>
      </c>
      <c r="O752" t="s">
        <v>91</v>
      </c>
      <c r="P752" t="str">
        <f t="shared" si="23"/>
        <v>High Value</v>
      </c>
      <c r="Q752" t="str">
        <f>VLOOKUP(G752,Merchants!A:C,3,TRUE)</f>
        <v>Electronics</v>
      </c>
    </row>
    <row r="753" spans="1:17" x14ac:dyDescent="0.3">
      <c r="A753" t="s">
        <v>1284</v>
      </c>
      <c r="B753" s="2">
        <v>46224.345810185187</v>
      </c>
      <c r="C753" s="2" t="str">
        <f t="shared" si="22"/>
        <v>Jul-2026</v>
      </c>
      <c r="D753" t="s">
        <v>356</v>
      </c>
      <c r="E753" t="str">
        <f>VLOOKUP(D753,Customers!A:H,7,0)</f>
        <v>Self-employed</v>
      </c>
      <c r="F753" t="s">
        <v>722</v>
      </c>
      <c r="G753" t="s">
        <v>128</v>
      </c>
      <c r="H753" t="str">
        <f>IFERROR(VLOOKUP(Transactions!G753,Merchants!A:B,2,FALSE),"Not Found")</f>
        <v>Blue Foods</v>
      </c>
      <c r="I753" s="9">
        <v>3742.69</v>
      </c>
      <c r="J753" s="3">
        <v>18.71</v>
      </c>
      <c r="K753" t="s">
        <v>72</v>
      </c>
      <c r="L753" t="s">
        <v>80</v>
      </c>
      <c r="M753" t="s">
        <v>86</v>
      </c>
      <c r="N753" t="s">
        <v>67</v>
      </c>
      <c r="O753" t="s">
        <v>81</v>
      </c>
      <c r="P753" t="str">
        <f t="shared" si="23"/>
        <v>High Value</v>
      </c>
      <c r="Q753" t="str">
        <f>VLOOKUP(G753,Merchants!A:C,3,TRUE)</f>
        <v>Food &amp; Dining</v>
      </c>
    </row>
    <row r="754" spans="1:17" x14ac:dyDescent="0.3">
      <c r="A754" t="s">
        <v>1285</v>
      </c>
      <c r="B754" s="2">
        <v>45769.117534722223</v>
      </c>
      <c r="C754" s="2" t="str">
        <f t="shared" si="22"/>
        <v>Apr-2025</v>
      </c>
      <c r="D754" t="s">
        <v>618</v>
      </c>
      <c r="E754" t="str">
        <f>VLOOKUP(D754,Customers!A:H,7,0)</f>
        <v>Business Owner</v>
      </c>
      <c r="F754" t="s">
        <v>485</v>
      </c>
      <c r="G754" t="s">
        <v>182</v>
      </c>
      <c r="H754" t="str">
        <f>IFERROR(VLOOKUP(Transactions!G754,Merchants!A:B,2,FALSE),"Not Found")</f>
        <v>Fresh Hub</v>
      </c>
      <c r="I754" s="9">
        <v>30465.58</v>
      </c>
      <c r="J754" s="3">
        <v>60.93</v>
      </c>
      <c r="K754" t="s">
        <v>133</v>
      </c>
      <c r="L754" t="s">
        <v>59</v>
      </c>
      <c r="M754" t="s">
        <v>60</v>
      </c>
      <c r="N754" t="s">
        <v>61</v>
      </c>
      <c r="O754" t="s">
        <v>91</v>
      </c>
      <c r="P754" t="str">
        <f t="shared" si="23"/>
        <v>High Value</v>
      </c>
      <c r="Q754" t="str">
        <f>VLOOKUP(G754,Merchants!A:C,3,TRUE)</f>
        <v>Healthcare</v>
      </c>
    </row>
    <row r="755" spans="1:17" x14ac:dyDescent="0.3">
      <c r="A755" t="s">
        <v>1286</v>
      </c>
      <c r="B755" s="2">
        <v>46094.429444444453</v>
      </c>
      <c r="C755" s="2" t="str">
        <f t="shared" si="22"/>
        <v>Mar-2026</v>
      </c>
      <c r="D755" t="s">
        <v>170</v>
      </c>
      <c r="E755" t="str">
        <f>VLOOKUP(D755,Customers!A:H,7,0)</f>
        <v>Self-employed</v>
      </c>
      <c r="F755" t="s">
        <v>399</v>
      </c>
      <c r="G755" t="s">
        <v>66</v>
      </c>
      <c r="H755" t="str">
        <f>IFERROR(VLOOKUP(Transactions!G755,Merchants!A:B,2,FALSE),"Not Found")</f>
        <v>Prime Digital</v>
      </c>
      <c r="I755" s="9">
        <v>8670.4599999999991</v>
      </c>
      <c r="J755" s="3">
        <v>43.35</v>
      </c>
      <c r="K755" t="s">
        <v>72</v>
      </c>
      <c r="L755" t="s">
        <v>59</v>
      </c>
      <c r="M755" t="s">
        <v>74</v>
      </c>
      <c r="N755" t="s">
        <v>61</v>
      </c>
      <c r="O755" t="s">
        <v>91</v>
      </c>
      <c r="P755" t="str">
        <f t="shared" si="23"/>
        <v>High Value</v>
      </c>
      <c r="Q755" t="str">
        <f>VLOOKUP(G755,Merchants!A:C,3,TRUE)</f>
        <v>Fuel</v>
      </c>
    </row>
    <row r="756" spans="1:17" x14ac:dyDescent="0.3">
      <c r="A756" t="s">
        <v>1287</v>
      </c>
      <c r="B756" s="2">
        <v>45822.55872685185</v>
      </c>
      <c r="C756" s="2" t="str">
        <f t="shared" si="22"/>
        <v>Jun-2025</v>
      </c>
      <c r="D756" t="s">
        <v>287</v>
      </c>
      <c r="E756" t="str">
        <f>VLOOKUP(D756,Customers!A:H,7,0)</f>
        <v>Self-employed</v>
      </c>
      <c r="F756" t="s">
        <v>310</v>
      </c>
      <c r="G756" t="s">
        <v>57</v>
      </c>
      <c r="H756" t="str">
        <f>IFERROR(VLOOKUP(Transactions!G756,Merchants!A:B,2,FALSE),"Not Found")</f>
        <v>Daily Stores</v>
      </c>
      <c r="I756" s="9">
        <v>2772.17</v>
      </c>
      <c r="J756" s="3">
        <v>5.54</v>
      </c>
      <c r="K756" t="s">
        <v>72</v>
      </c>
      <c r="L756" t="s">
        <v>157</v>
      </c>
      <c r="M756" t="s">
        <v>60</v>
      </c>
      <c r="N756" t="s">
        <v>67</v>
      </c>
      <c r="O756" t="s">
        <v>75</v>
      </c>
      <c r="P756" t="str">
        <f t="shared" si="23"/>
        <v>High Value</v>
      </c>
      <c r="Q756" t="str">
        <f>VLOOKUP(G756,Merchants!A:C,3,TRUE)</f>
        <v>Travel</v>
      </c>
    </row>
    <row r="757" spans="1:17" x14ac:dyDescent="0.3">
      <c r="A757" t="s">
        <v>1288</v>
      </c>
      <c r="B757" s="2">
        <v>46254.049444444441</v>
      </c>
      <c r="C757" s="2" t="str">
        <f t="shared" si="22"/>
        <v>Aug-2026</v>
      </c>
      <c r="D757" t="s">
        <v>177</v>
      </c>
      <c r="E757" t="str">
        <f>VLOOKUP(D757,Customers!A:H,7,0)</f>
        <v>Self-employed</v>
      </c>
      <c r="F757" t="s">
        <v>469</v>
      </c>
      <c r="G757" t="s">
        <v>322</v>
      </c>
      <c r="H757" t="str">
        <f>IFERROR(VLOOKUP(Transactions!G757,Merchants!A:B,2,FALSE),"Not Found")</f>
        <v>Metro Pay</v>
      </c>
      <c r="I757" s="9">
        <v>39457.85</v>
      </c>
      <c r="J757" s="3">
        <v>78.92</v>
      </c>
      <c r="K757" t="s">
        <v>133</v>
      </c>
      <c r="L757" t="s">
        <v>59</v>
      </c>
      <c r="M757" t="s">
        <v>74</v>
      </c>
      <c r="N757" t="s">
        <v>67</v>
      </c>
      <c r="O757" t="s">
        <v>91</v>
      </c>
      <c r="P757" t="str">
        <f t="shared" si="23"/>
        <v>High Value</v>
      </c>
      <c r="Q757" t="str">
        <f>VLOOKUP(G757,Merchants!A:C,3,TRUE)</f>
        <v>Grocery</v>
      </c>
    </row>
    <row r="758" spans="1:17" x14ac:dyDescent="0.3">
      <c r="A758" t="s">
        <v>1289</v>
      </c>
      <c r="B758" s="2">
        <v>46279.716539351852</v>
      </c>
      <c r="C758" s="2" t="str">
        <f t="shared" si="22"/>
        <v>Sep-2026</v>
      </c>
      <c r="D758" t="s">
        <v>307</v>
      </c>
      <c r="E758" t="str">
        <f>VLOOKUP(D758,Customers!A:H,7,0)</f>
        <v>Salaried</v>
      </c>
      <c r="F758" t="s">
        <v>557</v>
      </c>
      <c r="G758" t="s">
        <v>71</v>
      </c>
      <c r="H758" t="str">
        <f>IFERROR(VLOOKUP(Transactions!G758,Merchants!A:B,2,FALSE),"Not Found")</f>
        <v>Metro Pay</v>
      </c>
      <c r="I758" s="9">
        <v>39585.949999999997</v>
      </c>
      <c r="J758" s="3">
        <v>197.93</v>
      </c>
      <c r="K758" t="s">
        <v>72</v>
      </c>
      <c r="L758" t="s">
        <v>59</v>
      </c>
      <c r="M758" t="s">
        <v>111</v>
      </c>
      <c r="N758" t="s">
        <v>61</v>
      </c>
      <c r="O758" t="s">
        <v>62</v>
      </c>
      <c r="P758" t="str">
        <f t="shared" si="23"/>
        <v>High Value</v>
      </c>
      <c r="Q758" t="str">
        <f>VLOOKUP(G758,Merchants!A:C,3,TRUE)</f>
        <v>Fashion</v>
      </c>
    </row>
    <row r="759" spans="1:17" x14ac:dyDescent="0.3">
      <c r="A759" t="s">
        <v>1290</v>
      </c>
      <c r="B759" s="2">
        <v>46028.350266203714</v>
      </c>
      <c r="C759" s="2" t="str">
        <f t="shared" si="22"/>
        <v>Jan-2026</v>
      </c>
      <c r="D759" t="s">
        <v>759</v>
      </c>
      <c r="E759" t="str">
        <f>VLOOKUP(D759,Customers!A:H,7,0)</f>
        <v>Business Owner</v>
      </c>
      <c r="F759" t="s">
        <v>844</v>
      </c>
      <c r="G759" t="s">
        <v>250</v>
      </c>
      <c r="H759" t="str">
        <f>IFERROR(VLOOKUP(Transactions!G759,Merchants!A:B,2,FALSE),"Not Found")</f>
        <v>Fresh Hub</v>
      </c>
      <c r="I759" s="9">
        <v>27403.69</v>
      </c>
      <c r="J759" s="3">
        <v>54.81</v>
      </c>
      <c r="K759" t="s">
        <v>96</v>
      </c>
      <c r="L759" t="s">
        <v>80</v>
      </c>
      <c r="M759" t="s">
        <v>60</v>
      </c>
      <c r="N759" t="s">
        <v>67</v>
      </c>
      <c r="O759" t="s">
        <v>81</v>
      </c>
      <c r="P759" t="str">
        <f t="shared" si="23"/>
        <v>High Value</v>
      </c>
      <c r="Q759" t="str">
        <f>VLOOKUP(G759,Merchants!A:C,3,TRUE)</f>
        <v>Healthcare</v>
      </c>
    </row>
    <row r="760" spans="1:17" x14ac:dyDescent="0.3">
      <c r="A760" t="s">
        <v>1291</v>
      </c>
      <c r="B760" s="2">
        <v>46231.767071759263</v>
      </c>
      <c r="C760" s="2" t="str">
        <f t="shared" si="22"/>
        <v>Jul-2026</v>
      </c>
      <c r="D760" t="s">
        <v>395</v>
      </c>
      <c r="E760" t="str">
        <f>VLOOKUP(D760,Customers!A:H,7,0)</f>
        <v>Student</v>
      </c>
      <c r="F760" t="s">
        <v>344</v>
      </c>
      <c r="G760" t="s">
        <v>250</v>
      </c>
      <c r="H760" t="str">
        <f>IFERROR(VLOOKUP(Transactions!G760,Merchants!A:B,2,FALSE),"Not Found")</f>
        <v>Fresh Hub</v>
      </c>
      <c r="I760" s="9">
        <v>4678.9799999999996</v>
      </c>
      <c r="J760" s="3">
        <v>46.79</v>
      </c>
      <c r="K760" t="s">
        <v>96</v>
      </c>
      <c r="L760" t="s">
        <v>59</v>
      </c>
      <c r="M760" t="s">
        <v>111</v>
      </c>
      <c r="N760" t="s">
        <v>67</v>
      </c>
      <c r="O760" t="s">
        <v>62</v>
      </c>
      <c r="P760" t="str">
        <f t="shared" si="23"/>
        <v>High Value</v>
      </c>
      <c r="Q760" t="str">
        <f>VLOOKUP(G760,Merchants!A:C,3,TRUE)</f>
        <v>Healthcare</v>
      </c>
    </row>
    <row r="761" spans="1:17" x14ac:dyDescent="0.3">
      <c r="A761" t="s">
        <v>1292</v>
      </c>
      <c r="B761" s="2">
        <v>46075.887094907397</v>
      </c>
      <c r="C761" s="2" t="str">
        <f t="shared" si="22"/>
        <v>Feb-2026</v>
      </c>
      <c r="D761" t="s">
        <v>320</v>
      </c>
      <c r="E761" t="str">
        <f>VLOOKUP(D761,Customers!A:H,7,0)</f>
        <v>Student</v>
      </c>
      <c r="F761" t="s">
        <v>110</v>
      </c>
      <c r="G761" t="s">
        <v>124</v>
      </c>
      <c r="H761" t="str">
        <f>IFERROR(VLOOKUP(Transactions!G761,Merchants!A:B,2,FALSE),"Not Found")</f>
        <v>Daily Services</v>
      </c>
      <c r="I761" s="9">
        <v>39987.57</v>
      </c>
      <c r="J761" s="3">
        <v>199.94</v>
      </c>
      <c r="K761" t="s">
        <v>58</v>
      </c>
      <c r="L761" t="s">
        <v>59</v>
      </c>
      <c r="M761" t="s">
        <v>74</v>
      </c>
      <c r="N761" t="s">
        <v>61</v>
      </c>
      <c r="O761" t="s">
        <v>62</v>
      </c>
      <c r="P761" t="str">
        <f t="shared" si="23"/>
        <v>High Value</v>
      </c>
      <c r="Q761" t="str">
        <f>VLOOKUP(G761,Merchants!A:C,3,TRUE)</f>
        <v>Food &amp; Dining</v>
      </c>
    </row>
    <row r="762" spans="1:17" x14ac:dyDescent="0.3">
      <c r="A762" t="s">
        <v>1293</v>
      </c>
      <c r="B762" s="2">
        <v>46247.749710648153</v>
      </c>
      <c r="C762" s="2" t="str">
        <f t="shared" si="22"/>
        <v>Aug-2026</v>
      </c>
      <c r="D762" t="s">
        <v>736</v>
      </c>
      <c r="E762" t="str">
        <f>VLOOKUP(D762,Customers!A:H,7,0)</f>
        <v>Student</v>
      </c>
      <c r="F762" t="s">
        <v>1090</v>
      </c>
      <c r="G762" t="s">
        <v>95</v>
      </c>
      <c r="H762" t="str">
        <f>IFERROR(VLOOKUP(Transactions!G762,Merchants!A:B,2,FALSE),"Not Found")</f>
        <v>Quick Pay</v>
      </c>
      <c r="I762" s="9">
        <v>37994.519999999997</v>
      </c>
      <c r="J762" s="3">
        <v>113.98</v>
      </c>
      <c r="K762" t="s">
        <v>58</v>
      </c>
      <c r="L762" t="s">
        <v>80</v>
      </c>
      <c r="M762" t="s">
        <v>74</v>
      </c>
      <c r="N762" t="s">
        <v>61</v>
      </c>
      <c r="O762" t="s">
        <v>75</v>
      </c>
      <c r="P762" t="str">
        <f t="shared" si="23"/>
        <v>High Value</v>
      </c>
      <c r="Q762" t="str">
        <f>VLOOKUP(G762,Merchants!A:C,3,TRUE)</f>
        <v>Healthcare</v>
      </c>
    </row>
    <row r="763" spans="1:17" x14ac:dyDescent="0.3">
      <c r="A763" t="s">
        <v>1294</v>
      </c>
      <c r="B763" s="2">
        <v>45761.191747685189</v>
      </c>
      <c r="C763" s="2" t="str">
        <f t="shared" si="22"/>
        <v>Apr-2025</v>
      </c>
      <c r="D763" t="s">
        <v>119</v>
      </c>
      <c r="E763" t="str">
        <f>VLOOKUP(D763,Customers!A:H,7,0)</f>
        <v>Salaried</v>
      </c>
      <c r="F763" t="s">
        <v>426</v>
      </c>
      <c r="G763" t="s">
        <v>430</v>
      </c>
      <c r="H763" t="str">
        <f>IFERROR(VLOOKUP(Transactions!G763,Merchants!A:B,2,FALSE),"Not Found")</f>
        <v>Prime Foods</v>
      </c>
      <c r="I763" s="9">
        <v>52180.58</v>
      </c>
      <c r="J763" s="3">
        <v>104.36</v>
      </c>
      <c r="K763" t="s">
        <v>90</v>
      </c>
      <c r="L763" t="s">
        <v>73</v>
      </c>
      <c r="M763" t="s">
        <v>74</v>
      </c>
      <c r="N763" t="s">
        <v>61</v>
      </c>
      <c r="O763" t="s">
        <v>81</v>
      </c>
      <c r="P763" t="str">
        <f t="shared" si="23"/>
        <v>High Value</v>
      </c>
      <c r="Q763" t="str">
        <f>VLOOKUP(G763,Merchants!A:C,3,TRUE)</f>
        <v>Entertainment</v>
      </c>
    </row>
    <row r="764" spans="1:17" x14ac:dyDescent="0.3">
      <c r="A764" t="s">
        <v>1295</v>
      </c>
      <c r="B764" s="2">
        <v>45788.610324074078</v>
      </c>
      <c r="C764" s="2" t="str">
        <f t="shared" si="22"/>
        <v>May-2025</v>
      </c>
      <c r="D764" t="s">
        <v>159</v>
      </c>
      <c r="E764" t="str">
        <f>VLOOKUP(D764,Customers!A:H,7,0)</f>
        <v>Business Owner</v>
      </c>
      <c r="F764" t="s">
        <v>739</v>
      </c>
      <c r="G764" t="s">
        <v>201</v>
      </c>
      <c r="H764" t="str">
        <f>IFERROR(VLOOKUP(Transactions!G764,Merchants!A:B,2,FALSE),"Not Found")</f>
        <v>Urban Stores</v>
      </c>
      <c r="I764" s="9">
        <v>41846.03</v>
      </c>
      <c r="J764" s="3">
        <v>209.23</v>
      </c>
      <c r="K764" t="s">
        <v>133</v>
      </c>
      <c r="L764" t="s">
        <v>59</v>
      </c>
      <c r="M764" t="s">
        <v>86</v>
      </c>
      <c r="N764" t="s">
        <v>67</v>
      </c>
      <c r="O764" t="s">
        <v>91</v>
      </c>
      <c r="P764" t="str">
        <f t="shared" si="23"/>
        <v>High Value</v>
      </c>
      <c r="Q764" t="str">
        <f>VLOOKUP(G764,Merchants!A:C,3,TRUE)</f>
        <v>Entertainment</v>
      </c>
    </row>
    <row r="765" spans="1:17" x14ac:dyDescent="0.3">
      <c r="A765" t="s">
        <v>1296</v>
      </c>
      <c r="B765" s="2">
        <v>46021.680983796286</v>
      </c>
      <c r="C765" s="2" t="str">
        <f t="shared" si="22"/>
        <v>Dec-2025</v>
      </c>
      <c r="D765" t="s">
        <v>599</v>
      </c>
      <c r="E765" t="str">
        <f>VLOOKUP(D765,Customers!A:H,7,0)</f>
        <v>Student</v>
      </c>
      <c r="F765" t="s">
        <v>388</v>
      </c>
      <c r="G765" t="s">
        <v>277</v>
      </c>
      <c r="H765" t="str">
        <f>IFERROR(VLOOKUP(Transactions!G765,Merchants!A:B,2,FALSE),"Not Found")</f>
        <v>Daily Digital</v>
      </c>
      <c r="I765" s="9">
        <v>54649.39</v>
      </c>
      <c r="J765" s="3">
        <v>546.49</v>
      </c>
      <c r="K765" t="s">
        <v>90</v>
      </c>
      <c r="L765" t="s">
        <v>80</v>
      </c>
      <c r="M765" t="s">
        <v>111</v>
      </c>
      <c r="N765" t="s">
        <v>67</v>
      </c>
      <c r="O765" t="s">
        <v>62</v>
      </c>
      <c r="P765" t="str">
        <f t="shared" si="23"/>
        <v>High Value</v>
      </c>
      <c r="Q765" t="str">
        <f>VLOOKUP(G765,Merchants!A:C,3,TRUE)</f>
        <v>Grocery</v>
      </c>
    </row>
    <row r="766" spans="1:17" x14ac:dyDescent="0.3">
      <c r="A766" t="s">
        <v>1297</v>
      </c>
      <c r="B766" s="2">
        <v>45665.900439814817</v>
      </c>
      <c r="C766" s="2" t="str">
        <f t="shared" si="22"/>
        <v>Jan-2025</v>
      </c>
      <c r="D766" t="s">
        <v>270</v>
      </c>
      <c r="E766" t="str">
        <f>VLOOKUP(D766,Customers!A:H,7,0)</f>
        <v>Business Owner</v>
      </c>
      <c r="F766" t="s">
        <v>768</v>
      </c>
      <c r="G766" t="s">
        <v>250</v>
      </c>
      <c r="H766" t="str">
        <f>IFERROR(VLOOKUP(Transactions!G766,Merchants!A:B,2,FALSE),"Not Found")</f>
        <v>Fresh Hub</v>
      </c>
      <c r="I766" s="9">
        <v>35623.589999999997</v>
      </c>
      <c r="J766" s="3">
        <v>356.24</v>
      </c>
      <c r="K766" t="s">
        <v>90</v>
      </c>
      <c r="L766" t="s">
        <v>80</v>
      </c>
      <c r="M766" t="s">
        <v>60</v>
      </c>
      <c r="N766" t="s">
        <v>67</v>
      </c>
      <c r="O766" t="s">
        <v>62</v>
      </c>
      <c r="P766" t="str">
        <f t="shared" si="23"/>
        <v>High Value</v>
      </c>
      <c r="Q766" t="str">
        <f>VLOOKUP(G766,Merchants!A:C,3,TRUE)</f>
        <v>Healthcare</v>
      </c>
    </row>
    <row r="767" spans="1:17" x14ac:dyDescent="0.3">
      <c r="A767" t="s">
        <v>1298</v>
      </c>
      <c r="B767" s="2">
        <v>45962.748333333337</v>
      </c>
      <c r="C767" s="2" t="str">
        <f t="shared" si="22"/>
        <v>Nov-2025</v>
      </c>
      <c r="D767" t="s">
        <v>642</v>
      </c>
      <c r="E767" t="str">
        <f>VLOOKUP(D767,Customers!A:H,7,0)</f>
        <v>Business Owner</v>
      </c>
      <c r="F767" t="s">
        <v>768</v>
      </c>
      <c r="G767" t="s">
        <v>366</v>
      </c>
      <c r="H767" t="str">
        <f>IFERROR(VLOOKUP(Transactions!G767,Merchants!A:B,2,FALSE),"Not Found")</f>
        <v>Smart Pay</v>
      </c>
      <c r="I767" s="9">
        <v>20532.919999999998</v>
      </c>
      <c r="J767" s="3">
        <v>205.33</v>
      </c>
      <c r="K767" t="s">
        <v>72</v>
      </c>
      <c r="L767" t="s">
        <v>59</v>
      </c>
      <c r="M767" t="s">
        <v>111</v>
      </c>
      <c r="N767" t="s">
        <v>67</v>
      </c>
      <c r="O767" t="s">
        <v>91</v>
      </c>
      <c r="P767" t="str">
        <f t="shared" si="23"/>
        <v>High Value</v>
      </c>
      <c r="Q767" t="str">
        <f>VLOOKUP(G767,Merchants!A:C,3,TRUE)</f>
        <v>Fashion</v>
      </c>
    </row>
    <row r="768" spans="1:17" x14ac:dyDescent="0.3">
      <c r="A768" t="s">
        <v>1299</v>
      </c>
      <c r="B768" s="2">
        <v>45873.653136574067</v>
      </c>
      <c r="C768" s="2" t="str">
        <f t="shared" si="22"/>
        <v>Aug-2025</v>
      </c>
      <c r="D768" t="s">
        <v>824</v>
      </c>
      <c r="E768" t="str">
        <f>VLOOKUP(D768,Customers!A:H,7,0)</f>
        <v>Self-employed</v>
      </c>
      <c r="F768" t="s">
        <v>1300</v>
      </c>
      <c r="G768" t="s">
        <v>132</v>
      </c>
      <c r="H768" t="str">
        <f>IFERROR(VLOOKUP(Transactions!G768,Merchants!A:B,2,FALSE),"Not Found")</f>
        <v>Metro Retail</v>
      </c>
      <c r="I768" s="9">
        <v>31196.18</v>
      </c>
      <c r="J768" s="3">
        <v>155.97999999999999</v>
      </c>
      <c r="K768" t="s">
        <v>90</v>
      </c>
      <c r="L768" t="s">
        <v>59</v>
      </c>
      <c r="M768" t="s">
        <v>86</v>
      </c>
      <c r="N768" t="s">
        <v>61</v>
      </c>
      <c r="O768" t="s">
        <v>81</v>
      </c>
      <c r="P768" t="str">
        <f t="shared" si="23"/>
        <v>High Value</v>
      </c>
      <c r="Q768" t="str">
        <f>VLOOKUP(G768,Merchants!A:C,3,TRUE)</f>
        <v>Entertainment</v>
      </c>
    </row>
    <row r="769" spans="1:17" x14ac:dyDescent="0.3">
      <c r="A769" t="s">
        <v>1301</v>
      </c>
      <c r="B769" s="2">
        <v>46156.665844907409</v>
      </c>
      <c r="C769" s="2" t="str">
        <f t="shared" si="22"/>
        <v>May-2026</v>
      </c>
      <c r="D769" t="s">
        <v>435</v>
      </c>
      <c r="E769" t="str">
        <f>VLOOKUP(D769,Customers!A:H,7,0)</f>
        <v>Business Owner</v>
      </c>
      <c r="F769" t="s">
        <v>273</v>
      </c>
      <c r="G769" t="s">
        <v>244</v>
      </c>
      <c r="H769" t="str">
        <f>IFERROR(VLOOKUP(Transactions!G769,Merchants!A:B,2,FALSE),"Not Found")</f>
        <v>Blue Hub</v>
      </c>
      <c r="I769" s="9">
        <v>13495.64</v>
      </c>
      <c r="J769" s="3">
        <v>67.48</v>
      </c>
      <c r="K769" t="s">
        <v>90</v>
      </c>
      <c r="L769" t="s">
        <v>59</v>
      </c>
      <c r="M769" t="s">
        <v>60</v>
      </c>
      <c r="N769" t="s">
        <v>67</v>
      </c>
      <c r="O769" t="s">
        <v>91</v>
      </c>
      <c r="P769" t="str">
        <f t="shared" si="23"/>
        <v>High Value</v>
      </c>
      <c r="Q769" t="str">
        <f>VLOOKUP(G769,Merchants!A:C,3,TRUE)</f>
        <v>Healthcare</v>
      </c>
    </row>
    <row r="770" spans="1:17" x14ac:dyDescent="0.3">
      <c r="A770" t="s">
        <v>1302</v>
      </c>
      <c r="B770" s="2">
        <v>45869.837650462963</v>
      </c>
      <c r="C770" s="2" t="str">
        <f t="shared" si="22"/>
        <v>Jul-2025</v>
      </c>
      <c r="D770" t="s">
        <v>817</v>
      </c>
      <c r="E770" t="str">
        <f>VLOOKUP(D770,Customers!A:H,7,0)</f>
        <v>Salaried</v>
      </c>
      <c r="F770" t="s">
        <v>200</v>
      </c>
      <c r="G770" t="s">
        <v>175</v>
      </c>
      <c r="H770" t="str">
        <f>IFERROR(VLOOKUP(Transactions!G770,Merchants!A:B,2,FALSE),"Not Found")</f>
        <v>Fresh Mart</v>
      </c>
      <c r="I770" s="9">
        <v>50343.519999999997</v>
      </c>
      <c r="J770" s="3">
        <v>100.69</v>
      </c>
      <c r="K770" t="s">
        <v>133</v>
      </c>
      <c r="L770" t="s">
        <v>80</v>
      </c>
      <c r="M770" t="s">
        <v>111</v>
      </c>
      <c r="N770" t="s">
        <v>67</v>
      </c>
      <c r="O770" t="s">
        <v>75</v>
      </c>
      <c r="P770" t="str">
        <f t="shared" si="23"/>
        <v>High Value</v>
      </c>
      <c r="Q770" t="str">
        <f>VLOOKUP(G770,Merchants!A:C,3,TRUE)</f>
        <v>Electronics</v>
      </c>
    </row>
    <row r="771" spans="1:17" x14ac:dyDescent="0.3">
      <c r="A771" t="s">
        <v>1303</v>
      </c>
      <c r="B771" s="2">
        <v>45684.560601851852</v>
      </c>
      <c r="C771" s="2" t="str">
        <f t="shared" ref="C771:C834" si="24">TEXT(B771,"mmm-yyyy")</f>
        <v>Jan-2025</v>
      </c>
      <c r="D771" t="s">
        <v>749</v>
      </c>
      <c r="E771" t="str">
        <f>VLOOKUP(D771,Customers!A:H,7,0)</f>
        <v>Self-employed</v>
      </c>
      <c r="F771" t="s">
        <v>805</v>
      </c>
      <c r="G771" t="s">
        <v>146</v>
      </c>
      <c r="H771" t="str">
        <f>IFERROR(VLOOKUP(Transactions!G771,Merchants!A:B,2,FALSE),"Not Found")</f>
        <v>Prime Mart</v>
      </c>
      <c r="I771" s="9">
        <v>12268.14</v>
      </c>
      <c r="J771" s="3">
        <v>122.68</v>
      </c>
      <c r="K771" t="s">
        <v>96</v>
      </c>
      <c r="L771" t="s">
        <v>157</v>
      </c>
      <c r="M771" t="s">
        <v>60</v>
      </c>
      <c r="N771" t="s">
        <v>67</v>
      </c>
      <c r="O771" t="s">
        <v>91</v>
      </c>
      <c r="P771" t="str">
        <f t="shared" ref="P771:P834" si="25">IF(I771&gt;=2500,"High Value","Standard")</f>
        <v>High Value</v>
      </c>
      <c r="Q771" t="str">
        <f>VLOOKUP(G771,Merchants!A:C,3,TRUE)</f>
        <v>Food &amp; Dining</v>
      </c>
    </row>
    <row r="772" spans="1:17" x14ac:dyDescent="0.3">
      <c r="A772" t="s">
        <v>1304</v>
      </c>
      <c r="B772" s="2">
        <v>46113.655752314808</v>
      </c>
      <c r="C772" s="2" t="str">
        <f t="shared" si="24"/>
        <v>Apr-2026</v>
      </c>
      <c r="D772" t="s">
        <v>173</v>
      </c>
      <c r="E772" t="str">
        <f>VLOOKUP(D772,Customers!A:H,7,0)</f>
        <v>Self-employed</v>
      </c>
      <c r="F772" t="s">
        <v>566</v>
      </c>
      <c r="G772" t="s">
        <v>85</v>
      </c>
      <c r="H772" t="str">
        <f>IFERROR(VLOOKUP(Transactions!G772,Merchants!A:B,2,FALSE),"Not Found")</f>
        <v>Metro Pay</v>
      </c>
      <c r="I772" s="9">
        <v>29646.01</v>
      </c>
      <c r="J772" s="3">
        <v>88.94</v>
      </c>
      <c r="K772" t="s">
        <v>58</v>
      </c>
      <c r="L772" t="s">
        <v>59</v>
      </c>
      <c r="M772" t="s">
        <v>60</v>
      </c>
      <c r="N772" t="s">
        <v>67</v>
      </c>
      <c r="O772" t="s">
        <v>62</v>
      </c>
      <c r="P772" t="str">
        <f t="shared" si="25"/>
        <v>High Value</v>
      </c>
      <c r="Q772" t="str">
        <f>VLOOKUP(G772,Merchants!A:C,3,TRUE)</f>
        <v>Travel</v>
      </c>
    </row>
    <row r="773" spans="1:17" x14ac:dyDescent="0.3">
      <c r="A773" t="s">
        <v>1305</v>
      </c>
      <c r="B773" s="2">
        <v>45734.496238425927</v>
      </c>
      <c r="C773" s="2" t="str">
        <f t="shared" si="24"/>
        <v>Mar-2025</v>
      </c>
      <c r="D773" t="s">
        <v>1094</v>
      </c>
      <c r="E773" t="str">
        <f>VLOOKUP(D773,Customers!A:H,7,0)</f>
        <v>Student</v>
      </c>
      <c r="F773" t="s">
        <v>509</v>
      </c>
      <c r="G773" t="s">
        <v>150</v>
      </c>
      <c r="H773" t="str">
        <f>IFERROR(VLOOKUP(Transactions!G773,Merchants!A:B,2,FALSE),"Not Found")</f>
        <v>Nova Services</v>
      </c>
      <c r="I773" s="9">
        <v>9487.9599999999991</v>
      </c>
      <c r="J773" s="3">
        <v>94.88</v>
      </c>
      <c r="K773" t="s">
        <v>58</v>
      </c>
      <c r="L773" t="s">
        <v>59</v>
      </c>
      <c r="M773" t="s">
        <v>60</v>
      </c>
      <c r="N773" t="s">
        <v>67</v>
      </c>
      <c r="O773" t="s">
        <v>75</v>
      </c>
      <c r="P773" t="str">
        <f t="shared" si="25"/>
        <v>High Value</v>
      </c>
      <c r="Q773" t="str">
        <f>VLOOKUP(G773,Merchants!A:C,3,TRUE)</f>
        <v>Electronics</v>
      </c>
    </row>
    <row r="774" spans="1:17" x14ac:dyDescent="0.3">
      <c r="A774" t="s">
        <v>1306</v>
      </c>
      <c r="B774" s="2">
        <v>45760.790821759263</v>
      </c>
      <c r="C774" s="2" t="str">
        <f t="shared" si="24"/>
        <v>Apr-2025</v>
      </c>
      <c r="D774" t="s">
        <v>333</v>
      </c>
      <c r="E774" t="str">
        <f>VLOOKUP(D774,Customers!A:H,7,0)</f>
        <v>Student</v>
      </c>
      <c r="F774" t="s">
        <v>583</v>
      </c>
      <c r="G774" t="s">
        <v>229</v>
      </c>
      <c r="H774" t="str">
        <f>IFERROR(VLOOKUP(Transactions!G774,Merchants!A:B,2,FALSE),"Not Found")</f>
        <v>Urban Services</v>
      </c>
      <c r="I774" s="9">
        <v>19119.88</v>
      </c>
      <c r="J774" s="3">
        <v>38.24</v>
      </c>
      <c r="K774" t="s">
        <v>90</v>
      </c>
      <c r="L774" t="s">
        <v>73</v>
      </c>
      <c r="M774" t="s">
        <v>111</v>
      </c>
      <c r="N774" t="s">
        <v>61</v>
      </c>
      <c r="O774" t="s">
        <v>62</v>
      </c>
      <c r="P774" t="str">
        <f t="shared" si="25"/>
        <v>High Value</v>
      </c>
      <c r="Q774" t="str">
        <f>VLOOKUP(G774,Merchants!A:C,3,TRUE)</f>
        <v>Fashion</v>
      </c>
    </row>
    <row r="775" spans="1:17" x14ac:dyDescent="0.3">
      <c r="A775" t="s">
        <v>1307</v>
      </c>
      <c r="B775" s="2">
        <v>45858.402442129627</v>
      </c>
      <c r="C775" s="2" t="str">
        <f t="shared" si="24"/>
        <v>Jul-2025</v>
      </c>
      <c r="D775" t="s">
        <v>148</v>
      </c>
      <c r="E775" t="str">
        <f>VLOOKUP(D775,Customers!A:H,7,0)</f>
        <v>Salaried</v>
      </c>
      <c r="F775" t="s">
        <v>262</v>
      </c>
      <c r="G775" t="s">
        <v>146</v>
      </c>
      <c r="H775" t="str">
        <f>IFERROR(VLOOKUP(Transactions!G775,Merchants!A:B,2,FALSE),"Not Found")</f>
        <v>Prime Mart</v>
      </c>
      <c r="I775" s="9">
        <v>28259.91</v>
      </c>
      <c r="J775" s="3">
        <v>84.78</v>
      </c>
      <c r="K775" t="s">
        <v>90</v>
      </c>
      <c r="L775" t="s">
        <v>59</v>
      </c>
      <c r="M775" t="s">
        <v>86</v>
      </c>
      <c r="N775" t="s">
        <v>67</v>
      </c>
      <c r="O775" t="s">
        <v>91</v>
      </c>
      <c r="P775" t="str">
        <f t="shared" si="25"/>
        <v>High Value</v>
      </c>
      <c r="Q775" t="str">
        <f>VLOOKUP(G775,Merchants!A:C,3,TRUE)</f>
        <v>Food &amp; Dining</v>
      </c>
    </row>
    <row r="776" spans="1:17" x14ac:dyDescent="0.3">
      <c r="A776" t="s">
        <v>1308</v>
      </c>
      <c r="B776" s="2">
        <v>46102.102037037039</v>
      </c>
      <c r="C776" s="2" t="str">
        <f t="shared" si="24"/>
        <v>Mar-2026</v>
      </c>
      <c r="D776" t="s">
        <v>154</v>
      </c>
      <c r="E776" t="str">
        <f>VLOOKUP(D776,Customers!A:H,7,0)</f>
        <v>Self-employed</v>
      </c>
      <c r="F776" t="s">
        <v>1309</v>
      </c>
      <c r="G776" t="s">
        <v>107</v>
      </c>
      <c r="H776" t="str">
        <f>IFERROR(VLOOKUP(Transactions!G776,Merchants!A:B,2,FALSE),"Not Found")</f>
        <v>Blue Services</v>
      </c>
      <c r="I776" s="9">
        <v>29492.400000000001</v>
      </c>
      <c r="J776" s="3">
        <v>88.48</v>
      </c>
      <c r="K776" t="s">
        <v>72</v>
      </c>
      <c r="L776" t="s">
        <v>59</v>
      </c>
      <c r="M776" t="s">
        <v>74</v>
      </c>
      <c r="N776" t="s">
        <v>67</v>
      </c>
      <c r="O776" t="s">
        <v>81</v>
      </c>
      <c r="P776" t="str">
        <f t="shared" si="25"/>
        <v>High Value</v>
      </c>
      <c r="Q776" t="str">
        <f>VLOOKUP(G776,Merchants!A:C,3,TRUE)</f>
        <v>Travel</v>
      </c>
    </row>
    <row r="777" spans="1:17" x14ac:dyDescent="0.3">
      <c r="A777" t="s">
        <v>1310</v>
      </c>
      <c r="B777" s="2">
        <v>46153.804722222223</v>
      </c>
      <c r="C777" s="2" t="str">
        <f t="shared" si="24"/>
        <v>May-2026</v>
      </c>
      <c r="D777" t="s">
        <v>614</v>
      </c>
      <c r="E777" t="str">
        <f>VLOOKUP(D777,Customers!A:H,7,0)</f>
        <v>Self-employed</v>
      </c>
      <c r="F777" t="s">
        <v>1311</v>
      </c>
      <c r="G777" t="s">
        <v>132</v>
      </c>
      <c r="H777" t="str">
        <f>IFERROR(VLOOKUP(Transactions!G777,Merchants!A:B,2,FALSE),"Not Found")</f>
        <v>Metro Retail</v>
      </c>
      <c r="I777" s="9">
        <v>39450.76</v>
      </c>
      <c r="J777" s="3">
        <v>197.25</v>
      </c>
      <c r="K777" t="s">
        <v>96</v>
      </c>
      <c r="L777" t="s">
        <v>59</v>
      </c>
      <c r="M777" t="s">
        <v>74</v>
      </c>
      <c r="N777" t="s">
        <v>61</v>
      </c>
      <c r="O777" t="s">
        <v>81</v>
      </c>
      <c r="P777" t="str">
        <f t="shared" si="25"/>
        <v>High Value</v>
      </c>
      <c r="Q777" t="str">
        <f>VLOOKUP(G777,Merchants!A:C,3,TRUE)</f>
        <v>Entertainment</v>
      </c>
    </row>
    <row r="778" spans="1:17" x14ac:dyDescent="0.3">
      <c r="A778" t="s">
        <v>1312</v>
      </c>
      <c r="B778" s="2">
        <v>46214.729629629634</v>
      </c>
      <c r="C778" s="2" t="str">
        <f t="shared" si="24"/>
        <v>Jul-2026</v>
      </c>
      <c r="D778" t="s">
        <v>210</v>
      </c>
      <c r="E778" t="str">
        <f>VLOOKUP(D778,Customers!A:H,7,0)</f>
        <v>Business Owner</v>
      </c>
      <c r="F778" t="s">
        <v>377</v>
      </c>
      <c r="G778" t="s">
        <v>250</v>
      </c>
      <c r="H778" t="str">
        <f>IFERROR(VLOOKUP(Transactions!G778,Merchants!A:B,2,FALSE),"Not Found")</f>
        <v>Fresh Hub</v>
      </c>
      <c r="I778" s="9">
        <v>17795.490000000002</v>
      </c>
      <c r="J778" s="3">
        <v>88.98</v>
      </c>
      <c r="K778" t="s">
        <v>72</v>
      </c>
      <c r="L778" t="s">
        <v>59</v>
      </c>
      <c r="M778" t="s">
        <v>111</v>
      </c>
      <c r="N778" t="s">
        <v>61</v>
      </c>
      <c r="O778" t="s">
        <v>91</v>
      </c>
      <c r="P778" t="str">
        <f t="shared" si="25"/>
        <v>High Value</v>
      </c>
      <c r="Q778" t="str">
        <f>VLOOKUP(G778,Merchants!A:C,3,TRUE)</f>
        <v>Healthcare</v>
      </c>
    </row>
    <row r="779" spans="1:17" x14ac:dyDescent="0.3">
      <c r="A779" t="s">
        <v>1313</v>
      </c>
      <c r="B779" s="2">
        <v>45838.705011574071</v>
      </c>
      <c r="C779" s="2" t="str">
        <f t="shared" si="24"/>
        <v>Jun-2025</v>
      </c>
      <c r="D779" t="s">
        <v>1005</v>
      </c>
      <c r="E779" t="str">
        <f>VLOOKUP(D779,Customers!A:H,7,0)</f>
        <v>Business Owner</v>
      </c>
      <c r="F779" t="s">
        <v>499</v>
      </c>
      <c r="G779" t="s">
        <v>146</v>
      </c>
      <c r="H779" t="str">
        <f>IFERROR(VLOOKUP(Transactions!G779,Merchants!A:B,2,FALSE),"Not Found")</f>
        <v>Prime Mart</v>
      </c>
      <c r="I779" s="9">
        <v>57383.3</v>
      </c>
      <c r="J779" s="3">
        <v>286.92</v>
      </c>
      <c r="K779" t="s">
        <v>96</v>
      </c>
      <c r="L779" t="s">
        <v>80</v>
      </c>
      <c r="M779" t="s">
        <v>74</v>
      </c>
      <c r="N779" t="s">
        <v>61</v>
      </c>
      <c r="O779" t="s">
        <v>62</v>
      </c>
      <c r="P779" t="str">
        <f t="shared" si="25"/>
        <v>High Value</v>
      </c>
      <c r="Q779" t="str">
        <f>VLOOKUP(G779,Merchants!A:C,3,TRUE)</f>
        <v>Food &amp; Dining</v>
      </c>
    </row>
    <row r="780" spans="1:17" x14ac:dyDescent="0.3">
      <c r="A780" t="s">
        <v>1314</v>
      </c>
      <c r="B780" s="2">
        <v>45687.441342592603</v>
      </c>
      <c r="C780" s="2" t="str">
        <f t="shared" si="24"/>
        <v>Jan-2025</v>
      </c>
      <c r="D780" t="s">
        <v>564</v>
      </c>
      <c r="E780" t="str">
        <f>VLOOKUP(D780,Customers!A:H,7,0)</f>
        <v>Student</v>
      </c>
      <c r="F780" t="s">
        <v>384</v>
      </c>
      <c r="G780" t="s">
        <v>182</v>
      </c>
      <c r="H780" t="str">
        <f>IFERROR(VLOOKUP(Transactions!G780,Merchants!A:B,2,FALSE),"Not Found")</f>
        <v>Fresh Hub</v>
      </c>
      <c r="I780" s="9">
        <v>16148.64</v>
      </c>
      <c r="J780" s="3">
        <v>161.49</v>
      </c>
      <c r="K780" t="s">
        <v>72</v>
      </c>
      <c r="L780" t="s">
        <v>59</v>
      </c>
      <c r="M780" t="s">
        <v>60</v>
      </c>
      <c r="N780" t="s">
        <v>61</v>
      </c>
      <c r="O780" t="s">
        <v>75</v>
      </c>
      <c r="P780" t="str">
        <f t="shared" si="25"/>
        <v>High Value</v>
      </c>
      <c r="Q780" t="str">
        <f>VLOOKUP(G780,Merchants!A:C,3,TRUE)</f>
        <v>Healthcare</v>
      </c>
    </row>
    <row r="781" spans="1:17" x14ac:dyDescent="0.3">
      <c r="A781" t="s">
        <v>1315</v>
      </c>
      <c r="B781" s="2">
        <v>46110.64503472222</v>
      </c>
      <c r="C781" s="2" t="str">
        <f t="shared" si="24"/>
        <v>Mar-2026</v>
      </c>
      <c r="D781" t="s">
        <v>527</v>
      </c>
      <c r="E781" t="str">
        <f>VLOOKUP(D781,Customers!A:H,7,0)</f>
        <v>Student</v>
      </c>
      <c r="F781" t="s">
        <v>841</v>
      </c>
      <c r="G781" t="s">
        <v>322</v>
      </c>
      <c r="H781" t="str">
        <f>IFERROR(VLOOKUP(Transactions!G781,Merchants!A:B,2,FALSE),"Not Found")</f>
        <v>Metro Pay</v>
      </c>
      <c r="I781" s="9">
        <v>23980.9</v>
      </c>
      <c r="J781" s="3">
        <v>119.9</v>
      </c>
      <c r="K781" t="s">
        <v>72</v>
      </c>
      <c r="L781" t="s">
        <v>157</v>
      </c>
      <c r="M781" t="s">
        <v>86</v>
      </c>
      <c r="N781" t="s">
        <v>61</v>
      </c>
      <c r="O781" t="s">
        <v>75</v>
      </c>
      <c r="P781" t="str">
        <f t="shared" si="25"/>
        <v>High Value</v>
      </c>
      <c r="Q781" t="str">
        <f>VLOOKUP(G781,Merchants!A:C,3,TRUE)</f>
        <v>Grocery</v>
      </c>
    </row>
    <row r="782" spans="1:17" x14ac:dyDescent="0.3">
      <c r="A782" t="s">
        <v>1316</v>
      </c>
      <c r="B782" s="2">
        <v>46077.335729166669</v>
      </c>
      <c r="C782" s="2" t="str">
        <f t="shared" si="24"/>
        <v>Feb-2026</v>
      </c>
      <c r="D782" t="s">
        <v>1126</v>
      </c>
      <c r="E782" t="str">
        <f>VLOOKUP(D782,Customers!A:H,7,0)</f>
        <v>Student</v>
      </c>
      <c r="F782" t="s">
        <v>1317</v>
      </c>
      <c r="G782" t="s">
        <v>208</v>
      </c>
      <c r="H782" t="str">
        <f>IFERROR(VLOOKUP(Transactions!G782,Merchants!A:B,2,FALSE),"Not Found")</f>
        <v>Blue Retail</v>
      </c>
      <c r="I782" s="9">
        <v>34393.089999999997</v>
      </c>
      <c r="J782" s="3">
        <v>103.18</v>
      </c>
      <c r="K782" t="s">
        <v>133</v>
      </c>
      <c r="L782" t="s">
        <v>59</v>
      </c>
      <c r="M782" t="s">
        <v>60</v>
      </c>
      <c r="N782" t="s">
        <v>67</v>
      </c>
      <c r="O782" t="s">
        <v>91</v>
      </c>
      <c r="P782" t="str">
        <f t="shared" si="25"/>
        <v>High Value</v>
      </c>
      <c r="Q782" t="str">
        <f>VLOOKUP(G782,Merchants!A:C,3,TRUE)</f>
        <v>Healthcare</v>
      </c>
    </row>
    <row r="783" spans="1:17" x14ac:dyDescent="0.3">
      <c r="A783" t="s">
        <v>1318</v>
      </c>
      <c r="B783" s="2">
        <v>45679.575231481482</v>
      </c>
      <c r="C783" s="2" t="str">
        <f t="shared" si="24"/>
        <v>Jan-2025</v>
      </c>
      <c r="D783" t="s">
        <v>390</v>
      </c>
      <c r="E783" t="str">
        <f>VLOOKUP(D783,Customers!A:H,7,0)</f>
        <v>Student</v>
      </c>
      <c r="F783" t="s">
        <v>494</v>
      </c>
      <c r="G783" t="s">
        <v>156</v>
      </c>
      <c r="H783" t="str">
        <f>IFERROR(VLOOKUP(Transactions!G783,Merchants!A:B,2,FALSE),"Not Found")</f>
        <v>Blue Digital</v>
      </c>
      <c r="I783" s="9">
        <v>5506.14</v>
      </c>
      <c r="J783" s="3">
        <v>27.53</v>
      </c>
      <c r="K783" t="s">
        <v>58</v>
      </c>
      <c r="L783" t="s">
        <v>80</v>
      </c>
      <c r="M783" t="s">
        <v>111</v>
      </c>
      <c r="N783" t="s">
        <v>61</v>
      </c>
      <c r="O783" t="s">
        <v>62</v>
      </c>
      <c r="P783" t="str">
        <f t="shared" si="25"/>
        <v>High Value</v>
      </c>
      <c r="Q783" t="str">
        <f>VLOOKUP(G783,Merchants!A:C,3,TRUE)</f>
        <v>Electronics</v>
      </c>
    </row>
    <row r="784" spans="1:17" x14ac:dyDescent="0.3">
      <c r="A784" t="s">
        <v>1319</v>
      </c>
      <c r="B784" s="2">
        <v>45818.812673611108</v>
      </c>
      <c r="C784" s="2" t="str">
        <f t="shared" si="24"/>
        <v>Jun-2025</v>
      </c>
      <c r="D784" t="s">
        <v>761</v>
      </c>
      <c r="E784" t="str">
        <f>VLOOKUP(D784,Customers!A:H,7,0)</f>
        <v>Salaried</v>
      </c>
      <c r="F784" t="s">
        <v>369</v>
      </c>
      <c r="G784" t="s">
        <v>100</v>
      </c>
      <c r="H784" t="str">
        <f>IFERROR(VLOOKUP(Transactions!G784,Merchants!A:B,2,FALSE),"Not Found")</f>
        <v>Metro Stores</v>
      </c>
      <c r="I784" s="9">
        <v>23792.02</v>
      </c>
      <c r="J784" s="3">
        <v>118.96</v>
      </c>
      <c r="K784" t="s">
        <v>72</v>
      </c>
      <c r="L784" t="s">
        <v>80</v>
      </c>
      <c r="M784" t="s">
        <v>74</v>
      </c>
      <c r="N784" t="s">
        <v>67</v>
      </c>
      <c r="O784" t="s">
        <v>62</v>
      </c>
      <c r="P784" t="str">
        <f t="shared" si="25"/>
        <v>High Value</v>
      </c>
      <c r="Q784" t="str">
        <f>VLOOKUP(G784,Merchants!A:C,3,TRUE)</f>
        <v>Healthcare</v>
      </c>
    </row>
    <row r="785" spans="1:17" x14ac:dyDescent="0.3">
      <c r="A785" t="s">
        <v>1320</v>
      </c>
      <c r="B785" s="2">
        <v>45671.054722222223</v>
      </c>
      <c r="C785" s="2" t="str">
        <f t="shared" si="24"/>
        <v>Jan-2025</v>
      </c>
      <c r="D785" t="s">
        <v>895</v>
      </c>
      <c r="E785" t="str">
        <f>VLOOKUP(D785,Customers!A:H,7,0)</f>
        <v>Business Owner</v>
      </c>
      <c r="F785" t="s">
        <v>499</v>
      </c>
      <c r="G785" t="s">
        <v>318</v>
      </c>
      <c r="H785" t="str">
        <f>IFERROR(VLOOKUP(Transactions!G785,Merchants!A:B,2,FALSE),"Not Found")</f>
        <v>Urban Digital</v>
      </c>
      <c r="I785" s="9">
        <v>50744.37</v>
      </c>
      <c r="J785" s="3">
        <v>101.49</v>
      </c>
      <c r="K785" t="s">
        <v>58</v>
      </c>
      <c r="L785" t="s">
        <v>80</v>
      </c>
      <c r="M785" t="s">
        <v>111</v>
      </c>
      <c r="N785" t="s">
        <v>61</v>
      </c>
      <c r="O785" t="s">
        <v>81</v>
      </c>
      <c r="P785" t="str">
        <f t="shared" si="25"/>
        <v>High Value</v>
      </c>
      <c r="Q785" t="str">
        <f>VLOOKUP(G785,Merchants!A:C,3,TRUE)</f>
        <v>Utilities</v>
      </c>
    </row>
    <row r="786" spans="1:17" x14ac:dyDescent="0.3">
      <c r="A786" t="s">
        <v>1321</v>
      </c>
      <c r="B786" s="2">
        <v>45682.348923611113</v>
      </c>
      <c r="C786" s="2" t="str">
        <f t="shared" si="24"/>
        <v>Jan-2025</v>
      </c>
      <c r="D786" t="s">
        <v>364</v>
      </c>
      <c r="E786" t="str">
        <f>VLOOKUP(D786,Customers!A:H,7,0)</f>
        <v>Self-employed</v>
      </c>
      <c r="F786" t="s">
        <v>78</v>
      </c>
      <c r="G786" t="s">
        <v>124</v>
      </c>
      <c r="H786" t="str">
        <f>IFERROR(VLOOKUP(Transactions!G786,Merchants!A:B,2,FALSE),"Not Found")</f>
        <v>Daily Services</v>
      </c>
      <c r="I786" s="9">
        <v>37930.17</v>
      </c>
      <c r="J786" s="3">
        <v>75.86</v>
      </c>
      <c r="K786" t="s">
        <v>96</v>
      </c>
      <c r="L786" t="s">
        <v>80</v>
      </c>
      <c r="M786" t="s">
        <v>74</v>
      </c>
      <c r="N786" t="s">
        <v>67</v>
      </c>
      <c r="O786" t="s">
        <v>81</v>
      </c>
      <c r="P786" t="str">
        <f t="shared" si="25"/>
        <v>High Value</v>
      </c>
      <c r="Q786" t="str">
        <f>VLOOKUP(G786,Merchants!A:C,3,TRUE)</f>
        <v>Food &amp; Dining</v>
      </c>
    </row>
    <row r="787" spans="1:17" x14ac:dyDescent="0.3">
      <c r="A787" t="s">
        <v>1322</v>
      </c>
      <c r="B787" s="2">
        <v>45744.116087962961</v>
      </c>
      <c r="C787" s="2" t="str">
        <f t="shared" si="24"/>
        <v>Mar-2025</v>
      </c>
      <c r="D787" t="s">
        <v>466</v>
      </c>
      <c r="E787" t="str">
        <f>VLOOKUP(D787,Customers!A:H,7,0)</f>
        <v>Salaried</v>
      </c>
      <c r="F787" t="s">
        <v>1090</v>
      </c>
      <c r="G787" t="s">
        <v>347</v>
      </c>
      <c r="H787" t="str">
        <f>IFERROR(VLOOKUP(Transactions!G787,Merchants!A:B,2,FALSE),"Not Found")</f>
        <v>Nova Hub</v>
      </c>
      <c r="I787" s="9">
        <v>4526.03</v>
      </c>
      <c r="J787" s="3">
        <v>45.26</v>
      </c>
      <c r="K787" t="s">
        <v>133</v>
      </c>
      <c r="L787" t="s">
        <v>80</v>
      </c>
      <c r="M787" t="s">
        <v>111</v>
      </c>
      <c r="N787" t="s">
        <v>67</v>
      </c>
      <c r="O787" t="s">
        <v>75</v>
      </c>
      <c r="P787" t="str">
        <f t="shared" si="25"/>
        <v>High Value</v>
      </c>
      <c r="Q787" t="str">
        <f>VLOOKUP(G787,Merchants!A:C,3,TRUE)</f>
        <v>Fuel</v>
      </c>
    </row>
    <row r="788" spans="1:17" x14ac:dyDescent="0.3">
      <c r="A788" t="s">
        <v>1323</v>
      </c>
      <c r="B788" s="2">
        <v>45856.918854166674</v>
      </c>
      <c r="C788" s="2" t="str">
        <f t="shared" si="24"/>
        <v>Jul-2025</v>
      </c>
      <c r="D788" t="s">
        <v>77</v>
      </c>
      <c r="E788" t="str">
        <f>VLOOKUP(D788,Customers!A:H,7,0)</f>
        <v>Student</v>
      </c>
      <c r="F788" t="s">
        <v>531</v>
      </c>
      <c r="G788" t="s">
        <v>783</v>
      </c>
      <c r="H788" t="str">
        <f>IFERROR(VLOOKUP(Transactions!G788,Merchants!A:B,2,FALSE),"Not Found")</f>
        <v>Daily Stores</v>
      </c>
      <c r="I788" s="9">
        <v>51572.25</v>
      </c>
      <c r="J788" s="3">
        <v>515.72</v>
      </c>
      <c r="K788" t="s">
        <v>72</v>
      </c>
      <c r="L788" t="s">
        <v>73</v>
      </c>
      <c r="M788" t="s">
        <v>60</v>
      </c>
      <c r="N788" t="s">
        <v>61</v>
      </c>
      <c r="O788" t="s">
        <v>62</v>
      </c>
      <c r="P788" t="str">
        <f t="shared" si="25"/>
        <v>High Value</v>
      </c>
      <c r="Q788" t="str">
        <f>VLOOKUP(G788,Merchants!A:C,3,TRUE)</f>
        <v>Entertainment</v>
      </c>
    </row>
    <row r="789" spans="1:17" x14ac:dyDescent="0.3">
      <c r="A789" t="s">
        <v>1324</v>
      </c>
      <c r="B789" s="2">
        <v>45760.400902777779</v>
      </c>
      <c r="C789" s="2" t="str">
        <f t="shared" si="24"/>
        <v>Apr-2025</v>
      </c>
      <c r="D789" t="s">
        <v>599</v>
      </c>
      <c r="E789" t="str">
        <f>VLOOKUP(D789,Customers!A:H,7,0)</f>
        <v>Student</v>
      </c>
      <c r="F789" t="s">
        <v>266</v>
      </c>
      <c r="G789" t="s">
        <v>103</v>
      </c>
      <c r="H789" t="str">
        <f>IFERROR(VLOOKUP(Transactions!G789,Merchants!A:B,2,FALSE),"Not Found")</f>
        <v>Nova Pay</v>
      </c>
      <c r="I789" s="9">
        <v>58158.82</v>
      </c>
      <c r="J789" s="3">
        <v>581.59</v>
      </c>
      <c r="K789" t="s">
        <v>90</v>
      </c>
      <c r="L789" t="s">
        <v>59</v>
      </c>
      <c r="M789" t="s">
        <v>74</v>
      </c>
      <c r="N789" t="s">
        <v>61</v>
      </c>
      <c r="O789" t="s">
        <v>75</v>
      </c>
      <c r="P789" t="str">
        <f t="shared" si="25"/>
        <v>High Value</v>
      </c>
      <c r="Q789" t="str">
        <f>VLOOKUP(G789,Merchants!A:C,3,TRUE)</f>
        <v>Fashion</v>
      </c>
    </row>
    <row r="790" spans="1:17" x14ac:dyDescent="0.3">
      <c r="A790" t="s">
        <v>1325</v>
      </c>
      <c r="B790" s="2">
        <v>45949.808888888889</v>
      </c>
      <c r="C790" s="2" t="str">
        <f t="shared" si="24"/>
        <v>Oct-2025</v>
      </c>
      <c r="D790" t="s">
        <v>771</v>
      </c>
      <c r="E790" t="str">
        <f>VLOOKUP(D790,Customers!A:H,7,0)</f>
        <v>Salaried</v>
      </c>
      <c r="F790" t="s">
        <v>279</v>
      </c>
      <c r="G790" t="s">
        <v>100</v>
      </c>
      <c r="H790" t="str">
        <f>IFERROR(VLOOKUP(Transactions!G790,Merchants!A:B,2,FALSE),"Not Found")</f>
        <v>Metro Stores</v>
      </c>
      <c r="I790" s="9">
        <v>30444.95</v>
      </c>
      <c r="J790" s="3">
        <v>304.45</v>
      </c>
      <c r="K790" t="s">
        <v>133</v>
      </c>
      <c r="L790" t="s">
        <v>59</v>
      </c>
      <c r="M790" t="s">
        <v>86</v>
      </c>
      <c r="N790" t="s">
        <v>61</v>
      </c>
      <c r="O790" t="s">
        <v>62</v>
      </c>
      <c r="P790" t="str">
        <f t="shared" si="25"/>
        <v>High Value</v>
      </c>
      <c r="Q790" t="str">
        <f>VLOOKUP(G790,Merchants!A:C,3,TRUE)</f>
        <v>Healthcare</v>
      </c>
    </row>
    <row r="791" spans="1:17" x14ac:dyDescent="0.3">
      <c r="A791" t="s">
        <v>1326</v>
      </c>
      <c r="B791" s="2">
        <v>46249.037754629629</v>
      </c>
      <c r="C791" s="2" t="str">
        <f t="shared" si="24"/>
        <v>Aug-2026</v>
      </c>
      <c r="D791" t="s">
        <v>515</v>
      </c>
      <c r="E791" t="str">
        <f>VLOOKUP(D791,Customers!A:H,7,0)</f>
        <v>Business Owner</v>
      </c>
      <c r="F791" t="s">
        <v>243</v>
      </c>
      <c r="G791" t="s">
        <v>244</v>
      </c>
      <c r="H791" t="str">
        <f>IFERROR(VLOOKUP(Transactions!G791,Merchants!A:B,2,FALSE),"Not Found")</f>
        <v>Blue Hub</v>
      </c>
      <c r="I791" s="9">
        <v>23901.18</v>
      </c>
      <c r="J791" s="3">
        <v>119.51</v>
      </c>
      <c r="K791" t="s">
        <v>72</v>
      </c>
      <c r="L791" t="s">
        <v>59</v>
      </c>
      <c r="M791" t="s">
        <v>60</v>
      </c>
      <c r="N791" t="s">
        <v>67</v>
      </c>
      <c r="O791" t="s">
        <v>91</v>
      </c>
      <c r="P791" t="str">
        <f t="shared" si="25"/>
        <v>High Value</v>
      </c>
      <c r="Q791" t="str">
        <f>VLOOKUP(G791,Merchants!A:C,3,TRUE)</f>
        <v>Healthcare</v>
      </c>
    </row>
    <row r="792" spans="1:17" x14ac:dyDescent="0.3">
      <c r="A792" t="s">
        <v>1327</v>
      </c>
      <c r="B792" s="2">
        <v>45755.85087962963</v>
      </c>
      <c r="C792" s="2" t="str">
        <f t="shared" si="24"/>
        <v>Apr-2025</v>
      </c>
      <c r="D792" t="s">
        <v>776</v>
      </c>
      <c r="E792" t="str">
        <f>VLOOKUP(D792,Customers!A:H,7,0)</f>
        <v>Student</v>
      </c>
      <c r="F792" t="s">
        <v>301</v>
      </c>
      <c r="G792" t="s">
        <v>103</v>
      </c>
      <c r="H792" t="str">
        <f>IFERROR(VLOOKUP(Transactions!G792,Merchants!A:B,2,FALSE),"Not Found")</f>
        <v>Nova Pay</v>
      </c>
      <c r="I792" s="9">
        <v>10238.42</v>
      </c>
      <c r="J792" s="3">
        <v>102.38</v>
      </c>
      <c r="K792" t="s">
        <v>90</v>
      </c>
      <c r="L792" t="s">
        <v>73</v>
      </c>
      <c r="M792" t="s">
        <v>74</v>
      </c>
      <c r="N792" t="s">
        <v>61</v>
      </c>
      <c r="O792" t="s">
        <v>62</v>
      </c>
      <c r="P792" t="str">
        <f t="shared" si="25"/>
        <v>High Value</v>
      </c>
      <c r="Q792" t="str">
        <f>VLOOKUP(G792,Merchants!A:C,3,TRUE)</f>
        <v>Fashion</v>
      </c>
    </row>
    <row r="793" spans="1:17" x14ac:dyDescent="0.3">
      <c r="A793" t="s">
        <v>1328</v>
      </c>
      <c r="B793" s="2">
        <v>45718.748530092591</v>
      </c>
      <c r="C793" s="2" t="str">
        <f t="shared" si="24"/>
        <v>Mar-2025</v>
      </c>
      <c r="D793" t="s">
        <v>272</v>
      </c>
      <c r="E793" t="str">
        <f>VLOOKUP(D793,Customers!A:H,7,0)</f>
        <v>Self-employed</v>
      </c>
      <c r="F793" t="s">
        <v>698</v>
      </c>
      <c r="G793" t="s">
        <v>182</v>
      </c>
      <c r="H793" t="str">
        <f>IFERROR(VLOOKUP(Transactions!G793,Merchants!A:B,2,FALSE),"Not Found")</f>
        <v>Fresh Hub</v>
      </c>
      <c r="I793" s="9">
        <v>15196.23</v>
      </c>
      <c r="J793" s="3">
        <v>75.98</v>
      </c>
      <c r="K793" t="s">
        <v>133</v>
      </c>
      <c r="L793" t="s">
        <v>59</v>
      </c>
      <c r="M793" t="s">
        <v>74</v>
      </c>
      <c r="N793" t="s">
        <v>67</v>
      </c>
      <c r="O793" t="s">
        <v>81</v>
      </c>
      <c r="P793" t="str">
        <f t="shared" si="25"/>
        <v>High Value</v>
      </c>
      <c r="Q793" t="str">
        <f>VLOOKUP(G793,Merchants!A:C,3,TRUE)</f>
        <v>Healthcare</v>
      </c>
    </row>
    <row r="794" spans="1:17" x14ac:dyDescent="0.3">
      <c r="A794" t="s">
        <v>1329</v>
      </c>
      <c r="B794" s="2">
        <v>45872.853194444448</v>
      </c>
      <c r="C794" s="2" t="str">
        <f t="shared" si="24"/>
        <v>Aug-2025</v>
      </c>
      <c r="D794" t="s">
        <v>398</v>
      </c>
      <c r="E794" t="str">
        <f>VLOOKUP(D794,Customers!A:H,7,0)</f>
        <v>Salaried</v>
      </c>
      <c r="F794" t="s">
        <v>354</v>
      </c>
      <c r="G794" t="s">
        <v>182</v>
      </c>
      <c r="H794" t="str">
        <f>IFERROR(VLOOKUP(Transactions!G794,Merchants!A:B,2,FALSE),"Not Found")</f>
        <v>Fresh Hub</v>
      </c>
      <c r="I794" s="9">
        <v>47702.28</v>
      </c>
      <c r="J794" s="3">
        <v>238.51</v>
      </c>
      <c r="K794" t="s">
        <v>96</v>
      </c>
      <c r="L794" t="s">
        <v>59</v>
      </c>
      <c r="M794" t="s">
        <v>74</v>
      </c>
      <c r="N794" t="s">
        <v>67</v>
      </c>
      <c r="O794" t="s">
        <v>91</v>
      </c>
      <c r="P794" t="str">
        <f t="shared" si="25"/>
        <v>High Value</v>
      </c>
      <c r="Q794" t="str">
        <f>VLOOKUP(G794,Merchants!A:C,3,TRUE)</f>
        <v>Healthcare</v>
      </c>
    </row>
    <row r="795" spans="1:17" x14ac:dyDescent="0.3">
      <c r="A795" t="s">
        <v>1330</v>
      </c>
      <c r="B795" s="2">
        <v>46093.117569444446</v>
      </c>
      <c r="C795" s="2" t="str">
        <f t="shared" si="24"/>
        <v>Mar-2026</v>
      </c>
      <c r="D795" t="s">
        <v>284</v>
      </c>
      <c r="E795" t="str">
        <f>VLOOKUP(D795,Customers!A:H,7,0)</f>
        <v>Student</v>
      </c>
      <c r="F795" t="s">
        <v>78</v>
      </c>
      <c r="G795" t="s">
        <v>124</v>
      </c>
      <c r="H795" t="str">
        <f>IFERROR(VLOOKUP(Transactions!G795,Merchants!A:B,2,FALSE),"Not Found")</f>
        <v>Daily Services</v>
      </c>
      <c r="I795" s="9">
        <v>22603.59</v>
      </c>
      <c r="J795" s="3">
        <v>67.81</v>
      </c>
      <c r="K795" t="s">
        <v>90</v>
      </c>
      <c r="L795" t="s">
        <v>80</v>
      </c>
      <c r="M795" t="s">
        <v>111</v>
      </c>
      <c r="N795" t="s">
        <v>61</v>
      </c>
      <c r="O795" t="s">
        <v>91</v>
      </c>
      <c r="P795" t="str">
        <f t="shared" si="25"/>
        <v>High Value</v>
      </c>
      <c r="Q795" t="str">
        <f>VLOOKUP(G795,Merchants!A:C,3,TRUE)</f>
        <v>Food &amp; Dining</v>
      </c>
    </row>
    <row r="796" spans="1:17" x14ac:dyDescent="0.3">
      <c r="A796" t="s">
        <v>1331</v>
      </c>
      <c r="B796" s="2">
        <v>45697.643495370372</v>
      </c>
      <c r="C796" s="2" t="str">
        <f t="shared" si="24"/>
        <v>Feb-2025</v>
      </c>
      <c r="D796" t="s">
        <v>953</v>
      </c>
      <c r="E796" t="str">
        <f>VLOOKUP(D796,Customers!A:H,7,0)</f>
        <v>Self-employed</v>
      </c>
      <c r="F796" t="s">
        <v>78</v>
      </c>
      <c r="G796" t="s">
        <v>164</v>
      </c>
      <c r="H796" t="str">
        <f>IFERROR(VLOOKUP(Transactions!G796,Merchants!A:B,2,FALSE),"Not Found")</f>
        <v>Green Foods</v>
      </c>
      <c r="I796" s="9">
        <v>29761.55</v>
      </c>
      <c r="J796" s="3">
        <v>297.62</v>
      </c>
      <c r="K796" t="s">
        <v>96</v>
      </c>
      <c r="L796" t="s">
        <v>80</v>
      </c>
      <c r="M796" t="s">
        <v>74</v>
      </c>
      <c r="N796" t="s">
        <v>67</v>
      </c>
      <c r="O796" t="s">
        <v>81</v>
      </c>
      <c r="P796" t="str">
        <f t="shared" si="25"/>
        <v>High Value</v>
      </c>
      <c r="Q796" t="str">
        <f>VLOOKUP(G796,Merchants!A:C,3,TRUE)</f>
        <v>Grocery</v>
      </c>
    </row>
    <row r="797" spans="1:17" x14ac:dyDescent="0.3">
      <c r="A797" t="s">
        <v>1332</v>
      </c>
      <c r="B797" s="2">
        <v>45778.660636574074</v>
      </c>
      <c r="C797" s="2" t="str">
        <f t="shared" si="24"/>
        <v>May-2025</v>
      </c>
      <c r="D797" t="s">
        <v>284</v>
      </c>
      <c r="E797" t="str">
        <f>VLOOKUP(D797,Customers!A:H,7,0)</f>
        <v>Student</v>
      </c>
      <c r="F797" t="s">
        <v>768</v>
      </c>
      <c r="G797" t="s">
        <v>208</v>
      </c>
      <c r="H797" t="str">
        <f>IFERROR(VLOOKUP(Transactions!G797,Merchants!A:B,2,FALSE),"Not Found")</f>
        <v>Blue Retail</v>
      </c>
      <c r="I797" s="9">
        <v>59745.08</v>
      </c>
      <c r="J797" s="3">
        <v>298.73</v>
      </c>
      <c r="K797" t="s">
        <v>72</v>
      </c>
      <c r="L797" t="s">
        <v>80</v>
      </c>
      <c r="M797" t="s">
        <v>111</v>
      </c>
      <c r="N797" t="s">
        <v>67</v>
      </c>
      <c r="O797" t="s">
        <v>81</v>
      </c>
      <c r="P797" t="str">
        <f t="shared" si="25"/>
        <v>High Value</v>
      </c>
      <c r="Q797" t="str">
        <f>VLOOKUP(G797,Merchants!A:C,3,TRUE)</f>
        <v>Healthcare</v>
      </c>
    </row>
    <row r="798" spans="1:17" x14ac:dyDescent="0.3">
      <c r="A798" t="s">
        <v>1333</v>
      </c>
      <c r="B798" s="2">
        <v>46193.310173611113</v>
      </c>
      <c r="C798" s="2" t="str">
        <f t="shared" si="24"/>
        <v>Jun-2026</v>
      </c>
      <c r="D798" t="s">
        <v>461</v>
      </c>
      <c r="E798" t="str">
        <f>VLOOKUP(D798,Customers!A:H,7,0)</f>
        <v>Student</v>
      </c>
      <c r="F798" t="s">
        <v>1002</v>
      </c>
      <c r="G798" t="s">
        <v>189</v>
      </c>
      <c r="H798" t="str">
        <f>IFERROR(VLOOKUP(Transactions!G798,Merchants!A:B,2,FALSE),"Not Found")</f>
        <v>Quick Services</v>
      </c>
      <c r="I798" s="9">
        <v>48188.54</v>
      </c>
      <c r="J798" s="3">
        <v>240.94</v>
      </c>
      <c r="K798" t="s">
        <v>96</v>
      </c>
      <c r="L798" t="s">
        <v>157</v>
      </c>
      <c r="M798" t="s">
        <v>74</v>
      </c>
      <c r="N798" t="s">
        <v>67</v>
      </c>
      <c r="O798" t="s">
        <v>81</v>
      </c>
      <c r="P798" t="str">
        <f t="shared" si="25"/>
        <v>High Value</v>
      </c>
      <c r="Q798" t="str">
        <f>VLOOKUP(G798,Merchants!A:C,3,TRUE)</f>
        <v>Food &amp; Dining</v>
      </c>
    </row>
    <row r="799" spans="1:17" x14ac:dyDescent="0.3">
      <c r="A799" t="s">
        <v>1334</v>
      </c>
      <c r="B799" s="2">
        <v>45796.249155092592</v>
      </c>
      <c r="C799" s="2" t="str">
        <f t="shared" si="24"/>
        <v>May-2025</v>
      </c>
      <c r="D799" t="s">
        <v>625</v>
      </c>
      <c r="E799" t="str">
        <f>VLOOKUP(D799,Customers!A:H,7,0)</f>
        <v>Student</v>
      </c>
      <c r="F799" t="s">
        <v>405</v>
      </c>
      <c r="G799" t="s">
        <v>215</v>
      </c>
      <c r="H799" t="str">
        <f>IFERROR(VLOOKUP(Transactions!G799,Merchants!A:B,2,FALSE),"Not Found")</f>
        <v>Daily Hub</v>
      </c>
      <c r="I799" s="9">
        <v>31510.27</v>
      </c>
      <c r="J799" s="3">
        <v>63.02</v>
      </c>
      <c r="K799" t="s">
        <v>90</v>
      </c>
      <c r="L799" t="s">
        <v>73</v>
      </c>
      <c r="M799" t="s">
        <v>74</v>
      </c>
      <c r="N799" t="s">
        <v>67</v>
      </c>
      <c r="O799" t="s">
        <v>91</v>
      </c>
      <c r="P799" t="str">
        <f t="shared" si="25"/>
        <v>High Value</v>
      </c>
      <c r="Q799" t="str">
        <f>VLOOKUP(G799,Merchants!A:C,3,TRUE)</f>
        <v>Fashion</v>
      </c>
    </row>
    <row r="800" spans="1:17" x14ac:dyDescent="0.3">
      <c r="A800" t="s">
        <v>1335</v>
      </c>
      <c r="B800" s="2">
        <v>45977.284699074073</v>
      </c>
      <c r="C800" s="2" t="str">
        <f t="shared" si="24"/>
        <v>Nov-2025</v>
      </c>
      <c r="D800" t="s">
        <v>327</v>
      </c>
      <c r="E800" t="str">
        <f>VLOOKUP(D800,Customers!A:H,7,0)</f>
        <v>Salaried</v>
      </c>
      <c r="F800" t="s">
        <v>832</v>
      </c>
      <c r="G800" t="s">
        <v>607</v>
      </c>
      <c r="H800" t="str">
        <f>IFERROR(VLOOKUP(Transactions!G800,Merchants!A:B,2,FALSE),"Not Found")</f>
        <v>Daily Digital</v>
      </c>
      <c r="I800" s="9">
        <v>12036.13</v>
      </c>
      <c r="J800" s="3">
        <v>120.36</v>
      </c>
      <c r="K800" t="s">
        <v>133</v>
      </c>
      <c r="L800" t="s">
        <v>59</v>
      </c>
      <c r="M800" t="s">
        <v>74</v>
      </c>
      <c r="N800" t="s">
        <v>67</v>
      </c>
      <c r="O800" t="s">
        <v>91</v>
      </c>
      <c r="P800" t="str">
        <f t="shared" si="25"/>
        <v>High Value</v>
      </c>
      <c r="Q800" t="str">
        <f>VLOOKUP(G800,Merchants!A:C,3,TRUE)</f>
        <v>Healthcare</v>
      </c>
    </row>
    <row r="801" spans="1:17" x14ac:dyDescent="0.3">
      <c r="A801" t="s">
        <v>1336</v>
      </c>
      <c r="B801" s="2">
        <v>46016.96534722222</v>
      </c>
      <c r="C801" s="2" t="str">
        <f t="shared" si="24"/>
        <v>Dec-2025</v>
      </c>
      <c r="D801" t="s">
        <v>445</v>
      </c>
      <c r="E801" t="str">
        <f>VLOOKUP(D801,Customers!A:H,7,0)</f>
        <v>Self-employed</v>
      </c>
      <c r="F801" t="s">
        <v>290</v>
      </c>
      <c r="G801" t="s">
        <v>132</v>
      </c>
      <c r="H801" t="str">
        <f>IFERROR(VLOOKUP(Transactions!G801,Merchants!A:B,2,FALSE),"Not Found")</f>
        <v>Metro Retail</v>
      </c>
      <c r="I801" s="9">
        <v>33593.449999999997</v>
      </c>
      <c r="J801" s="3">
        <v>67.19</v>
      </c>
      <c r="K801" t="s">
        <v>96</v>
      </c>
      <c r="L801" t="s">
        <v>59</v>
      </c>
      <c r="M801" t="s">
        <v>60</v>
      </c>
      <c r="N801" t="s">
        <v>61</v>
      </c>
      <c r="O801" t="s">
        <v>75</v>
      </c>
      <c r="P801" t="str">
        <f t="shared" si="25"/>
        <v>High Value</v>
      </c>
      <c r="Q801" t="str">
        <f>VLOOKUP(G801,Merchants!A:C,3,TRUE)</f>
        <v>Entertainment</v>
      </c>
    </row>
    <row r="802" spans="1:17" x14ac:dyDescent="0.3">
      <c r="A802" t="s">
        <v>1337</v>
      </c>
      <c r="B802" s="2">
        <v>45918.851226851853</v>
      </c>
      <c r="C802" s="2" t="str">
        <f t="shared" si="24"/>
        <v>Sep-2025</v>
      </c>
      <c r="D802" t="s">
        <v>776</v>
      </c>
      <c r="E802" t="str">
        <f>VLOOKUP(D802,Customers!A:H,7,0)</f>
        <v>Student</v>
      </c>
      <c r="F802" t="s">
        <v>692</v>
      </c>
      <c r="G802" t="s">
        <v>244</v>
      </c>
      <c r="H802" t="str">
        <f>IFERROR(VLOOKUP(Transactions!G802,Merchants!A:B,2,FALSE),"Not Found")</f>
        <v>Blue Hub</v>
      </c>
      <c r="I802" s="9">
        <v>32506.92</v>
      </c>
      <c r="J802" s="3">
        <v>65.010000000000005</v>
      </c>
      <c r="K802" t="s">
        <v>90</v>
      </c>
      <c r="L802" t="s">
        <v>80</v>
      </c>
      <c r="M802" t="s">
        <v>60</v>
      </c>
      <c r="N802" t="s">
        <v>67</v>
      </c>
      <c r="O802" t="s">
        <v>81</v>
      </c>
      <c r="P802" t="str">
        <f t="shared" si="25"/>
        <v>High Value</v>
      </c>
      <c r="Q802" t="str">
        <f>VLOOKUP(G802,Merchants!A:C,3,TRUE)</f>
        <v>Healthcare</v>
      </c>
    </row>
    <row r="803" spans="1:17" x14ac:dyDescent="0.3">
      <c r="A803" t="s">
        <v>1338</v>
      </c>
      <c r="B803" s="2">
        <v>46235.155219907407</v>
      </c>
      <c r="C803" s="2" t="str">
        <f t="shared" si="24"/>
        <v>Aug-2026</v>
      </c>
      <c r="D803" t="s">
        <v>327</v>
      </c>
      <c r="E803" t="str">
        <f>VLOOKUP(D803,Customers!A:H,7,0)</f>
        <v>Salaried</v>
      </c>
      <c r="F803" t="s">
        <v>533</v>
      </c>
      <c r="G803" t="s">
        <v>168</v>
      </c>
      <c r="H803" t="str">
        <f>IFERROR(VLOOKUP(Transactions!G803,Merchants!A:B,2,FALSE),"Not Found")</f>
        <v>Quick Hub</v>
      </c>
      <c r="I803" s="9">
        <v>7689.57</v>
      </c>
      <c r="J803" s="3">
        <v>76.900000000000006</v>
      </c>
      <c r="K803" t="s">
        <v>133</v>
      </c>
      <c r="L803" t="s">
        <v>59</v>
      </c>
      <c r="M803" t="s">
        <v>60</v>
      </c>
      <c r="N803" t="s">
        <v>61</v>
      </c>
      <c r="O803" t="s">
        <v>62</v>
      </c>
      <c r="P803" t="str">
        <f t="shared" si="25"/>
        <v>High Value</v>
      </c>
      <c r="Q803" t="str">
        <f>VLOOKUP(G803,Merchants!A:C,3,TRUE)</f>
        <v>Utilities</v>
      </c>
    </row>
    <row r="804" spans="1:17" x14ac:dyDescent="0.3">
      <c r="A804" t="s">
        <v>1339</v>
      </c>
      <c r="B804" s="2">
        <v>45830.004050925927</v>
      </c>
      <c r="C804" s="2" t="str">
        <f t="shared" si="24"/>
        <v>Jun-2025</v>
      </c>
      <c r="D804" t="s">
        <v>206</v>
      </c>
      <c r="E804" t="str">
        <f>VLOOKUP(D804,Customers!A:H,7,0)</f>
        <v>Business Owner</v>
      </c>
      <c r="F804" t="s">
        <v>1081</v>
      </c>
      <c r="G804" t="s">
        <v>413</v>
      </c>
      <c r="H804" t="str">
        <f>IFERROR(VLOOKUP(Transactions!G804,Merchants!A:B,2,FALSE),"Not Found")</f>
        <v>Blue Hub</v>
      </c>
      <c r="I804" s="9">
        <v>47023.56</v>
      </c>
      <c r="J804" s="3">
        <v>94.05</v>
      </c>
      <c r="K804" t="s">
        <v>90</v>
      </c>
      <c r="L804" t="s">
        <v>157</v>
      </c>
      <c r="M804" t="s">
        <v>74</v>
      </c>
      <c r="N804" t="s">
        <v>67</v>
      </c>
      <c r="O804" t="s">
        <v>81</v>
      </c>
      <c r="P804" t="str">
        <f t="shared" si="25"/>
        <v>High Value</v>
      </c>
      <c r="Q804" t="str">
        <f>VLOOKUP(G804,Merchants!A:C,3,TRUE)</f>
        <v>Utilities</v>
      </c>
    </row>
    <row r="805" spans="1:17" x14ac:dyDescent="0.3">
      <c r="A805" t="s">
        <v>1340</v>
      </c>
      <c r="B805" s="2">
        <v>45737.07916666667</v>
      </c>
      <c r="C805" s="2" t="str">
        <f t="shared" si="24"/>
        <v>Mar-2025</v>
      </c>
      <c r="D805" t="s">
        <v>141</v>
      </c>
      <c r="E805" t="str">
        <f>VLOOKUP(D805,Customers!A:H,7,0)</f>
        <v>Salaried</v>
      </c>
      <c r="F805" t="s">
        <v>904</v>
      </c>
      <c r="G805" t="s">
        <v>182</v>
      </c>
      <c r="H805" t="str">
        <f>IFERROR(VLOOKUP(Transactions!G805,Merchants!A:B,2,FALSE),"Not Found")</f>
        <v>Fresh Hub</v>
      </c>
      <c r="I805" s="9">
        <v>8304.7999999999993</v>
      </c>
      <c r="J805" s="3">
        <v>83.05</v>
      </c>
      <c r="K805" t="s">
        <v>72</v>
      </c>
      <c r="L805" t="s">
        <v>73</v>
      </c>
      <c r="M805" t="s">
        <v>86</v>
      </c>
      <c r="N805" t="s">
        <v>67</v>
      </c>
      <c r="O805" t="s">
        <v>75</v>
      </c>
      <c r="P805" t="str">
        <f t="shared" si="25"/>
        <v>High Value</v>
      </c>
      <c r="Q805" t="str">
        <f>VLOOKUP(G805,Merchants!A:C,3,TRUE)</f>
        <v>Healthcare</v>
      </c>
    </row>
    <row r="806" spans="1:17" x14ac:dyDescent="0.3">
      <c r="A806" t="s">
        <v>1341</v>
      </c>
      <c r="B806" s="2">
        <v>46044.584861111107</v>
      </c>
      <c r="C806" s="2" t="str">
        <f t="shared" si="24"/>
        <v>Jan-2026</v>
      </c>
      <c r="D806" t="s">
        <v>1342</v>
      </c>
      <c r="E806" t="str">
        <f>VLOOKUP(D806,Customers!A:H,7,0)</f>
        <v>Salaried</v>
      </c>
      <c r="F806" t="s">
        <v>764</v>
      </c>
      <c r="G806" t="s">
        <v>382</v>
      </c>
      <c r="H806" t="str">
        <f>IFERROR(VLOOKUP(Transactions!G806,Merchants!A:B,2,FALSE),"Not Found")</f>
        <v>Fresh Foods</v>
      </c>
      <c r="I806" s="9">
        <v>42404.05</v>
      </c>
      <c r="J806" s="3">
        <v>212.02</v>
      </c>
      <c r="K806" t="s">
        <v>90</v>
      </c>
      <c r="L806" t="s">
        <v>59</v>
      </c>
      <c r="M806" t="s">
        <v>111</v>
      </c>
      <c r="N806" t="s">
        <v>61</v>
      </c>
      <c r="O806" t="s">
        <v>62</v>
      </c>
      <c r="P806" t="str">
        <f t="shared" si="25"/>
        <v>High Value</v>
      </c>
      <c r="Q806" t="str">
        <f>VLOOKUP(G806,Merchants!A:C,3,TRUE)</f>
        <v>Healthcare</v>
      </c>
    </row>
    <row r="807" spans="1:17" x14ac:dyDescent="0.3">
      <c r="A807" t="s">
        <v>1343</v>
      </c>
      <c r="B807" s="2">
        <v>46105.850277777783</v>
      </c>
      <c r="C807" s="2" t="str">
        <f t="shared" si="24"/>
        <v>Mar-2026</v>
      </c>
      <c r="D807" t="s">
        <v>684</v>
      </c>
      <c r="E807" t="str">
        <f>VLOOKUP(D807,Customers!A:H,7,0)</f>
        <v>Student</v>
      </c>
      <c r="F807" t="s">
        <v>409</v>
      </c>
      <c r="G807" t="s">
        <v>164</v>
      </c>
      <c r="H807" t="str">
        <f>IFERROR(VLOOKUP(Transactions!G807,Merchants!A:B,2,FALSE),"Not Found")</f>
        <v>Green Foods</v>
      </c>
      <c r="I807" s="9">
        <v>26554.639999999999</v>
      </c>
      <c r="J807" s="3">
        <v>132.77000000000001</v>
      </c>
      <c r="K807" t="s">
        <v>96</v>
      </c>
      <c r="L807" t="s">
        <v>80</v>
      </c>
      <c r="M807" t="s">
        <v>60</v>
      </c>
      <c r="N807" t="s">
        <v>67</v>
      </c>
      <c r="O807" t="s">
        <v>91</v>
      </c>
      <c r="P807" t="str">
        <f t="shared" si="25"/>
        <v>High Value</v>
      </c>
      <c r="Q807" t="str">
        <f>VLOOKUP(G807,Merchants!A:C,3,TRUE)</f>
        <v>Grocery</v>
      </c>
    </row>
    <row r="808" spans="1:17" x14ac:dyDescent="0.3">
      <c r="A808" t="s">
        <v>1344</v>
      </c>
      <c r="B808" s="2">
        <v>46032.707048611112</v>
      </c>
      <c r="C808" s="2" t="str">
        <f t="shared" si="24"/>
        <v>Jan-2026</v>
      </c>
      <c r="D808" t="s">
        <v>491</v>
      </c>
      <c r="E808" t="str">
        <f>VLOOKUP(D808,Customers!A:H,7,0)</f>
        <v>Student</v>
      </c>
      <c r="F808" t="s">
        <v>336</v>
      </c>
      <c r="G808" t="s">
        <v>164</v>
      </c>
      <c r="H808" t="str">
        <f>IFERROR(VLOOKUP(Transactions!G808,Merchants!A:B,2,FALSE),"Not Found")</f>
        <v>Green Foods</v>
      </c>
      <c r="I808" s="9">
        <v>46267.61</v>
      </c>
      <c r="J808" s="3">
        <v>462.68</v>
      </c>
      <c r="K808" t="s">
        <v>90</v>
      </c>
      <c r="L808" t="s">
        <v>59</v>
      </c>
      <c r="M808" t="s">
        <v>74</v>
      </c>
      <c r="N808" t="s">
        <v>61</v>
      </c>
      <c r="O808" t="s">
        <v>62</v>
      </c>
      <c r="P808" t="str">
        <f t="shared" si="25"/>
        <v>High Value</v>
      </c>
      <c r="Q808" t="str">
        <f>VLOOKUP(G808,Merchants!A:C,3,TRUE)</f>
        <v>Grocery</v>
      </c>
    </row>
    <row r="809" spans="1:17" x14ac:dyDescent="0.3">
      <c r="A809" t="s">
        <v>1345</v>
      </c>
      <c r="B809" s="2">
        <v>45668.297083333331</v>
      </c>
      <c r="C809" s="2" t="str">
        <f t="shared" si="24"/>
        <v>Jan-2025</v>
      </c>
      <c r="D809" t="s">
        <v>897</v>
      </c>
      <c r="E809" t="str">
        <f>VLOOKUP(D809,Customers!A:H,7,0)</f>
        <v>Student</v>
      </c>
      <c r="F809" t="s">
        <v>136</v>
      </c>
      <c r="G809" t="s">
        <v>201</v>
      </c>
      <c r="H809" t="str">
        <f>IFERROR(VLOOKUP(Transactions!G809,Merchants!A:B,2,FALSE),"Not Found")</f>
        <v>Urban Stores</v>
      </c>
      <c r="I809" s="9">
        <v>26580.63</v>
      </c>
      <c r="J809" s="3">
        <v>53.16</v>
      </c>
      <c r="K809" t="s">
        <v>58</v>
      </c>
      <c r="L809" t="s">
        <v>59</v>
      </c>
      <c r="M809" t="s">
        <v>60</v>
      </c>
      <c r="N809" t="s">
        <v>61</v>
      </c>
      <c r="O809" t="s">
        <v>91</v>
      </c>
      <c r="P809" t="str">
        <f t="shared" si="25"/>
        <v>High Value</v>
      </c>
      <c r="Q809" t="str">
        <f>VLOOKUP(G809,Merchants!A:C,3,TRUE)</f>
        <v>Entertainment</v>
      </c>
    </row>
    <row r="810" spans="1:17" x14ac:dyDescent="0.3">
      <c r="A810" t="s">
        <v>1346</v>
      </c>
      <c r="B810" s="2">
        <v>46279.414189814823</v>
      </c>
      <c r="C810" s="2" t="str">
        <f t="shared" si="24"/>
        <v>Sep-2026</v>
      </c>
      <c r="D810" t="s">
        <v>130</v>
      </c>
      <c r="E810" t="str">
        <f>VLOOKUP(D810,Customers!A:H,7,0)</f>
        <v>Student</v>
      </c>
      <c r="F810" t="s">
        <v>1017</v>
      </c>
      <c r="G810" t="s">
        <v>107</v>
      </c>
      <c r="H810" t="str">
        <f>IFERROR(VLOOKUP(Transactions!G810,Merchants!A:B,2,FALSE),"Not Found")</f>
        <v>Blue Services</v>
      </c>
      <c r="I810" s="9">
        <v>2108.34</v>
      </c>
      <c r="J810" s="3">
        <v>21.08</v>
      </c>
      <c r="K810" t="s">
        <v>72</v>
      </c>
      <c r="L810" t="s">
        <v>59</v>
      </c>
      <c r="M810" t="s">
        <v>60</v>
      </c>
      <c r="N810" t="s">
        <v>67</v>
      </c>
      <c r="O810" t="s">
        <v>91</v>
      </c>
      <c r="P810" t="str">
        <f t="shared" si="25"/>
        <v>Standard</v>
      </c>
      <c r="Q810" t="str">
        <f>VLOOKUP(G810,Merchants!A:C,3,TRUE)</f>
        <v>Travel</v>
      </c>
    </row>
    <row r="811" spans="1:17" x14ac:dyDescent="0.3">
      <c r="A811" t="s">
        <v>1347</v>
      </c>
      <c r="B811" s="2">
        <v>46140.921666666669</v>
      </c>
      <c r="C811" s="2" t="str">
        <f t="shared" si="24"/>
        <v>Apr-2026</v>
      </c>
      <c r="D811" t="s">
        <v>428</v>
      </c>
      <c r="E811" t="str">
        <f>VLOOKUP(D811,Customers!A:H,7,0)</f>
        <v>Business Owner</v>
      </c>
      <c r="F811" t="s">
        <v>273</v>
      </c>
      <c r="G811" t="s">
        <v>347</v>
      </c>
      <c r="H811" t="str">
        <f>IFERROR(VLOOKUP(Transactions!G811,Merchants!A:B,2,FALSE),"Not Found")</f>
        <v>Nova Hub</v>
      </c>
      <c r="I811" s="9">
        <v>37971.18</v>
      </c>
      <c r="J811" s="3">
        <v>379.71</v>
      </c>
      <c r="K811" t="s">
        <v>58</v>
      </c>
      <c r="L811" t="s">
        <v>59</v>
      </c>
      <c r="M811" t="s">
        <v>86</v>
      </c>
      <c r="N811" t="s">
        <v>61</v>
      </c>
      <c r="O811" t="s">
        <v>91</v>
      </c>
      <c r="P811" t="str">
        <f t="shared" si="25"/>
        <v>High Value</v>
      </c>
      <c r="Q811" t="str">
        <f>VLOOKUP(G811,Merchants!A:C,3,TRUE)</f>
        <v>Fuel</v>
      </c>
    </row>
    <row r="812" spans="1:17" x14ac:dyDescent="0.3">
      <c r="A812" t="s">
        <v>1348</v>
      </c>
      <c r="B812" s="2">
        <v>46285.232395833344</v>
      </c>
      <c r="C812" s="2" t="str">
        <f t="shared" si="24"/>
        <v>Sep-2026</v>
      </c>
      <c r="D812" t="s">
        <v>135</v>
      </c>
      <c r="E812" t="str">
        <f>VLOOKUP(D812,Customers!A:H,7,0)</f>
        <v>Salaried</v>
      </c>
      <c r="F812" t="s">
        <v>1309</v>
      </c>
      <c r="G812" t="s">
        <v>124</v>
      </c>
      <c r="H812" t="str">
        <f>IFERROR(VLOOKUP(Transactions!G812,Merchants!A:B,2,FALSE),"Not Found")</f>
        <v>Daily Services</v>
      </c>
      <c r="I812" s="9">
        <v>42367.81</v>
      </c>
      <c r="J812" s="3">
        <v>127.1</v>
      </c>
      <c r="K812" t="s">
        <v>58</v>
      </c>
      <c r="L812" t="s">
        <v>59</v>
      </c>
      <c r="M812" t="s">
        <v>74</v>
      </c>
      <c r="N812" t="s">
        <v>67</v>
      </c>
      <c r="O812" t="s">
        <v>81</v>
      </c>
      <c r="P812" t="str">
        <f t="shared" si="25"/>
        <v>High Value</v>
      </c>
      <c r="Q812" t="str">
        <f>VLOOKUP(G812,Merchants!A:C,3,TRUE)</f>
        <v>Food &amp; Dining</v>
      </c>
    </row>
    <row r="813" spans="1:17" x14ac:dyDescent="0.3">
      <c r="A813" t="s">
        <v>1349</v>
      </c>
      <c r="B813" s="2">
        <v>45757.82539351852</v>
      </c>
      <c r="C813" s="2" t="str">
        <f t="shared" si="24"/>
        <v>Apr-2025</v>
      </c>
      <c r="D813" t="s">
        <v>170</v>
      </c>
      <c r="E813" t="str">
        <f>VLOOKUP(D813,Customers!A:H,7,0)</f>
        <v>Self-employed</v>
      </c>
      <c r="F813" t="s">
        <v>1059</v>
      </c>
      <c r="G813" t="s">
        <v>128</v>
      </c>
      <c r="H813" t="str">
        <f>IFERROR(VLOOKUP(Transactions!G813,Merchants!A:B,2,FALSE),"Not Found")</f>
        <v>Blue Foods</v>
      </c>
      <c r="I813" s="9">
        <v>16720.939999999999</v>
      </c>
      <c r="J813" s="3">
        <v>33.44</v>
      </c>
      <c r="K813" t="s">
        <v>72</v>
      </c>
      <c r="L813" t="s">
        <v>73</v>
      </c>
      <c r="M813" t="s">
        <v>111</v>
      </c>
      <c r="N813" t="s">
        <v>61</v>
      </c>
      <c r="O813" t="s">
        <v>91</v>
      </c>
      <c r="P813" t="str">
        <f t="shared" si="25"/>
        <v>High Value</v>
      </c>
      <c r="Q813" t="str">
        <f>VLOOKUP(G813,Merchants!A:C,3,TRUE)</f>
        <v>Food &amp; Dining</v>
      </c>
    </row>
    <row r="814" spans="1:17" x14ac:dyDescent="0.3">
      <c r="A814" t="s">
        <v>1350</v>
      </c>
      <c r="B814" s="2">
        <v>46070.631655092591</v>
      </c>
      <c r="C814" s="2" t="str">
        <f t="shared" si="24"/>
        <v>Feb-2026</v>
      </c>
      <c r="D814" t="s">
        <v>445</v>
      </c>
      <c r="E814" t="str">
        <f>VLOOKUP(D814,Customers!A:H,7,0)</f>
        <v>Self-employed</v>
      </c>
      <c r="F814" t="s">
        <v>869</v>
      </c>
      <c r="G814" t="s">
        <v>150</v>
      </c>
      <c r="H814" t="str">
        <f>IFERROR(VLOOKUP(Transactions!G814,Merchants!A:B,2,FALSE),"Not Found")</f>
        <v>Nova Services</v>
      </c>
      <c r="I814" s="9">
        <v>50279.23</v>
      </c>
      <c r="J814" s="3">
        <v>100.56</v>
      </c>
      <c r="K814" t="s">
        <v>90</v>
      </c>
      <c r="L814" t="s">
        <v>80</v>
      </c>
      <c r="M814" t="s">
        <v>60</v>
      </c>
      <c r="N814" t="s">
        <v>67</v>
      </c>
      <c r="O814" t="s">
        <v>62</v>
      </c>
      <c r="P814" t="str">
        <f t="shared" si="25"/>
        <v>High Value</v>
      </c>
      <c r="Q814" t="str">
        <f>VLOOKUP(G814,Merchants!A:C,3,TRUE)</f>
        <v>Electronics</v>
      </c>
    </row>
    <row r="815" spans="1:17" x14ac:dyDescent="0.3">
      <c r="A815" t="s">
        <v>1351</v>
      </c>
      <c r="B815" s="2">
        <v>46112.067511574067</v>
      </c>
      <c r="C815" s="2" t="str">
        <f t="shared" si="24"/>
        <v>Mar-2026</v>
      </c>
      <c r="D815" t="s">
        <v>289</v>
      </c>
      <c r="E815" t="str">
        <f>VLOOKUP(D815,Customers!A:H,7,0)</f>
        <v>Business Owner</v>
      </c>
      <c r="F815" t="s">
        <v>84</v>
      </c>
      <c r="G815" t="s">
        <v>229</v>
      </c>
      <c r="H815" t="str">
        <f>IFERROR(VLOOKUP(Transactions!G815,Merchants!A:B,2,FALSE),"Not Found")</f>
        <v>Urban Services</v>
      </c>
      <c r="I815" s="9">
        <v>16603.97</v>
      </c>
      <c r="J815" s="3">
        <v>166.04</v>
      </c>
      <c r="K815" t="s">
        <v>72</v>
      </c>
      <c r="L815" t="s">
        <v>59</v>
      </c>
      <c r="M815" t="s">
        <v>60</v>
      </c>
      <c r="N815" t="s">
        <v>61</v>
      </c>
      <c r="O815" t="s">
        <v>91</v>
      </c>
      <c r="P815" t="str">
        <f t="shared" si="25"/>
        <v>High Value</v>
      </c>
      <c r="Q815" t="str">
        <f>VLOOKUP(G815,Merchants!A:C,3,TRUE)</f>
        <v>Fashion</v>
      </c>
    </row>
    <row r="816" spans="1:17" x14ac:dyDescent="0.3">
      <c r="A816" t="s">
        <v>1352</v>
      </c>
      <c r="B816" s="2">
        <v>46007.707314814812</v>
      </c>
      <c r="C816" s="2" t="str">
        <f t="shared" si="24"/>
        <v>Dec-2025</v>
      </c>
      <c r="D816" t="s">
        <v>379</v>
      </c>
      <c r="E816" t="str">
        <f>VLOOKUP(D816,Customers!A:H,7,0)</f>
        <v>Student</v>
      </c>
      <c r="F816" t="s">
        <v>659</v>
      </c>
      <c r="G816" t="s">
        <v>103</v>
      </c>
      <c r="H816" t="str">
        <f>IFERROR(VLOOKUP(Transactions!G816,Merchants!A:B,2,FALSE),"Not Found")</f>
        <v>Nova Pay</v>
      </c>
      <c r="I816" s="9">
        <v>34133.58</v>
      </c>
      <c r="J816" s="3">
        <v>341.34</v>
      </c>
      <c r="K816" t="s">
        <v>90</v>
      </c>
      <c r="L816" t="s">
        <v>80</v>
      </c>
      <c r="M816" t="s">
        <v>86</v>
      </c>
      <c r="N816" t="s">
        <v>67</v>
      </c>
      <c r="O816" t="s">
        <v>81</v>
      </c>
      <c r="P816" t="str">
        <f t="shared" si="25"/>
        <v>High Value</v>
      </c>
      <c r="Q816" t="str">
        <f>VLOOKUP(G816,Merchants!A:C,3,TRUE)</f>
        <v>Fashion</v>
      </c>
    </row>
    <row r="817" spans="1:17" x14ac:dyDescent="0.3">
      <c r="A817" t="s">
        <v>1353</v>
      </c>
      <c r="B817" s="2">
        <v>46263.950601851851</v>
      </c>
      <c r="C817" s="2" t="str">
        <f t="shared" si="24"/>
        <v>Aug-2026</v>
      </c>
      <c r="D817" t="s">
        <v>852</v>
      </c>
      <c r="E817" t="str">
        <f>VLOOKUP(D817,Customers!A:H,7,0)</f>
        <v>Business Owner</v>
      </c>
      <c r="F817" t="s">
        <v>247</v>
      </c>
      <c r="G817" t="s">
        <v>100</v>
      </c>
      <c r="H817" t="str">
        <f>IFERROR(VLOOKUP(Transactions!G817,Merchants!A:B,2,FALSE),"Not Found")</f>
        <v>Metro Stores</v>
      </c>
      <c r="I817" s="9">
        <v>57949.36</v>
      </c>
      <c r="J817" s="3">
        <v>115.9</v>
      </c>
      <c r="K817" t="s">
        <v>96</v>
      </c>
      <c r="L817" t="s">
        <v>80</v>
      </c>
      <c r="M817" t="s">
        <v>86</v>
      </c>
      <c r="N817" t="s">
        <v>67</v>
      </c>
      <c r="O817" t="s">
        <v>81</v>
      </c>
      <c r="P817" t="str">
        <f t="shared" si="25"/>
        <v>High Value</v>
      </c>
      <c r="Q817" t="str">
        <f>VLOOKUP(G817,Merchants!A:C,3,TRUE)</f>
        <v>Healthcare</v>
      </c>
    </row>
    <row r="818" spans="1:17" x14ac:dyDescent="0.3">
      <c r="A818" t="s">
        <v>1354</v>
      </c>
      <c r="B818" s="2">
        <v>45853.201354166667</v>
      </c>
      <c r="C818" s="2" t="str">
        <f t="shared" si="24"/>
        <v>Jul-2025</v>
      </c>
      <c r="D818" t="s">
        <v>474</v>
      </c>
      <c r="E818" t="str">
        <f>VLOOKUP(D818,Customers!A:H,7,0)</f>
        <v>Self-employed</v>
      </c>
      <c r="F818" t="s">
        <v>522</v>
      </c>
      <c r="G818" t="s">
        <v>146</v>
      </c>
      <c r="H818" t="str">
        <f>IFERROR(VLOOKUP(Transactions!G818,Merchants!A:B,2,FALSE),"Not Found")</f>
        <v>Prime Mart</v>
      </c>
      <c r="I818" s="9">
        <v>18698.18</v>
      </c>
      <c r="J818" s="3">
        <v>93.49</v>
      </c>
      <c r="K818" t="s">
        <v>133</v>
      </c>
      <c r="L818" t="s">
        <v>59</v>
      </c>
      <c r="M818" t="s">
        <v>60</v>
      </c>
      <c r="N818" t="s">
        <v>61</v>
      </c>
      <c r="O818" t="s">
        <v>62</v>
      </c>
      <c r="P818" t="str">
        <f t="shared" si="25"/>
        <v>High Value</v>
      </c>
      <c r="Q818" t="str">
        <f>VLOOKUP(G818,Merchants!A:C,3,TRUE)</f>
        <v>Food &amp; Dining</v>
      </c>
    </row>
    <row r="819" spans="1:17" x14ac:dyDescent="0.3">
      <c r="A819" t="s">
        <v>1355</v>
      </c>
      <c r="B819" s="2">
        <v>45850.413842592592</v>
      </c>
      <c r="C819" s="2" t="str">
        <f t="shared" si="24"/>
        <v>Jul-2025</v>
      </c>
      <c r="D819" t="s">
        <v>781</v>
      </c>
      <c r="E819" t="str">
        <f>VLOOKUP(D819,Customers!A:H,7,0)</f>
        <v>Self-employed</v>
      </c>
      <c r="F819" t="s">
        <v>139</v>
      </c>
      <c r="G819" t="s">
        <v>250</v>
      </c>
      <c r="H819" t="str">
        <f>IFERROR(VLOOKUP(Transactions!G819,Merchants!A:B,2,FALSE),"Not Found")</f>
        <v>Fresh Hub</v>
      </c>
      <c r="I819" s="9">
        <v>53025.760000000002</v>
      </c>
      <c r="J819" s="3">
        <v>265.13</v>
      </c>
      <c r="K819" t="s">
        <v>72</v>
      </c>
      <c r="L819" t="s">
        <v>59</v>
      </c>
      <c r="M819" t="s">
        <v>86</v>
      </c>
      <c r="N819" t="s">
        <v>61</v>
      </c>
      <c r="O819" t="s">
        <v>81</v>
      </c>
      <c r="P819" t="str">
        <f t="shared" si="25"/>
        <v>High Value</v>
      </c>
      <c r="Q819" t="str">
        <f>VLOOKUP(G819,Merchants!A:C,3,TRUE)</f>
        <v>Healthcare</v>
      </c>
    </row>
    <row r="820" spans="1:17" x14ac:dyDescent="0.3">
      <c r="A820" t="s">
        <v>1356</v>
      </c>
      <c r="B820" s="2">
        <v>46250.551608796297</v>
      </c>
      <c r="C820" s="2" t="str">
        <f t="shared" si="24"/>
        <v>Aug-2026</v>
      </c>
      <c r="D820" t="s">
        <v>1094</v>
      </c>
      <c r="E820" t="str">
        <f>VLOOKUP(D820,Customers!A:H,7,0)</f>
        <v>Student</v>
      </c>
      <c r="F820" t="s">
        <v>276</v>
      </c>
      <c r="G820" t="s">
        <v>95</v>
      </c>
      <c r="H820" t="str">
        <f>IFERROR(VLOOKUP(Transactions!G820,Merchants!A:B,2,FALSE),"Not Found")</f>
        <v>Quick Pay</v>
      </c>
      <c r="I820" s="9">
        <v>20996.67</v>
      </c>
      <c r="J820" s="3">
        <v>209.97</v>
      </c>
      <c r="K820" t="s">
        <v>58</v>
      </c>
      <c r="L820" t="s">
        <v>80</v>
      </c>
      <c r="M820" t="s">
        <v>74</v>
      </c>
      <c r="N820" t="s">
        <v>67</v>
      </c>
      <c r="O820" t="s">
        <v>62</v>
      </c>
      <c r="P820" t="str">
        <f t="shared" si="25"/>
        <v>High Value</v>
      </c>
      <c r="Q820" t="str">
        <f>VLOOKUP(G820,Merchants!A:C,3,TRUE)</f>
        <v>Healthcare</v>
      </c>
    </row>
    <row r="821" spans="1:17" x14ac:dyDescent="0.3">
      <c r="A821" t="s">
        <v>1357</v>
      </c>
      <c r="B821" s="2">
        <v>46102.526284722233</v>
      </c>
      <c r="C821" s="2" t="str">
        <f t="shared" si="24"/>
        <v>Mar-2026</v>
      </c>
      <c r="D821" t="s">
        <v>609</v>
      </c>
      <c r="E821" t="str">
        <f>VLOOKUP(D821,Customers!A:H,7,0)</f>
        <v>Self-employed</v>
      </c>
      <c r="F821" t="s">
        <v>256</v>
      </c>
      <c r="G821" t="s">
        <v>107</v>
      </c>
      <c r="H821" t="str">
        <f>IFERROR(VLOOKUP(Transactions!G821,Merchants!A:B,2,FALSE),"Not Found")</f>
        <v>Blue Services</v>
      </c>
      <c r="I821" s="9">
        <v>38795.879999999997</v>
      </c>
      <c r="J821" s="3">
        <v>193.98</v>
      </c>
      <c r="K821" t="s">
        <v>133</v>
      </c>
      <c r="L821" t="s">
        <v>80</v>
      </c>
      <c r="M821" t="s">
        <v>60</v>
      </c>
      <c r="N821" t="s">
        <v>67</v>
      </c>
      <c r="O821" t="s">
        <v>62</v>
      </c>
      <c r="P821" t="str">
        <f t="shared" si="25"/>
        <v>High Value</v>
      </c>
      <c r="Q821" t="str">
        <f>VLOOKUP(G821,Merchants!A:C,3,TRUE)</f>
        <v>Travel</v>
      </c>
    </row>
    <row r="822" spans="1:17" x14ac:dyDescent="0.3">
      <c r="A822" t="s">
        <v>1358</v>
      </c>
      <c r="B822" s="2">
        <v>45922.331099537027</v>
      </c>
      <c r="C822" s="2" t="str">
        <f t="shared" si="24"/>
        <v>Sep-2025</v>
      </c>
      <c r="D822" t="s">
        <v>461</v>
      </c>
      <c r="E822" t="str">
        <f>VLOOKUP(D822,Customers!A:H,7,0)</f>
        <v>Student</v>
      </c>
      <c r="F822" t="s">
        <v>1275</v>
      </c>
      <c r="G822" t="s">
        <v>237</v>
      </c>
      <c r="H822" t="str">
        <f>IFERROR(VLOOKUP(Transactions!G822,Merchants!A:B,2,FALSE),"Not Found")</f>
        <v>Metro Pay</v>
      </c>
      <c r="I822" s="9">
        <v>28114.52</v>
      </c>
      <c r="J822" s="3">
        <v>56.23</v>
      </c>
      <c r="K822" t="s">
        <v>90</v>
      </c>
      <c r="L822" t="s">
        <v>59</v>
      </c>
      <c r="M822" t="s">
        <v>74</v>
      </c>
      <c r="N822" t="s">
        <v>67</v>
      </c>
      <c r="O822" t="s">
        <v>75</v>
      </c>
      <c r="P822" t="str">
        <f t="shared" si="25"/>
        <v>High Value</v>
      </c>
      <c r="Q822" t="str">
        <f>VLOOKUP(G822,Merchants!A:C,3,TRUE)</f>
        <v>Healthcare</v>
      </c>
    </row>
    <row r="823" spans="1:17" x14ac:dyDescent="0.3">
      <c r="A823" t="s">
        <v>1359</v>
      </c>
      <c r="B823" s="2">
        <v>46258.489988425928</v>
      </c>
      <c r="C823" s="2" t="str">
        <f t="shared" si="24"/>
        <v>Aug-2026</v>
      </c>
      <c r="D823" t="s">
        <v>295</v>
      </c>
      <c r="E823" t="str">
        <f>VLOOKUP(D823,Customers!A:H,7,0)</f>
        <v>Student</v>
      </c>
      <c r="F823" t="s">
        <v>396</v>
      </c>
      <c r="G823" t="s">
        <v>244</v>
      </c>
      <c r="H823" t="str">
        <f>IFERROR(VLOOKUP(Transactions!G823,Merchants!A:B,2,FALSE),"Not Found")</f>
        <v>Blue Hub</v>
      </c>
      <c r="I823" s="9">
        <v>22399.74</v>
      </c>
      <c r="J823" s="3">
        <v>44.8</v>
      </c>
      <c r="K823" t="s">
        <v>72</v>
      </c>
      <c r="L823" t="s">
        <v>59</v>
      </c>
      <c r="M823" t="s">
        <v>86</v>
      </c>
      <c r="N823" t="s">
        <v>67</v>
      </c>
      <c r="O823" t="s">
        <v>75</v>
      </c>
      <c r="P823" t="str">
        <f t="shared" si="25"/>
        <v>High Value</v>
      </c>
      <c r="Q823" t="str">
        <f>VLOOKUP(G823,Merchants!A:C,3,TRUE)</f>
        <v>Healthcare</v>
      </c>
    </row>
    <row r="824" spans="1:17" x14ac:dyDescent="0.3">
      <c r="A824" t="s">
        <v>1360</v>
      </c>
      <c r="B824" s="2">
        <v>46144.5077662037</v>
      </c>
      <c r="C824" s="2" t="str">
        <f t="shared" si="24"/>
        <v>May-2026</v>
      </c>
      <c r="D824" t="s">
        <v>914</v>
      </c>
      <c r="E824" t="str">
        <f>VLOOKUP(D824,Customers!A:H,7,0)</f>
        <v>Student</v>
      </c>
      <c r="F824" t="s">
        <v>489</v>
      </c>
      <c r="G824" t="s">
        <v>95</v>
      </c>
      <c r="H824" t="str">
        <f>IFERROR(VLOOKUP(Transactions!G824,Merchants!A:B,2,FALSE),"Not Found")</f>
        <v>Quick Pay</v>
      </c>
      <c r="I824" s="9">
        <v>20266.64</v>
      </c>
      <c r="J824" s="3">
        <v>60.8</v>
      </c>
      <c r="K824" t="s">
        <v>96</v>
      </c>
      <c r="L824" t="s">
        <v>157</v>
      </c>
      <c r="M824" t="s">
        <v>111</v>
      </c>
      <c r="N824" t="s">
        <v>67</v>
      </c>
      <c r="O824" t="s">
        <v>75</v>
      </c>
      <c r="P824" t="str">
        <f t="shared" si="25"/>
        <v>High Value</v>
      </c>
      <c r="Q824" t="str">
        <f>VLOOKUP(G824,Merchants!A:C,3,TRUE)</f>
        <v>Healthcare</v>
      </c>
    </row>
    <row r="825" spans="1:17" x14ac:dyDescent="0.3">
      <c r="A825" t="s">
        <v>1361</v>
      </c>
      <c r="B825" s="2">
        <v>46289.692442129628</v>
      </c>
      <c r="C825" s="2" t="str">
        <f t="shared" si="24"/>
        <v>Sep-2026</v>
      </c>
      <c r="D825" t="s">
        <v>268</v>
      </c>
      <c r="E825" t="str">
        <f>VLOOKUP(D825,Customers!A:H,7,0)</f>
        <v>Student</v>
      </c>
      <c r="F825" t="s">
        <v>365</v>
      </c>
      <c r="G825" t="s">
        <v>192</v>
      </c>
      <c r="H825" t="str">
        <f>IFERROR(VLOOKUP(Transactions!G825,Merchants!A:B,2,FALSE),"Not Found")</f>
        <v>Blue Foods</v>
      </c>
      <c r="I825" s="9">
        <v>35655.129999999997</v>
      </c>
      <c r="J825" s="3">
        <v>356.55</v>
      </c>
      <c r="K825" t="s">
        <v>72</v>
      </c>
      <c r="L825" t="s">
        <v>80</v>
      </c>
      <c r="M825" t="s">
        <v>60</v>
      </c>
      <c r="N825" t="s">
        <v>61</v>
      </c>
      <c r="O825" t="s">
        <v>75</v>
      </c>
      <c r="P825" t="str">
        <f t="shared" si="25"/>
        <v>High Value</v>
      </c>
      <c r="Q825" t="str">
        <f>VLOOKUP(G825,Merchants!A:C,3,TRUE)</f>
        <v>Travel</v>
      </c>
    </row>
    <row r="826" spans="1:17" x14ac:dyDescent="0.3">
      <c r="A826" t="s">
        <v>1362</v>
      </c>
      <c r="B826" s="2">
        <v>46068.455370370371</v>
      </c>
      <c r="C826" s="2" t="str">
        <f t="shared" si="24"/>
        <v>Feb-2026</v>
      </c>
      <c r="D826" t="s">
        <v>392</v>
      </c>
      <c r="E826" t="str">
        <f>VLOOKUP(D826,Customers!A:H,7,0)</f>
        <v>Self-employed</v>
      </c>
      <c r="F826" t="s">
        <v>185</v>
      </c>
      <c r="G826" t="s">
        <v>66</v>
      </c>
      <c r="H826" t="str">
        <f>IFERROR(VLOOKUP(Transactions!G826,Merchants!A:B,2,FALSE),"Not Found")</f>
        <v>Prime Digital</v>
      </c>
      <c r="I826" s="9">
        <v>2503.73</v>
      </c>
      <c r="J826" s="3">
        <v>7.51</v>
      </c>
      <c r="K826" t="s">
        <v>96</v>
      </c>
      <c r="L826" t="s">
        <v>157</v>
      </c>
      <c r="M826" t="s">
        <v>60</v>
      </c>
      <c r="N826" t="s">
        <v>61</v>
      </c>
      <c r="O826" t="s">
        <v>91</v>
      </c>
      <c r="P826" t="str">
        <f t="shared" si="25"/>
        <v>High Value</v>
      </c>
      <c r="Q826" t="str">
        <f>VLOOKUP(G826,Merchants!A:C,3,TRUE)</f>
        <v>Fuel</v>
      </c>
    </row>
    <row r="827" spans="1:17" x14ac:dyDescent="0.3">
      <c r="A827" t="s">
        <v>1363</v>
      </c>
      <c r="B827" s="2">
        <v>45825.777025462958</v>
      </c>
      <c r="C827" s="2" t="str">
        <f t="shared" si="24"/>
        <v>Jun-2025</v>
      </c>
      <c r="D827" t="s">
        <v>582</v>
      </c>
      <c r="E827" t="str">
        <f>VLOOKUP(D827,Customers!A:H,7,0)</f>
        <v>Business Owner</v>
      </c>
      <c r="F827" t="s">
        <v>273</v>
      </c>
      <c r="G827" t="s">
        <v>146</v>
      </c>
      <c r="H827" t="str">
        <f>IFERROR(VLOOKUP(Transactions!G827,Merchants!A:B,2,FALSE),"Not Found")</f>
        <v>Prime Mart</v>
      </c>
      <c r="I827" s="9">
        <v>10066.450000000001</v>
      </c>
      <c r="J827" s="3">
        <v>30.2</v>
      </c>
      <c r="K827" t="s">
        <v>90</v>
      </c>
      <c r="L827" t="s">
        <v>59</v>
      </c>
      <c r="M827" t="s">
        <v>60</v>
      </c>
      <c r="N827" t="s">
        <v>67</v>
      </c>
      <c r="O827" t="s">
        <v>91</v>
      </c>
      <c r="P827" t="str">
        <f t="shared" si="25"/>
        <v>High Value</v>
      </c>
      <c r="Q827" t="str">
        <f>VLOOKUP(G827,Merchants!A:C,3,TRUE)</f>
        <v>Food &amp; Dining</v>
      </c>
    </row>
    <row r="828" spans="1:17" x14ac:dyDescent="0.3">
      <c r="A828" t="s">
        <v>1364</v>
      </c>
      <c r="B828" s="2">
        <v>45974.214594907397</v>
      </c>
      <c r="C828" s="2" t="str">
        <f t="shared" si="24"/>
        <v>Nov-2025</v>
      </c>
      <c r="D828" t="s">
        <v>83</v>
      </c>
      <c r="E828" t="str">
        <f>VLOOKUP(D828,Customers!A:H,7,0)</f>
        <v>Business Owner</v>
      </c>
      <c r="F828" t="s">
        <v>171</v>
      </c>
      <c r="G828" t="s">
        <v>85</v>
      </c>
      <c r="H828" t="str">
        <f>IFERROR(VLOOKUP(Transactions!G828,Merchants!A:B,2,FALSE),"Not Found")</f>
        <v>Metro Pay</v>
      </c>
      <c r="I828" s="9">
        <v>48109.23</v>
      </c>
      <c r="J828" s="3">
        <v>144.33000000000001</v>
      </c>
      <c r="K828" t="s">
        <v>90</v>
      </c>
      <c r="L828" t="s">
        <v>59</v>
      </c>
      <c r="M828" t="s">
        <v>111</v>
      </c>
      <c r="N828" t="s">
        <v>67</v>
      </c>
      <c r="O828" t="s">
        <v>81</v>
      </c>
      <c r="P828" t="str">
        <f t="shared" si="25"/>
        <v>High Value</v>
      </c>
      <c r="Q828" t="str">
        <f>VLOOKUP(G828,Merchants!A:C,3,TRUE)</f>
        <v>Travel</v>
      </c>
    </row>
    <row r="829" spans="1:17" x14ac:dyDescent="0.3">
      <c r="A829" t="s">
        <v>1365</v>
      </c>
      <c r="B829" s="2">
        <v>45972.121921296297</v>
      </c>
      <c r="C829" s="2" t="str">
        <f t="shared" si="24"/>
        <v>Nov-2025</v>
      </c>
      <c r="D829" t="s">
        <v>98</v>
      </c>
      <c r="E829" t="str">
        <f>VLOOKUP(D829,Customers!A:H,7,0)</f>
        <v>Self-employed</v>
      </c>
      <c r="F829" t="s">
        <v>321</v>
      </c>
      <c r="G829" t="s">
        <v>192</v>
      </c>
      <c r="H829" t="str">
        <f>IFERROR(VLOOKUP(Transactions!G829,Merchants!A:B,2,FALSE),"Not Found")</f>
        <v>Blue Foods</v>
      </c>
      <c r="I829" s="9">
        <v>11157.16</v>
      </c>
      <c r="J829" s="3">
        <v>111.57</v>
      </c>
      <c r="K829" t="s">
        <v>90</v>
      </c>
      <c r="L829" t="s">
        <v>73</v>
      </c>
      <c r="M829" t="s">
        <v>60</v>
      </c>
      <c r="N829" t="s">
        <v>67</v>
      </c>
      <c r="O829" t="s">
        <v>75</v>
      </c>
      <c r="P829" t="str">
        <f t="shared" si="25"/>
        <v>High Value</v>
      </c>
      <c r="Q829" t="str">
        <f>VLOOKUP(G829,Merchants!A:C,3,TRUE)</f>
        <v>Travel</v>
      </c>
    </row>
    <row r="830" spans="1:17" x14ac:dyDescent="0.3">
      <c r="A830" t="s">
        <v>1366</v>
      </c>
      <c r="B830" s="2">
        <v>45821.522939814808</v>
      </c>
      <c r="C830" s="2" t="str">
        <f t="shared" si="24"/>
        <v>Jun-2025</v>
      </c>
      <c r="D830" t="s">
        <v>1005</v>
      </c>
      <c r="E830" t="str">
        <f>VLOOKUP(D830,Customers!A:H,7,0)</f>
        <v>Business Owner</v>
      </c>
      <c r="F830" t="s">
        <v>592</v>
      </c>
      <c r="G830" t="s">
        <v>277</v>
      </c>
      <c r="H830" t="str">
        <f>IFERROR(VLOOKUP(Transactions!G830,Merchants!A:B,2,FALSE),"Not Found")</f>
        <v>Daily Digital</v>
      </c>
      <c r="I830" s="9">
        <v>6084.82</v>
      </c>
      <c r="J830" s="3">
        <v>60.85</v>
      </c>
      <c r="K830" t="s">
        <v>96</v>
      </c>
      <c r="L830" t="s">
        <v>59</v>
      </c>
      <c r="M830" t="s">
        <v>74</v>
      </c>
      <c r="N830" t="s">
        <v>67</v>
      </c>
      <c r="O830" t="s">
        <v>91</v>
      </c>
      <c r="P830" t="str">
        <f t="shared" si="25"/>
        <v>High Value</v>
      </c>
      <c r="Q830" t="str">
        <f>VLOOKUP(G830,Merchants!A:C,3,TRUE)</f>
        <v>Grocery</v>
      </c>
    </row>
    <row r="831" spans="1:17" x14ac:dyDescent="0.3">
      <c r="A831" t="s">
        <v>1367</v>
      </c>
      <c r="B831" s="2">
        <v>46054.19494212963</v>
      </c>
      <c r="C831" s="2" t="str">
        <f t="shared" si="24"/>
        <v>Feb-2026</v>
      </c>
      <c r="D831" t="s">
        <v>162</v>
      </c>
      <c r="E831" t="str">
        <f>VLOOKUP(D831,Customers!A:H,7,0)</f>
        <v>Self-employed</v>
      </c>
      <c r="F831" t="s">
        <v>513</v>
      </c>
      <c r="G831" t="s">
        <v>132</v>
      </c>
      <c r="H831" t="str">
        <f>IFERROR(VLOOKUP(Transactions!G831,Merchants!A:B,2,FALSE),"Not Found")</f>
        <v>Metro Retail</v>
      </c>
      <c r="I831" s="9">
        <v>19169.57</v>
      </c>
      <c r="J831" s="3">
        <v>191.7</v>
      </c>
      <c r="K831" t="s">
        <v>96</v>
      </c>
      <c r="L831" t="s">
        <v>157</v>
      </c>
      <c r="M831" t="s">
        <v>74</v>
      </c>
      <c r="N831" t="s">
        <v>67</v>
      </c>
      <c r="O831" t="s">
        <v>81</v>
      </c>
      <c r="P831" t="str">
        <f t="shared" si="25"/>
        <v>High Value</v>
      </c>
      <c r="Q831" t="str">
        <f>VLOOKUP(G831,Merchants!A:C,3,TRUE)</f>
        <v>Entertainment</v>
      </c>
    </row>
    <row r="832" spans="1:17" x14ac:dyDescent="0.3">
      <c r="A832" t="s">
        <v>1368</v>
      </c>
      <c r="B832" s="2">
        <v>46158.88962962963</v>
      </c>
      <c r="C832" s="2" t="str">
        <f t="shared" si="24"/>
        <v>May-2026</v>
      </c>
      <c r="D832" t="s">
        <v>618</v>
      </c>
      <c r="E832" t="str">
        <f>VLOOKUP(D832,Customers!A:H,7,0)</f>
        <v>Business Owner</v>
      </c>
      <c r="F832" t="s">
        <v>167</v>
      </c>
      <c r="G832" t="s">
        <v>100</v>
      </c>
      <c r="H832" t="str">
        <f>IFERROR(VLOOKUP(Transactions!G832,Merchants!A:B,2,FALSE),"Not Found")</f>
        <v>Metro Stores</v>
      </c>
      <c r="I832" s="9">
        <v>1711.09</v>
      </c>
      <c r="J832" s="3">
        <v>5.13</v>
      </c>
      <c r="K832" t="s">
        <v>72</v>
      </c>
      <c r="L832" t="s">
        <v>73</v>
      </c>
      <c r="M832" t="s">
        <v>86</v>
      </c>
      <c r="N832" t="s">
        <v>61</v>
      </c>
      <c r="O832" t="s">
        <v>91</v>
      </c>
      <c r="P832" t="str">
        <f t="shared" si="25"/>
        <v>Standard</v>
      </c>
      <c r="Q832" t="str">
        <f>VLOOKUP(G832,Merchants!A:C,3,TRUE)</f>
        <v>Healthcare</v>
      </c>
    </row>
    <row r="833" spans="1:17" x14ac:dyDescent="0.3">
      <c r="A833" t="s">
        <v>1369</v>
      </c>
      <c r="B833" s="2">
        <v>45893.209467592591</v>
      </c>
      <c r="C833" s="2" t="str">
        <f t="shared" si="24"/>
        <v>Aug-2025</v>
      </c>
      <c r="D833" t="s">
        <v>235</v>
      </c>
      <c r="E833" t="str">
        <f>VLOOKUP(D833,Customers!A:H,7,0)</f>
        <v>Student</v>
      </c>
      <c r="F833" t="s">
        <v>174</v>
      </c>
      <c r="G833" t="s">
        <v>201</v>
      </c>
      <c r="H833" t="str">
        <f>IFERROR(VLOOKUP(Transactions!G833,Merchants!A:B,2,FALSE),"Not Found")</f>
        <v>Urban Stores</v>
      </c>
      <c r="I833" s="9">
        <v>30046.99</v>
      </c>
      <c r="J833" s="3">
        <v>150.22999999999999</v>
      </c>
      <c r="K833" t="s">
        <v>96</v>
      </c>
      <c r="L833" t="s">
        <v>59</v>
      </c>
      <c r="M833" t="s">
        <v>111</v>
      </c>
      <c r="N833" t="s">
        <v>61</v>
      </c>
      <c r="O833" t="s">
        <v>62</v>
      </c>
      <c r="P833" t="str">
        <f t="shared" si="25"/>
        <v>High Value</v>
      </c>
      <c r="Q833" t="str">
        <f>VLOOKUP(G833,Merchants!A:C,3,TRUE)</f>
        <v>Entertainment</v>
      </c>
    </row>
    <row r="834" spans="1:17" x14ac:dyDescent="0.3">
      <c r="A834" t="s">
        <v>1370</v>
      </c>
      <c r="B834" s="2">
        <v>45949.471932870372</v>
      </c>
      <c r="C834" s="2" t="str">
        <f t="shared" si="24"/>
        <v>Oct-2025</v>
      </c>
      <c r="D834" t="s">
        <v>781</v>
      </c>
      <c r="E834" t="str">
        <f>VLOOKUP(D834,Customers!A:H,7,0)</f>
        <v>Self-employed</v>
      </c>
      <c r="F834" t="s">
        <v>469</v>
      </c>
      <c r="G834" t="s">
        <v>66</v>
      </c>
      <c r="H834" t="str">
        <f>IFERROR(VLOOKUP(Transactions!G834,Merchants!A:B,2,FALSE),"Not Found")</f>
        <v>Prime Digital</v>
      </c>
      <c r="I834" s="9">
        <v>23270.25</v>
      </c>
      <c r="J834" s="3">
        <v>46.54</v>
      </c>
      <c r="K834" t="s">
        <v>90</v>
      </c>
      <c r="L834" t="s">
        <v>73</v>
      </c>
      <c r="M834" t="s">
        <v>111</v>
      </c>
      <c r="N834" t="s">
        <v>61</v>
      </c>
      <c r="O834" t="s">
        <v>91</v>
      </c>
      <c r="P834" t="str">
        <f t="shared" si="25"/>
        <v>High Value</v>
      </c>
      <c r="Q834" t="str">
        <f>VLOOKUP(G834,Merchants!A:C,3,TRUE)</f>
        <v>Fuel</v>
      </c>
    </row>
    <row r="835" spans="1:17" x14ac:dyDescent="0.3">
      <c r="A835" t="s">
        <v>1371</v>
      </c>
      <c r="B835" s="2">
        <v>46134.125358796293</v>
      </c>
      <c r="C835" s="2" t="str">
        <f t="shared" ref="C835:C898" si="26">TEXT(B835,"mmm-yyyy")</f>
        <v>Apr-2026</v>
      </c>
      <c r="D835" t="s">
        <v>338</v>
      </c>
      <c r="E835" t="str">
        <f>VLOOKUP(D835,Customers!A:H,7,0)</f>
        <v>Student</v>
      </c>
      <c r="F835" t="s">
        <v>537</v>
      </c>
      <c r="G835" t="s">
        <v>182</v>
      </c>
      <c r="H835" t="str">
        <f>IFERROR(VLOOKUP(Transactions!G835,Merchants!A:B,2,FALSE),"Not Found")</f>
        <v>Fresh Hub</v>
      </c>
      <c r="I835" s="9">
        <v>20842.580000000002</v>
      </c>
      <c r="J835" s="3">
        <v>208.43</v>
      </c>
      <c r="K835" t="s">
        <v>90</v>
      </c>
      <c r="L835" t="s">
        <v>80</v>
      </c>
      <c r="M835" t="s">
        <v>74</v>
      </c>
      <c r="N835" t="s">
        <v>61</v>
      </c>
      <c r="O835" t="s">
        <v>91</v>
      </c>
      <c r="P835" t="str">
        <f t="shared" ref="P835:P898" si="27">IF(I835&gt;=2500,"High Value","Standard")</f>
        <v>High Value</v>
      </c>
      <c r="Q835" t="str">
        <f>VLOOKUP(G835,Merchants!A:C,3,TRUE)</f>
        <v>Healthcare</v>
      </c>
    </row>
    <row r="836" spans="1:17" x14ac:dyDescent="0.3">
      <c r="A836" t="s">
        <v>1372</v>
      </c>
      <c r="B836" s="2">
        <v>46155.991863425923</v>
      </c>
      <c r="C836" s="2" t="str">
        <f t="shared" si="26"/>
        <v>May-2026</v>
      </c>
      <c r="D836" t="s">
        <v>948</v>
      </c>
      <c r="E836" t="str">
        <f>VLOOKUP(D836,Customers!A:H,7,0)</f>
        <v>Student</v>
      </c>
      <c r="F836" t="s">
        <v>1056</v>
      </c>
      <c r="G836" t="s">
        <v>189</v>
      </c>
      <c r="H836" t="str">
        <f>IFERROR(VLOOKUP(Transactions!G836,Merchants!A:B,2,FALSE),"Not Found")</f>
        <v>Quick Services</v>
      </c>
      <c r="I836" s="9">
        <v>57599.27</v>
      </c>
      <c r="J836" s="3">
        <v>115.2</v>
      </c>
      <c r="K836" t="s">
        <v>58</v>
      </c>
      <c r="L836" t="s">
        <v>59</v>
      </c>
      <c r="M836" t="s">
        <v>74</v>
      </c>
      <c r="N836" t="s">
        <v>61</v>
      </c>
      <c r="O836" t="s">
        <v>75</v>
      </c>
      <c r="P836" t="str">
        <f t="shared" si="27"/>
        <v>High Value</v>
      </c>
      <c r="Q836" t="str">
        <f>VLOOKUP(G836,Merchants!A:C,3,TRUE)</f>
        <v>Food &amp; Dining</v>
      </c>
    </row>
    <row r="837" spans="1:17" x14ac:dyDescent="0.3">
      <c r="A837" t="s">
        <v>1373</v>
      </c>
      <c r="B837" s="2">
        <v>46001.811643518522</v>
      </c>
      <c r="C837" s="2" t="str">
        <f t="shared" si="26"/>
        <v>Dec-2025</v>
      </c>
      <c r="D837" t="s">
        <v>1074</v>
      </c>
      <c r="E837" t="str">
        <f>VLOOKUP(D837,Customers!A:H,7,0)</f>
        <v>Self-employed</v>
      </c>
      <c r="F837" t="s">
        <v>702</v>
      </c>
      <c r="G837" t="s">
        <v>366</v>
      </c>
      <c r="H837" t="str">
        <f>IFERROR(VLOOKUP(Transactions!G837,Merchants!A:B,2,FALSE),"Not Found")</f>
        <v>Smart Pay</v>
      </c>
      <c r="I837" s="9">
        <v>58309.04</v>
      </c>
      <c r="J837" s="3">
        <v>174.93</v>
      </c>
      <c r="K837" t="s">
        <v>58</v>
      </c>
      <c r="L837" t="s">
        <v>59</v>
      </c>
      <c r="M837" t="s">
        <v>111</v>
      </c>
      <c r="N837" t="s">
        <v>67</v>
      </c>
      <c r="O837" t="s">
        <v>81</v>
      </c>
      <c r="P837" t="str">
        <f t="shared" si="27"/>
        <v>High Value</v>
      </c>
      <c r="Q837" t="str">
        <f>VLOOKUP(G837,Merchants!A:C,3,TRUE)</f>
        <v>Fashion</v>
      </c>
    </row>
    <row r="838" spans="1:17" x14ac:dyDescent="0.3">
      <c r="A838" t="s">
        <v>1374</v>
      </c>
      <c r="B838" s="2">
        <v>46262.391145833331</v>
      </c>
      <c r="C838" s="2" t="str">
        <f t="shared" si="26"/>
        <v>Aug-2026</v>
      </c>
      <c r="D838" t="s">
        <v>235</v>
      </c>
      <c r="E838" t="str">
        <f>VLOOKUP(D838,Customers!A:H,7,0)</f>
        <v>Student</v>
      </c>
      <c r="F838" t="s">
        <v>1147</v>
      </c>
      <c r="G838" t="s">
        <v>554</v>
      </c>
      <c r="H838" t="str">
        <f>IFERROR(VLOOKUP(Transactions!G838,Merchants!A:B,2,FALSE),"Not Found")</f>
        <v>Green Pay</v>
      </c>
      <c r="I838" s="9">
        <v>11937.02</v>
      </c>
      <c r="J838" s="3">
        <v>119.37</v>
      </c>
      <c r="K838" t="s">
        <v>72</v>
      </c>
      <c r="L838" t="s">
        <v>73</v>
      </c>
      <c r="M838" t="s">
        <v>86</v>
      </c>
      <c r="N838" t="s">
        <v>67</v>
      </c>
      <c r="O838" t="s">
        <v>75</v>
      </c>
      <c r="P838" t="str">
        <f t="shared" si="27"/>
        <v>High Value</v>
      </c>
      <c r="Q838" t="str">
        <f>VLOOKUP(G838,Merchants!A:C,3,TRUE)</f>
        <v>Utilities</v>
      </c>
    </row>
    <row r="839" spans="1:17" x14ac:dyDescent="0.3">
      <c r="A839" t="s">
        <v>1375</v>
      </c>
      <c r="B839" s="2">
        <v>46129.556909722232</v>
      </c>
      <c r="C839" s="2" t="str">
        <f t="shared" si="26"/>
        <v>Apr-2026</v>
      </c>
      <c r="D839" t="s">
        <v>309</v>
      </c>
      <c r="E839" t="str">
        <f>VLOOKUP(D839,Customers!A:H,7,0)</f>
        <v>Self-employed</v>
      </c>
      <c r="F839" t="s">
        <v>1056</v>
      </c>
      <c r="G839" t="s">
        <v>201</v>
      </c>
      <c r="H839" t="str">
        <f>IFERROR(VLOOKUP(Transactions!G839,Merchants!A:B,2,FALSE),"Not Found")</f>
        <v>Urban Stores</v>
      </c>
      <c r="I839" s="9">
        <v>3099.4</v>
      </c>
      <c r="J839" s="3">
        <v>15.5</v>
      </c>
      <c r="K839" t="s">
        <v>72</v>
      </c>
      <c r="L839" t="s">
        <v>59</v>
      </c>
      <c r="M839" t="s">
        <v>86</v>
      </c>
      <c r="N839" t="s">
        <v>61</v>
      </c>
      <c r="O839" t="s">
        <v>62</v>
      </c>
      <c r="P839" t="str">
        <f t="shared" si="27"/>
        <v>High Value</v>
      </c>
      <c r="Q839" t="str">
        <f>VLOOKUP(G839,Merchants!A:C,3,TRUE)</f>
        <v>Entertainment</v>
      </c>
    </row>
    <row r="840" spans="1:17" x14ac:dyDescent="0.3">
      <c r="A840" t="s">
        <v>1376</v>
      </c>
      <c r="B840" s="2">
        <v>45958.541400462957</v>
      </c>
      <c r="C840" s="2" t="str">
        <f t="shared" si="26"/>
        <v>Oct-2025</v>
      </c>
      <c r="D840" t="s">
        <v>333</v>
      </c>
      <c r="E840" t="str">
        <f>VLOOKUP(D840,Customers!A:H,7,0)</f>
        <v>Student</v>
      </c>
      <c r="F840" t="s">
        <v>698</v>
      </c>
      <c r="G840" t="s">
        <v>382</v>
      </c>
      <c r="H840" t="str">
        <f>IFERROR(VLOOKUP(Transactions!G840,Merchants!A:B,2,FALSE),"Not Found")</f>
        <v>Fresh Foods</v>
      </c>
      <c r="I840" s="9">
        <v>25081.91</v>
      </c>
      <c r="J840" s="3">
        <v>125.41</v>
      </c>
      <c r="K840" t="s">
        <v>58</v>
      </c>
      <c r="L840" t="s">
        <v>59</v>
      </c>
      <c r="M840" t="s">
        <v>60</v>
      </c>
      <c r="N840" t="s">
        <v>67</v>
      </c>
      <c r="O840" t="s">
        <v>75</v>
      </c>
      <c r="P840" t="str">
        <f t="shared" si="27"/>
        <v>High Value</v>
      </c>
      <c r="Q840" t="str">
        <f>VLOOKUP(G840,Merchants!A:C,3,TRUE)</f>
        <v>Healthcare</v>
      </c>
    </row>
    <row r="841" spans="1:17" x14ac:dyDescent="0.3">
      <c r="A841" t="s">
        <v>1377</v>
      </c>
      <c r="B841" s="2">
        <v>45912.265833333331</v>
      </c>
      <c r="C841" s="2" t="str">
        <f t="shared" si="26"/>
        <v>Sep-2025</v>
      </c>
      <c r="D841" t="s">
        <v>333</v>
      </c>
      <c r="E841" t="str">
        <f>VLOOKUP(D841,Customers!A:H,7,0)</f>
        <v>Student</v>
      </c>
      <c r="F841" t="s">
        <v>909</v>
      </c>
      <c r="G841" t="s">
        <v>117</v>
      </c>
      <c r="H841" t="str">
        <f>IFERROR(VLOOKUP(Transactions!G841,Merchants!A:B,2,FALSE),"Not Found")</f>
        <v>Prime Pay</v>
      </c>
      <c r="I841" s="9">
        <v>5134.41</v>
      </c>
      <c r="J841" s="3">
        <v>15.4</v>
      </c>
      <c r="K841" t="s">
        <v>72</v>
      </c>
      <c r="L841" t="s">
        <v>59</v>
      </c>
      <c r="M841" t="s">
        <v>60</v>
      </c>
      <c r="N841" t="s">
        <v>61</v>
      </c>
      <c r="O841" t="s">
        <v>62</v>
      </c>
      <c r="P841" t="str">
        <f t="shared" si="27"/>
        <v>High Value</v>
      </c>
      <c r="Q841" t="str">
        <f>VLOOKUP(G841,Merchants!A:C,3,TRUE)</f>
        <v>Travel</v>
      </c>
    </row>
    <row r="842" spans="1:17" x14ac:dyDescent="0.3">
      <c r="A842" t="s">
        <v>1378</v>
      </c>
      <c r="B842" s="2">
        <v>46194.863287037027</v>
      </c>
      <c r="C842" s="2" t="str">
        <f t="shared" si="26"/>
        <v>Jun-2026</v>
      </c>
      <c r="D842" t="s">
        <v>154</v>
      </c>
      <c r="E842" t="str">
        <f>VLOOKUP(D842,Customers!A:H,7,0)</f>
        <v>Self-employed</v>
      </c>
      <c r="F842" t="s">
        <v>1081</v>
      </c>
      <c r="G842" t="s">
        <v>382</v>
      </c>
      <c r="H842" t="str">
        <f>IFERROR(VLOOKUP(Transactions!G842,Merchants!A:B,2,FALSE),"Not Found")</f>
        <v>Fresh Foods</v>
      </c>
      <c r="I842" s="9">
        <v>27559.33</v>
      </c>
      <c r="J842" s="3">
        <v>137.80000000000001</v>
      </c>
      <c r="K842" t="s">
        <v>58</v>
      </c>
      <c r="L842" t="s">
        <v>59</v>
      </c>
      <c r="M842" t="s">
        <v>74</v>
      </c>
      <c r="N842" t="s">
        <v>67</v>
      </c>
      <c r="O842" t="s">
        <v>81</v>
      </c>
      <c r="P842" t="str">
        <f t="shared" si="27"/>
        <v>High Value</v>
      </c>
      <c r="Q842" t="str">
        <f>VLOOKUP(G842,Merchants!A:C,3,TRUE)</f>
        <v>Healthcare</v>
      </c>
    </row>
    <row r="843" spans="1:17" x14ac:dyDescent="0.3">
      <c r="A843" t="s">
        <v>1379</v>
      </c>
      <c r="B843" s="2">
        <v>45967.640983796293</v>
      </c>
      <c r="C843" s="2" t="str">
        <f t="shared" si="26"/>
        <v>Nov-2025</v>
      </c>
      <c r="D843" t="s">
        <v>484</v>
      </c>
      <c r="E843" t="str">
        <f>VLOOKUP(D843,Customers!A:H,7,0)</f>
        <v>Self-employed</v>
      </c>
      <c r="F843" t="s">
        <v>531</v>
      </c>
      <c r="G843" t="s">
        <v>103</v>
      </c>
      <c r="H843" t="str">
        <f>IFERROR(VLOOKUP(Transactions!G843,Merchants!A:B,2,FALSE),"Not Found")</f>
        <v>Nova Pay</v>
      </c>
      <c r="I843" s="9">
        <v>24104.3</v>
      </c>
      <c r="J843" s="3">
        <v>120.52</v>
      </c>
      <c r="K843" t="s">
        <v>96</v>
      </c>
      <c r="L843" t="s">
        <v>59</v>
      </c>
      <c r="M843" t="s">
        <v>86</v>
      </c>
      <c r="N843" t="s">
        <v>67</v>
      </c>
      <c r="O843" t="s">
        <v>81</v>
      </c>
      <c r="P843" t="str">
        <f t="shared" si="27"/>
        <v>High Value</v>
      </c>
      <c r="Q843" t="str">
        <f>VLOOKUP(G843,Merchants!A:C,3,TRUE)</f>
        <v>Fashion</v>
      </c>
    </row>
    <row r="844" spans="1:17" x14ac:dyDescent="0.3">
      <c r="A844" t="s">
        <v>1380</v>
      </c>
      <c r="B844" s="2">
        <v>45968.933854166673</v>
      </c>
      <c r="C844" s="2" t="str">
        <f t="shared" si="26"/>
        <v>Nov-2025</v>
      </c>
      <c r="D844" t="s">
        <v>759</v>
      </c>
      <c r="E844" t="str">
        <f>VLOOKUP(D844,Customers!A:H,7,0)</f>
        <v>Business Owner</v>
      </c>
      <c r="F844" t="s">
        <v>525</v>
      </c>
      <c r="G844" t="s">
        <v>607</v>
      </c>
      <c r="H844" t="str">
        <f>IFERROR(VLOOKUP(Transactions!G844,Merchants!A:B,2,FALSE),"Not Found")</f>
        <v>Daily Digital</v>
      </c>
      <c r="I844" s="9">
        <v>30890.97</v>
      </c>
      <c r="J844" s="3">
        <v>92.67</v>
      </c>
      <c r="K844" t="s">
        <v>72</v>
      </c>
      <c r="L844" t="s">
        <v>73</v>
      </c>
      <c r="M844" t="s">
        <v>74</v>
      </c>
      <c r="N844" t="s">
        <v>67</v>
      </c>
      <c r="O844" t="s">
        <v>75</v>
      </c>
      <c r="P844" t="str">
        <f t="shared" si="27"/>
        <v>High Value</v>
      </c>
      <c r="Q844" t="str">
        <f>VLOOKUP(G844,Merchants!A:C,3,TRUE)</f>
        <v>Healthcare</v>
      </c>
    </row>
    <row r="845" spans="1:17" x14ac:dyDescent="0.3">
      <c r="A845" t="s">
        <v>1381</v>
      </c>
      <c r="B845" s="2">
        <v>45939.281724537039</v>
      </c>
      <c r="C845" s="2" t="str">
        <f t="shared" si="26"/>
        <v>Oct-2025</v>
      </c>
      <c r="D845" t="s">
        <v>556</v>
      </c>
      <c r="E845" t="str">
        <f>VLOOKUP(D845,Customers!A:H,7,0)</f>
        <v>Business Owner</v>
      </c>
      <c r="F845" t="s">
        <v>915</v>
      </c>
      <c r="G845" t="s">
        <v>132</v>
      </c>
      <c r="H845" t="str">
        <f>IFERROR(VLOOKUP(Transactions!G845,Merchants!A:B,2,FALSE),"Not Found")</f>
        <v>Metro Retail</v>
      </c>
      <c r="I845" s="9">
        <v>16683.54</v>
      </c>
      <c r="J845" s="3">
        <v>166.84</v>
      </c>
      <c r="K845" t="s">
        <v>72</v>
      </c>
      <c r="L845" t="s">
        <v>80</v>
      </c>
      <c r="M845" t="s">
        <v>86</v>
      </c>
      <c r="N845" t="s">
        <v>61</v>
      </c>
      <c r="O845" t="s">
        <v>62</v>
      </c>
      <c r="P845" t="str">
        <f t="shared" si="27"/>
        <v>High Value</v>
      </c>
      <c r="Q845" t="str">
        <f>VLOOKUP(G845,Merchants!A:C,3,TRUE)</f>
        <v>Entertainment</v>
      </c>
    </row>
    <row r="846" spans="1:17" x14ac:dyDescent="0.3">
      <c r="A846" t="s">
        <v>1382</v>
      </c>
      <c r="B846" s="2">
        <v>45677.628541666672</v>
      </c>
      <c r="C846" s="2" t="str">
        <f t="shared" si="26"/>
        <v>Jan-2025</v>
      </c>
      <c r="D846" t="s">
        <v>817</v>
      </c>
      <c r="E846" t="str">
        <f>VLOOKUP(D846,Customers!A:H,7,0)</f>
        <v>Salaried</v>
      </c>
      <c r="F846" t="s">
        <v>236</v>
      </c>
      <c r="G846" t="s">
        <v>237</v>
      </c>
      <c r="H846" t="str">
        <f>IFERROR(VLOOKUP(Transactions!G846,Merchants!A:B,2,FALSE),"Not Found")</f>
        <v>Metro Pay</v>
      </c>
      <c r="I846" s="9">
        <v>39467.050000000003</v>
      </c>
      <c r="J846" s="3">
        <v>394.67</v>
      </c>
      <c r="K846" t="s">
        <v>72</v>
      </c>
      <c r="L846" t="s">
        <v>59</v>
      </c>
      <c r="M846" t="s">
        <v>86</v>
      </c>
      <c r="N846" t="s">
        <v>67</v>
      </c>
      <c r="O846" t="s">
        <v>62</v>
      </c>
      <c r="P846" t="str">
        <f t="shared" si="27"/>
        <v>High Value</v>
      </c>
      <c r="Q846" t="str">
        <f>VLOOKUP(G846,Merchants!A:C,3,TRUE)</f>
        <v>Healthcare</v>
      </c>
    </row>
    <row r="847" spans="1:17" x14ac:dyDescent="0.3">
      <c r="A847" t="s">
        <v>1383</v>
      </c>
      <c r="B847" s="2">
        <v>45676.492442129631</v>
      </c>
      <c r="C847" s="2" t="str">
        <f t="shared" si="26"/>
        <v>Jan-2025</v>
      </c>
      <c r="D847" t="s">
        <v>897</v>
      </c>
      <c r="E847" t="str">
        <f>VLOOKUP(D847,Customers!A:H,7,0)</f>
        <v>Student</v>
      </c>
      <c r="F847" t="s">
        <v>1309</v>
      </c>
      <c r="G847" t="s">
        <v>237</v>
      </c>
      <c r="H847" t="str">
        <f>IFERROR(VLOOKUP(Transactions!G847,Merchants!A:B,2,FALSE),"Not Found")</f>
        <v>Metro Pay</v>
      </c>
      <c r="I847" s="9">
        <v>13341.36</v>
      </c>
      <c r="J847" s="3">
        <v>133.41</v>
      </c>
      <c r="K847" t="s">
        <v>133</v>
      </c>
      <c r="L847" t="s">
        <v>59</v>
      </c>
      <c r="M847" t="s">
        <v>60</v>
      </c>
      <c r="N847" t="s">
        <v>61</v>
      </c>
      <c r="O847" t="s">
        <v>75</v>
      </c>
      <c r="P847" t="str">
        <f t="shared" si="27"/>
        <v>High Value</v>
      </c>
      <c r="Q847" t="str">
        <f>VLOOKUP(G847,Merchants!A:C,3,TRUE)</f>
        <v>Healthcare</v>
      </c>
    </row>
    <row r="848" spans="1:17" x14ac:dyDescent="0.3">
      <c r="A848" t="s">
        <v>1384</v>
      </c>
      <c r="B848" s="2">
        <v>46229.019062500003</v>
      </c>
      <c r="C848" s="2" t="str">
        <f t="shared" si="26"/>
        <v>Jul-2026</v>
      </c>
      <c r="D848" t="s">
        <v>272</v>
      </c>
      <c r="E848" t="str">
        <f>VLOOKUP(D848,Customers!A:H,7,0)</f>
        <v>Self-employed</v>
      </c>
      <c r="F848" t="s">
        <v>188</v>
      </c>
      <c r="G848" t="s">
        <v>318</v>
      </c>
      <c r="H848" t="str">
        <f>IFERROR(VLOOKUP(Transactions!G848,Merchants!A:B,2,FALSE),"Not Found")</f>
        <v>Urban Digital</v>
      </c>
      <c r="I848" s="9">
        <v>20642.75</v>
      </c>
      <c r="J848" s="3">
        <v>206.43</v>
      </c>
      <c r="K848" t="s">
        <v>90</v>
      </c>
      <c r="L848" t="s">
        <v>59</v>
      </c>
      <c r="M848" t="s">
        <v>111</v>
      </c>
      <c r="N848" t="s">
        <v>61</v>
      </c>
      <c r="O848" t="s">
        <v>81</v>
      </c>
      <c r="P848" t="str">
        <f t="shared" si="27"/>
        <v>High Value</v>
      </c>
      <c r="Q848" t="str">
        <f>VLOOKUP(G848,Merchants!A:C,3,TRUE)</f>
        <v>Utilities</v>
      </c>
    </row>
    <row r="849" spans="1:17" x14ac:dyDescent="0.3">
      <c r="A849" t="s">
        <v>1385</v>
      </c>
      <c r="B849" s="2">
        <v>46070.048946759263</v>
      </c>
      <c r="C849" s="2" t="str">
        <f t="shared" si="26"/>
        <v>Feb-2026</v>
      </c>
      <c r="D849" t="s">
        <v>1094</v>
      </c>
      <c r="E849" t="str">
        <f>VLOOKUP(D849,Customers!A:H,7,0)</f>
        <v>Student</v>
      </c>
      <c r="F849" t="s">
        <v>595</v>
      </c>
      <c r="G849" t="s">
        <v>164</v>
      </c>
      <c r="H849" t="str">
        <f>IFERROR(VLOOKUP(Transactions!G849,Merchants!A:B,2,FALSE),"Not Found")</f>
        <v>Green Foods</v>
      </c>
      <c r="I849" s="9">
        <v>39675.839999999997</v>
      </c>
      <c r="J849" s="3">
        <v>79.349999999999994</v>
      </c>
      <c r="K849" t="s">
        <v>72</v>
      </c>
      <c r="L849" t="s">
        <v>59</v>
      </c>
      <c r="M849" t="s">
        <v>86</v>
      </c>
      <c r="N849" t="s">
        <v>67</v>
      </c>
      <c r="O849" t="s">
        <v>81</v>
      </c>
      <c r="P849" t="str">
        <f t="shared" si="27"/>
        <v>High Value</v>
      </c>
      <c r="Q849" t="str">
        <f>VLOOKUP(G849,Merchants!A:C,3,TRUE)</f>
        <v>Grocery</v>
      </c>
    </row>
    <row r="850" spans="1:17" x14ac:dyDescent="0.3">
      <c r="A850" t="s">
        <v>1386</v>
      </c>
      <c r="B850" s="2">
        <v>45969.442696759259</v>
      </c>
      <c r="C850" s="2" t="str">
        <f t="shared" si="26"/>
        <v>Nov-2025</v>
      </c>
      <c r="D850" t="s">
        <v>203</v>
      </c>
      <c r="E850" t="str">
        <f>VLOOKUP(D850,Customers!A:H,7,0)</f>
        <v>Salaried</v>
      </c>
      <c r="F850" t="s">
        <v>692</v>
      </c>
      <c r="G850" t="s">
        <v>208</v>
      </c>
      <c r="H850" t="str">
        <f>IFERROR(VLOOKUP(Transactions!G850,Merchants!A:B,2,FALSE),"Not Found")</f>
        <v>Blue Retail</v>
      </c>
      <c r="I850" s="9">
        <v>45076.37</v>
      </c>
      <c r="J850" s="3">
        <v>450.76</v>
      </c>
      <c r="K850" t="s">
        <v>133</v>
      </c>
      <c r="L850" t="s">
        <v>59</v>
      </c>
      <c r="M850" t="s">
        <v>111</v>
      </c>
      <c r="N850" t="s">
        <v>61</v>
      </c>
      <c r="O850" t="s">
        <v>75</v>
      </c>
      <c r="P850" t="str">
        <f t="shared" si="27"/>
        <v>High Value</v>
      </c>
      <c r="Q850" t="str">
        <f>VLOOKUP(G850,Merchants!A:C,3,TRUE)</f>
        <v>Healthcare</v>
      </c>
    </row>
    <row r="851" spans="1:17" x14ac:dyDescent="0.3">
      <c r="A851" t="s">
        <v>1387</v>
      </c>
      <c r="B851" s="2">
        <v>46083.035509259258</v>
      </c>
      <c r="C851" s="2" t="str">
        <f t="shared" si="26"/>
        <v>Mar-2026</v>
      </c>
      <c r="D851" t="s">
        <v>618</v>
      </c>
      <c r="E851" t="str">
        <f>VLOOKUP(D851,Customers!A:H,7,0)</f>
        <v>Business Owner</v>
      </c>
      <c r="F851" t="s">
        <v>472</v>
      </c>
      <c r="G851" t="s">
        <v>347</v>
      </c>
      <c r="H851" t="str">
        <f>IFERROR(VLOOKUP(Transactions!G851,Merchants!A:B,2,FALSE),"Not Found")</f>
        <v>Nova Hub</v>
      </c>
      <c r="I851" s="9">
        <v>45108.17</v>
      </c>
      <c r="J851" s="3">
        <v>451.08</v>
      </c>
      <c r="K851" t="s">
        <v>90</v>
      </c>
      <c r="L851" t="s">
        <v>59</v>
      </c>
      <c r="M851" t="s">
        <v>74</v>
      </c>
      <c r="N851" t="s">
        <v>67</v>
      </c>
      <c r="O851" t="s">
        <v>91</v>
      </c>
      <c r="P851" t="str">
        <f t="shared" si="27"/>
        <v>High Value</v>
      </c>
      <c r="Q851" t="str">
        <f>VLOOKUP(G851,Merchants!A:C,3,TRUE)</f>
        <v>Fuel</v>
      </c>
    </row>
    <row r="852" spans="1:17" x14ac:dyDescent="0.3">
      <c r="A852" t="s">
        <v>1388</v>
      </c>
      <c r="B852" s="2">
        <v>46063.33116898148</v>
      </c>
      <c r="C852" s="2" t="str">
        <f t="shared" si="26"/>
        <v>Feb-2026</v>
      </c>
      <c r="D852" t="s">
        <v>474</v>
      </c>
      <c r="E852" t="str">
        <f>VLOOKUP(D852,Customers!A:H,7,0)</f>
        <v>Self-employed</v>
      </c>
      <c r="F852" t="s">
        <v>1389</v>
      </c>
      <c r="G852" t="s">
        <v>95</v>
      </c>
      <c r="H852" t="str">
        <f>IFERROR(VLOOKUP(Transactions!G852,Merchants!A:B,2,FALSE),"Not Found")</f>
        <v>Quick Pay</v>
      </c>
      <c r="I852" s="9">
        <v>12757.18</v>
      </c>
      <c r="J852" s="3">
        <v>63.79</v>
      </c>
      <c r="K852" t="s">
        <v>96</v>
      </c>
      <c r="L852" t="s">
        <v>59</v>
      </c>
      <c r="M852" t="s">
        <v>74</v>
      </c>
      <c r="N852" t="s">
        <v>61</v>
      </c>
      <c r="O852" t="s">
        <v>62</v>
      </c>
      <c r="P852" t="str">
        <f t="shared" si="27"/>
        <v>High Value</v>
      </c>
      <c r="Q852" t="str">
        <f>VLOOKUP(G852,Merchants!A:C,3,TRUE)</f>
        <v>Healthcare</v>
      </c>
    </row>
    <row r="853" spans="1:17" x14ac:dyDescent="0.3">
      <c r="A853" t="s">
        <v>1390</v>
      </c>
      <c r="B853" s="2">
        <v>46086.909074074072</v>
      </c>
      <c r="C853" s="2" t="str">
        <f t="shared" si="26"/>
        <v>Mar-2026</v>
      </c>
      <c r="D853" t="s">
        <v>141</v>
      </c>
      <c r="E853" t="str">
        <f>VLOOKUP(D853,Customers!A:H,7,0)</f>
        <v>Salaried</v>
      </c>
      <c r="F853" t="s">
        <v>850</v>
      </c>
      <c r="G853" t="s">
        <v>128</v>
      </c>
      <c r="H853" t="str">
        <f>IFERROR(VLOOKUP(Transactions!G853,Merchants!A:B,2,FALSE),"Not Found")</f>
        <v>Blue Foods</v>
      </c>
      <c r="I853" s="9">
        <v>16804.900000000001</v>
      </c>
      <c r="J853" s="3">
        <v>33.61</v>
      </c>
      <c r="K853" t="s">
        <v>72</v>
      </c>
      <c r="L853" t="s">
        <v>80</v>
      </c>
      <c r="M853" t="s">
        <v>74</v>
      </c>
      <c r="N853" t="s">
        <v>67</v>
      </c>
      <c r="O853" t="s">
        <v>75</v>
      </c>
      <c r="P853" t="str">
        <f t="shared" si="27"/>
        <v>High Value</v>
      </c>
      <c r="Q853" t="str">
        <f>VLOOKUP(G853,Merchants!A:C,3,TRUE)</f>
        <v>Food &amp; Dining</v>
      </c>
    </row>
    <row r="854" spans="1:17" x14ac:dyDescent="0.3">
      <c r="A854" t="s">
        <v>1391</v>
      </c>
      <c r="B854" s="2">
        <v>46164.703773148147</v>
      </c>
      <c r="C854" s="2" t="str">
        <f t="shared" si="26"/>
        <v>May-2026</v>
      </c>
      <c r="D854" t="s">
        <v>474</v>
      </c>
      <c r="E854" t="str">
        <f>VLOOKUP(D854,Customers!A:H,7,0)</f>
        <v>Self-employed</v>
      </c>
      <c r="F854" t="s">
        <v>586</v>
      </c>
      <c r="G854" t="s">
        <v>132</v>
      </c>
      <c r="H854" t="str">
        <f>IFERROR(VLOOKUP(Transactions!G854,Merchants!A:B,2,FALSE),"Not Found")</f>
        <v>Metro Retail</v>
      </c>
      <c r="I854" s="9">
        <v>17248.38</v>
      </c>
      <c r="J854" s="3">
        <v>51.75</v>
      </c>
      <c r="K854" t="s">
        <v>58</v>
      </c>
      <c r="L854" t="s">
        <v>157</v>
      </c>
      <c r="M854" t="s">
        <v>60</v>
      </c>
      <c r="N854" t="s">
        <v>61</v>
      </c>
      <c r="O854" t="s">
        <v>62</v>
      </c>
      <c r="P854" t="str">
        <f t="shared" si="27"/>
        <v>High Value</v>
      </c>
      <c r="Q854" t="str">
        <f>VLOOKUP(G854,Merchants!A:C,3,TRUE)</f>
        <v>Entertainment</v>
      </c>
    </row>
    <row r="855" spans="1:17" x14ac:dyDescent="0.3">
      <c r="A855" t="s">
        <v>1392</v>
      </c>
      <c r="B855" s="2">
        <v>45758.581550925926</v>
      </c>
      <c r="C855" s="2" t="str">
        <f t="shared" si="26"/>
        <v>Apr-2025</v>
      </c>
      <c r="D855" t="s">
        <v>547</v>
      </c>
      <c r="E855" t="str">
        <f>VLOOKUP(D855,Customers!A:H,7,0)</f>
        <v>Business Owner</v>
      </c>
      <c r="F855" t="s">
        <v>774</v>
      </c>
      <c r="G855" t="s">
        <v>237</v>
      </c>
      <c r="H855" t="str">
        <f>IFERROR(VLOOKUP(Transactions!G855,Merchants!A:B,2,FALSE),"Not Found")</f>
        <v>Metro Pay</v>
      </c>
      <c r="I855" s="9">
        <v>34851.449999999997</v>
      </c>
      <c r="J855" s="3">
        <v>348.51</v>
      </c>
      <c r="K855" t="s">
        <v>58</v>
      </c>
      <c r="L855" t="s">
        <v>59</v>
      </c>
      <c r="M855" t="s">
        <v>111</v>
      </c>
      <c r="N855" t="s">
        <v>67</v>
      </c>
      <c r="O855" t="s">
        <v>91</v>
      </c>
      <c r="P855" t="str">
        <f t="shared" si="27"/>
        <v>High Value</v>
      </c>
      <c r="Q855" t="str">
        <f>VLOOKUP(G855,Merchants!A:C,3,TRUE)</f>
        <v>Healthcare</v>
      </c>
    </row>
    <row r="856" spans="1:17" x14ac:dyDescent="0.3">
      <c r="A856" t="s">
        <v>1393</v>
      </c>
      <c r="B856" s="2">
        <v>46271.865590277783</v>
      </c>
      <c r="C856" s="2" t="str">
        <f t="shared" si="26"/>
        <v>Sep-2026</v>
      </c>
      <c r="D856" t="s">
        <v>574</v>
      </c>
      <c r="E856" t="str">
        <f>VLOOKUP(D856,Customers!A:H,7,0)</f>
        <v>Salaried</v>
      </c>
      <c r="F856" t="s">
        <v>301</v>
      </c>
      <c r="G856" t="s">
        <v>95</v>
      </c>
      <c r="H856" t="str">
        <f>IFERROR(VLOOKUP(Transactions!G856,Merchants!A:B,2,FALSE),"Not Found")</f>
        <v>Quick Pay</v>
      </c>
      <c r="I856" s="9">
        <v>43955.66</v>
      </c>
      <c r="J856" s="3">
        <v>219.78</v>
      </c>
      <c r="K856" t="s">
        <v>133</v>
      </c>
      <c r="L856" t="s">
        <v>157</v>
      </c>
      <c r="M856" t="s">
        <v>74</v>
      </c>
      <c r="N856" t="s">
        <v>67</v>
      </c>
      <c r="O856" t="s">
        <v>81</v>
      </c>
      <c r="P856" t="str">
        <f t="shared" si="27"/>
        <v>High Value</v>
      </c>
      <c r="Q856" t="str">
        <f>VLOOKUP(G856,Merchants!A:C,3,TRUE)</f>
        <v>Healthcare</v>
      </c>
    </row>
    <row r="857" spans="1:17" x14ac:dyDescent="0.3">
      <c r="A857" t="s">
        <v>1394</v>
      </c>
      <c r="B857" s="2">
        <v>45681.912256944437</v>
      </c>
      <c r="C857" s="2" t="str">
        <f t="shared" si="26"/>
        <v>Jan-2025</v>
      </c>
      <c r="D857" t="s">
        <v>761</v>
      </c>
      <c r="E857" t="str">
        <f>VLOOKUP(D857,Customers!A:H,7,0)</f>
        <v>Salaried</v>
      </c>
      <c r="F857" t="s">
        <v>285</v>
      </c>
      <c r="G857" t="s">
        <v>100</v>
      </c>
      <c r="H857" t="str">
        <f>IFERROR(VLOOKUP(Transactions!G857,Merchants!A:B,2,FALSE),"Not Found")</f>
        <v>Metro Stores</v>
      </c>
      <c r="I857" s="9">
        <v>53022.400000000001</v>
      </c>
      <c r="J857" s="3">
        <v>159.07</v>
      </c>
      <c r="K857" t="s">
        <v>90</v>
      </c>
      <c r="L857" t="s">
        <v>80</v>
      </c>
      <c r="M857" t="s">
        <v>111</v>
      </c>
      <c r="N857" t="s">
        <v>61</v>
      </c>
      <c r="O857" t="s">
        <v>62</v>
      </c>
      <c r="P857" t="str">
        <f t="shared" si="27"/>
        <v>High Value</v>
      </c>
      <c r="Q857" t="str">
        <f>VLOOKUP(G857,Merchants!A:C,3,TRUE)</f>
        <v>Healthcare</v>
      </c>
    </row>
    <row r="858" spans="1:17" x14ac:dyDescent="0.3">
      <c r="A858" t="s">
        <v>1395</v>
      </c>
      <c r="B858" s="2">
        <v>45988.201226851852</v>
      </c>
      <c r="C858" s="2" t="str">
        <f t="shared" si="26"/>
        <v>Nov-2025</v>
      </c>
      <c r="D858" t="s">
        <v>252</v>
      </c>
      <c r="E858" t="str">
        <f>VLOOKUP(D858,Customers!A:H,7,0)</f>
        <v>Business Owner</v>
      </c>
      <c r="F858" t="s">
        <v>188</v>
      </c>
      <c r="G858" t="s">
        <v>554</v>
      </c>
      <c r="H858" t="str">
        <f>IFERROR(VLOOKUP(Transactions!G858,Merchants!A:B,2,FALSE),"Not Found")</f>
        <v>Green Pay</v>
      </c>
      <c r="I858" s="9">
        <v>17649.62</v>
      </c>
      <c r="J858" s="3">
        <v>52.95</v>
      </c>
      <c r="K858" t="s">
        <v>90</v>
      </c>
      <c r="L858" t="s">
        <v>73</v>
      </c>
      <c r="M858" t="s">
        <v>74</v>
      </c>
      <c r="N858" t="s">
        <v>67</v>
      </c>
      <c r="O858" t="s">
        <v>62</v>
      </c>
      <c r="P858" t="str">
        <f t="shared" si="27"/>
        <v>High Value</v>
      </c>
      <c r="Q858" t="str">
        <f>VLOOKUP(G858,Merchants!A:C,3,TRUE)</f>
        <v>Utilities</v>
      </c>
    </row>
    <row r="859" spans="1:17" x14ac:dyDescent="0.3">
      <c r="A859" t="s">
        <v>1396</v>
      </c>
      <c r="B859" s="2">
        <v>46130.758842592593</v>
      </c>
      <c r="C859" s="2" t="str">
        <f t="shared" si="26"/>
        <v>Apr-2026</v>
      </c>
      <c r="D859" t="s">
        <v>919</v>
      </c>
      <c r="E859" t="str">
        <f>VLOOKUP(D859,Customers!A:H,7,0)</f>
        <v>Business Owner</v>
      </c>
      <c r="F859" t="s">
        <v>467</v>
      </c>
      <c r="G859" t="s">
        <v>554</v>
      </c>
      <c r="H859" t="str">
        <f>IFERROR(VLOOKUP(Transactions!G859,Merchants!A:B,2,FALSE),"Not Found")</f>
        <v>Green Pay</v>
      </c>
      <c r="I859" s="9">
        <v>38518.620000000003</v>
      </c>
      <c r="J859" s="3">
        <v>192.59</v>
      </c>
      <c r="K859" t="s">
        <v>58</v>
      </c>
      <c r="L859" t="s">
        <v>73</v>
      </c>
      <c r="M859" t="s">
        <v>86</v>
      </c>
      <c r="N859" t="s">
        <v>67</v>
      </c>
      <c r="O859" t="s">
        <v>75</v>
      </c>
      <c r="P859" t="str">
        <f t="shared" si="27"/>
        <v>High Value</v>
      </c>
      <c r="Q859" t="str">
        <f>VLOOKUP(G859,Merchants!A:C,3,TRUE)</f>
        <v>Utilities</v>
      </c>
    </row>
    <row r="860" spans="1:17" x14ac:dyDescent="0.3">
      <c r="A860" t="s">
        <v>1397</v>
      </c>
      <c r="B860" s="2">
        <v>46190.713321759264</v>
      </c>
      <c r="C860" s="2" t="str">
        <f t="shared" si="26"/>
        <v>Jun-2026</v>
      </c>
      <c r="D860" t="s">
        <v>781</v>
      </c>
      <c r="E860" t="str">
        <f>VLOOKUP(D860,Customers!A:H,7,0)</f>
        <v>Self-employed</v>
      </c>
      <c r="F860" t="s">
        <v>850</v>
      </c>
      <c r="G860" t="s">
        <v>347</v>
      </c>
      <c r="H860" t="str">
        <f>IFERROR(VLOOKUP(Transactions!G860,Merchants!A:B,2,FALSE),"Not Found")</f>
        <v>Nova Hub</v>
      </c>
      <c r="I860" s="9">
        <v>51743.92</v>
      </c>
      <c r="J860" s="3">
        <v>517.44000000000005</v>
      </c>
      <c r="K860" t="s">
        <v>58</v>
      </c>
      <c r="L860" t="s">
        <v>59</v>
      </c>
      <c r="M860" t="s">
        <v>86</v>
      </c>
      <c r="N860" t="s">
        <v>61</v>
      </c>
      <c r="O860" t="s">
        <v>75</v>
      </c>
      <c r="P860" t="str">
        <f t="shared" si="27"/>
        <v>High Value</v>
      </c>
      <c r="Q860" t="str">
        <f>VLOOKUP(G860,Merchants!A:C,3,TRUE)</f>
        <v>Fuel</v>
      </c>
    </row>
    <row r="861" spans="1:17" x14ac:dyDescent="0.3">
      <c r="A861" t="s">
        <v>1398</v>
      </c>
      <c r="B861" s="2">
        <v>45719.444432870368</v>
      </c>
      <c r="C861" s="2" t="str">
        <f t="shared" si="26"/>
        <v>Mar-2025</v>
      </c>
      <c r="D861" t="s">
        <v>126</v>
      </c>
      <c r="E861" t="str">
        <f>VLOOKUP(D861,Customers!A:H,7,0)</f>
        <v>Student</v>
      </c>
      <c r="F861" t="s">
        <v>586</v>
      </c>
      <c r="G861" t="s">
        <v>150</v>
      </c>
      <c r="H861" t="str">
        <f>IFERROR(VLOOKUP(Transactions!G861,Merchants!A:B,2,FALSE),"Not Found")</f>
        <v>Nova Services</v>
      </c>
      <c r="I861" s="9">
        <v>48718.58</v>
      </c>
      <c r="J861" s="3">
        <v>97.44</v>
      </c>
      <c r="K861" t="s">
        <v>96</v>
      </c>
      <c r="L861" t="s">
        <v>73</v>
      </c>
      <c r="M861" t="s">
        <v>74</v>
      </c>
      <c r="N861" t="s">
        <v>67</v>
      </c>
      <c r="O861" t="s">
        <v>91</v>
      </c>
      <c r="P861" t="str">
        <f t="shared" si="27"/>
        <v>High Value</v>
      </c>
      <c r="Q861" t="str">
        <f>VLOOKUP(G861,Merchants!A:C,3,TRUE)</f>
        <v>Electronics</v>
      </c>
    </row>
    <row r="862" spans="1:17" x14ac:dyDescent="0.3">
      <c r="A862" t="s">
        <v>1399</v>
      </c>
      <c r="B862" s="2">
        <v>45807.398217592592</v>
      </c>
      <c r="C862" s="2" t="str">
        <f t="shared" si="26"/>
        <v>May-2025</v>
      </c>
      <c r="D862" t="s">
        <v>448</v>
      </c>
      <c r="E862" t="str">
        <f>VLOOKUP(D862,Customers!A:H,7,0)</f>
        <v>Business Owner</v>
      </c>
      <c r="F862" t="s">
        <v>487</v>
      </c>
      <c r="G862" t="s">
        <v>66</v>
      </c>
      <c r="H862" t="str">
        <f>IFERROR(VLOOKUP(Transactions!G862,Merchants!A:B,2,FALSE),"Not Found")</f>
        <v>Prime Digital</v>
      </c>
      <c r="I862" s="9">
        <v>45500.63</v>
      </c>
      <c r="J862" s="3">
        <v>91</v>
      </c>
      <c r="K862" t="s">
        <v>72</v>
      </c>
      <c r="L862" t="s">
        <v>59</v>
      </c>
      <c r="M862" t="s">
        <v>111</v>
      </c>
      <c r="N862" t="s">
        <v>67</v>
      </c>
      <c r="O862" t="s">
        <v>75</v>
      </c>
      <c r="P862" t="str">
        <f t="shared" si="27"/>
        <v>High Value</v>
      </c>
      <c r="Q862" t="str">
        <f>VLOOKUP(G862,Merchants!A:C,3,TRUE)</f>
        <v>Fuel</v>
      </c>
    </row>
    <row r="863" spans="1:17" x14ac:dyDescent="0.3">
      <c r="A863" t="s">
        <v>1400</v>
      </c>
      <c r="B863" s="2">
        <v>45873.401261574072</v>
      </c>
      <c r="C863" s="2" t="str">
        <f t="shared" si="26"/>
        <v>Aug-2025</v>
      </c>
      <c r="D863" t="s">
        <v>83</v>
      </c>
      <c r="E863" t="str">
        <f>VLOOKUP(D863,Customers!A:H,7,0)</f>
        <v>Business Owner</v>
      </c>
      <c r="F863" t="s">
        <v>813</v>
      </c>
      <c r="G863" t="s">
        <v>318</v>
      </c>
      <c r="H863" t="str">
        <f>IFERROR(VLOOKUP(Transactions!G863,Merchants!A:B,2,FALSE),"Not Found")</f>
        <v>Urban Digital</v>
      </c>
      <c r="I863" s="9">
        <v>5917.83</v>
      </c>
      <c r="J863" s="3">
        <v>11.84</v>
      </c>
      <c r="K863" t="s">
        <v>90</v>
      </c>
      <c r="L863" t="s">
        <v>80</v>
      </c>
      <c r="M863" t="s">
        <v>60</v>
      </c>
      <c r="N863" t="s">
        <v>61</v>
      </c>
      <c r="O863" t="s">
        <v>81</v>
      </c>
      <c r="P863" t="str">
        <f t="shared" si="27"/>
        <v>High Value</v>
      </c>
      <c r="Q863" t="str">
        <f>VLOOKUP(G863,Merchants!A:C,3,TRUE)</f>
        <v>Utilities</v>
      </c>
    </row>
    <row r="864" spans="1:17" x14ac:dyDescent="0.3">
      <c r="A864" t="s">
        <v>1401</v>
      </c>
      <c r="B864" s="2">
        <v>46113.501620370371</v>
      </c>
      <c r="C864" s="2" t="str">
        <f t="shared" si="26"/>
        <v>Apr-2026</v>
      </c>
      <c r="D864" t="s">
        <v>804</v>
      </c>
      <c r="E864" t="str">
        <f>VLOOKUP(D864,Customers!A:H,7,0)</f>
        <v>Business Owner</v>
      </c>
      <c r="F864" t="s">
        <v>698</v>
      </c>
      <c r="G864" t="s">
        <v>146</v>
      </c>
      <c r="H864" t="str">
        <f>IFERROR(VLOOKUP(Transactions!G864,Merchants!A:B,2,FALSE),"Not Found")</f>
        <v>Prime Mart</v>
      </c>
      <c r="I864" s="9">
        <v>47263.7</v>
      </c>
      <c r="J864" s="3">
        <v>236.32</v>
      </c>
      <c r="K864" t="s">
        <v>90</v>
      </c>
      <c r="L864" t="s">
        <v>80</v>
      </c>
      <c r="M864" t="s">
        <v>60</v>
      </c>
      <c r="N864" t="s">
        <v>67</v>
      </c>
      <c r="O864" t="s">
        <v>62</v>
      </c>
      <c r="P864" t="str">
        <f t="shared" si="27"/>
        <v>High Value</v>
      </c>
      <c r="Q864" t="str">
        <f>VLOOKUP(G864,Merchants!A:C,3,TRUE)</f>
        <v>Food &amp; Dining</v>
      </c>
    </row>
    <row r="865" spans="1:17" x14ac:dyDescent="0.3">
      <c r="A865" t="s">
        <v>1402</v>
      </c>
      <c r="B865" s="2">
        <v>46037.854907407411</v>
      </c>
      <c r="C865" s="2" t="str">
        <f t="shared" si="26"/>
        <v>Jan-2026</v>
      </c>
      <c r="D865" t="s">
        <v>582</v>
      </c>
      <c r="E865" t="str">
        <f>VLOOKUP(D865,Customers!A:H,7,0)</f>
        <v>Business Owner</v>
      </c>
      <c r="F865" t="s">
        <v>84</v>
      </c>
      <c r="G865" t="s">
        <v>263</v>
      </c>
      <c r="H865" t="str">
        <f>IFERROR(VLOOKUP(Transactions!G865,Merchants!A:B,2,FALSE),"Not Found")</f>
        <v>Urban Retail</v>
      </c>
      <c r="I865" s="9">
        <v>21827.18</v>
      </c>
      <c r="J865" s="3">
        <v>65.48</v>
      </c>
      <c r="K865" t="s">
        <v>96</v>
      </c>
      <c r="L865" t="s">
        <v>59</v>
      </c>
      <c r="M865" t="s">
        <v>74</v>
      </c>
      <c r="N865" t="s">
        <v>61</v>
      </c>
      <c r="O865" t="s">
        <v>62</v>
      </c>
      <c r="P865" t="str">
        <f t="shared" si="27"/>
        <v>High Value</v>
      </c>
      <c r="Q865" t="str">
        <f>VLOOKUP(G865,Merchants!A:C,3,TRUE)</f>
        <v>Grocery</v>
      </c>
    </row>
    <row r="866" spans="1:17" x14ac:dyDescent="0.3">
      <c r="A866" t="s">
        <v>1403</v>
      </c>
      <c r="B866" s="2">
        <v>45789.222280092603</v>
      </c>
      <c r="C866" s="2" t="str">
        <f t="shared" si="26"/>
        <v>May-2025</v>
      </c>
      <c r="D866" t="s">
        <v>242</v>
      </c>
      <c r="E866" t="str">
        <f>VLOOKUP(D866,Customers!A:H,7,0)</f>
        <v>Salaried</v>
      </c>
      <c r="F866" t="s">
        <v>344</v>
      </c>
      <c r="G866" t="s">
        <v>783</v>
      </c>
      <c r="H866" t="str">
        <f>IFERROR(VLOOKUP(Transactions!G866,Merchants!A:B,2,FALSE),"Not Found")</f>
        <v>Daily Stores</v>
      </c>
      <c r="I866" s="9">
        <v>36486.22</v>
      </c>
      <c r="J866" s="3">
        <v>182.43</v>
      </c>
      <c r="K866" t="s">
        <v>90</v>
      </c>
      <c r="L866" t="s">
        <v>73</v>
      </c>
      <c r="M866" t="s">
        <v>60</v>
      </c>
      <c r="N866" t="s">
        <v>67</v>
      </c>
      <c r="O866" t="s">
        <v>91</v>
      </c>
      <c r="P866" t="str">
        <f t="shared" si="27"/>
        <v>High Value</v>
      </c>
      <c r="Q866" t="str">
        <f>VLOOKUP(G866,Merchants!A:C,3,TRUE)</f>
        <v>Entertainment</v>
      </c>
    </row>
    <row r="867" spans="1:17" x14ac:dyDescent="0.3">
      <c r="A867" t="s">
        <v>1404</v>
      </c>
      <c r="B867" s="2">
        <v>45923.552442129629</v>
      </c>
      <c r="C867" s="2" t="str">
        <f t="shared" si="26"/>
        <v>Sep-2025</v>
      </c>
      <c r="D867" t="s">
        <v>515</v>
      </c>
      <c r="E867" t="str">
        <f>VLOOKUP(D867,Customers!A:H,7,0)</f>
        <v>Business Owner</v>
      </c>
      <c r="F867" t="s">
        <v>207</v>
      </c>
      <c r="G867" t="s">
        <v>95</v>
      </c>
      <c r="H867" t="str">
        <f>IFERROR(VLOOKUP(Transactions!G867,Merchants!A:B,2,FALSE),"Not Found")</f>
        <v>Quick Pay</v>
      </c>
      <c r="I867" s="9">
        <v>43296.25</v>
      </c>
      <c r="J867" s="3">
        <v>432.96</v>
      </c>
      <c r="K867" t="s">
        <v>72</v>
      </c>
      <c r="L867" t="s">
        <v>80</v>
      </c>
      <c r="M867" t="s">
        <v>111</v>
      </c>
      <c r="N867" t="s">
        <v>61</v>
      </c>
      <c r="O867" t="s">
        <v>81</v>
      </c>
      <c r="P867" t="str">
        <f t="shared" si="27"/>
        <v>High Value</v>
      </c>
      <c r="Q867" t="str">
        <f>VLOOKUP(G867,Merchants!A:C,3,TRUE)</f>
        <v>Healthcare</v>
      </c>
    </row>
    <row r="868" spans="1:17" x14ac:dyDescent="0.3">
      <c r="A868" t="s">
        <v>1405</v>
      </c>
      <c r="B868" s="2">
        <v>46045.736134259263</v>
      </c>
      <c r="C868" s="2" t="str">
        <f t="shared" si="26"/>
        <v>Jan-2026</v>
      </c>
      <c r="D868" t="s">
        <v>289</v>
      </c>
      <c r="E868" t="str">
        <f>VLOOKUP(D868,Customers!A:H,7,0)</f>
        <v>Business Owner</v>
      </c>
      <c r="F868" t="s">
        <v>505</v>
      </c>
      <c r="G868" t="s">
        <v>366</v>
      </c>
      <c r="H868" t="str">
        <f>IFERROR(VLOOKUP(Transactions!G868,Merchants!A:B,2,FALSE),"Not Found")</f>
        <v>Smart Pay</v>
      </c>
      <c r="I868" s="9">
        <v>38937.75</v>
      </c>
      <c r="J868" s="3">
        <v>389.38</v>
      </c>
      <c r="K868" t="s">
        <v>58</v>
      </c>
      <c r="L868" t="s">
        <v>73</v>
      </c>
      <c r="M868" t="s">
        <v>86</v>
      </c>
      <c r="N868" t="s">
        <v>61</v>
      </c>
      <c r="O868" t="s">
        <v>62</v>
      </c>
      <c r="P868" t="str">
        <f t="shared" si="27"/>
        <v>High Value</v>
      </c>
      <c r="Q868" t="str">
        <f>VLOOKUP(G868,Merchants!A:C,3,TRUE)</f>
        <v>Fashion</v>
      </c>
    </row>
    <row r="869" spans="1:17" x14ac:dyDescent="0.3">
      <c r="A869" t="s">
        <v>1406</v>
      </c>
      <c r="B869" s="2">
        <v>45974.313159722216</v>
      </c>
      <c r="C869" s="2" t="str">
        <f t="shared" si="26"/>
        <v>Nov-2025</v>
      </c>
      <c r="D869" t="s">
        <v>398</v>
      </c>
      <c r="E869" t="str">
        <f>VLOOKUP(D869,Customers!A:H,7,0)</f>
        <v>Salaried</v>
      </c>
      <c r="F869" t="s">
        <v>197</v>
      </c>
      <c r="G869" t="s">
        <v>421</v>
      </c>
      <c r="H869" t="str">
        <f>IFERROR(VLOOKUP(Transactions!G869,Merchants!A:B,2,FALSE),"Not Found")</f>
        <v>Smart Pay</v>
      </c>
      <c r="I869" s="9">
        <v>13536.17</v>
      </c>
      <c r="J869" s="3">
        <v>27.07</v>
      </c>
      <c r="K869" t="s">
        <v>96</v>
      </c>
      <c r="L869" t="s">
        <v>59</v>
      </c>
      <c r="M869" t="s">
        <v>74</v>
      </c>
      <c r="N869" t="s">
        <v>67</v>
      </c>
      <c r="O869" t="s">
        <v>62</v>
      </c>
      <c r="P869" t="str">
        <f t="shared" si="27"/>
        <v>High Value</v>
      </c>
      <c r="Q869" t="str">
        <f>VLOOKUP(G869,Merchants!A:C,3,TRUE)</f>
        <v>Entertainment</v>
      </c>
    </row>
    <row r="870" spans="1:17" x14ac:dyDescent="0.3">
      <c r="A870" t="s">
        <v>1407</v>
      </c>
      <c r="B870" s="2">
        <v>45865.551527777781</v>
      </c>
      <c r="C870" s="2" t="str">
        <f t="shared" si="26"/>
        <v>Jul-2025</v>
      </c>
      <c r="D870" t="s">
        <v>327</v>
      </c>
      <c r="E870" t="str">
        <f>VLOOKUP(D870,Customers!A:H,7,0)</f>
        <v>Salaried</v>
      </c>
      <c r="F870" t="s">
        <v>131</v>
      </c>
      <c r="G870" t="s">
        <v>430</v>
      </c>
      <c r="H870" t="str">
        <f>IFERROR(VLOOKUP(Transactions!G870,Merchants!A:B,2,FALSE),"Not Found")</f>
        <v>Prime Foods</v>
      </c>
      <c r="I870" s="9">
        <v>39888.22</v>
      </c>
      <c r="J870" s="3">
        <v>79.78</v>
      </c>
      <c r="K870" t="s">
        <v>72</v>
      </c>
      <c r="L870" t="s">
        <v>59</v>
      </c>
      <c r="M870" t="s">
        <v>86</v>
      </c>
      <c r="N870" t="s">
        <v>67</v>
      </c>
      <c r="O870" t="s">
        <v>75</v>
      </c>
      <c r="P870" t="str">
        <f t="shared" si="27"/>
        <v>High Value</v>
      </c>
      <c r="Q870" t="str">
        <f>VLOOKUP(G870,Merchants!A:C,3,TRUE)</f>
        <v>Entertainment</v>
      </c>
    </row>
    <row r="871" spans="1:17" x14ac:dyDescent="0.3">
      <c r="A871" t="s">
        <v>1408</v>
      </c>
      <c r="B871" s="2">
        <v>46238.793321759258</v>
      </c>
      <c r="C871" s="2" t="str">
        <f t="shared" si="26"/>
        <v>Aug-2026</v>
      </c>
      <c r="D871" t="s">
        <v>119</v>
      </c>
      <c r="E871" t="str">
        <f>VLOOKUP(D871,Customers!A:H,7,0)</f>
        <v>Salaried</v>
      </c>
      <c r="F871" t="s">
        <v>221</v>
      </c>
      <c r="G871" t="s">
        <v>156</v>
      </c>
      <c r="H871" t="str">
        <f>IFERROR(VLOOKUP(Transactions!G871,Merchants!A:B,2,FALSE),"Not Found")</f>
        <v>Blue Digital</v>
      </c>
      <c r="I871" s="9">
        <v>14953.52</v>
      </c>
      <c r="J871" s="3">
        <v>44.86</v>
      </c>
      <c r="K871" t="s">
        <v>90</v>
      </c>
      <c r="L871" t="s">
        <v>59</v>
      </c>
      <c r="M871" t="s">
        <v>111</v>
      </c>
      <c r="N871" t="s">
        <v>61</v>
      </c>
      <c r="O871" t="s">
        <v>62</v>
      </c>
      <c r="P871" t="str">
        <f t="shared" si="27"/>
        <v>High Value</v>
      </c>
      <c r="Q871" t="str">
        <f>VLOOKUP(G871,Merchants!A:C,3,TRUE)</f>
        <v>Electronics</v>
      </c>
    </row>
    <row r="872" spans="1:17" x14ac:dyDescent="0.3">
      <c r="A872" t="s">
        <v>1409</v>
      </c>
      <c r="B872" s="2">
        <v>45699.924074074072</v>
      </c>
      <c r="C872" s="2" t="str">
        <f t="shared" si="26"/>
        <v>Feb-2025</v>
      </c>
      <c r="D872" t="s">
        <v>741</v>
      </c>
      <c r="E872" t="str">
        <f>VLOOKUP(D872,Customers!A:H,7,0)</f>
        <v>Salaried</v>
      </c>
      <c r="F872" t="s">
        <v>200</v>
      </c>
      <c r="G872" t="s">
        <v>146</v>
      </c>
      <c r="H872" t="str">
        <f>IFERROR(VLOOKUP(Transactions!G872,Merchants!A:B,2,FALSE),"Not Found")</f>
        <v>Prime Mart</v>
      </c>
      <c r="I872" s="9">
        <v>16019.22</v>
      </c>
      <c r="J872" s="3">
        <v>48.06</v>
      </c>
      <c r="K872" t="s">
        <v>133</v>
      </c>
      <c r="L872" t="s">
        <v>59</v>
      </c>
      <c r="M872" t="s">
        <v>60</v>
      </c>
      <c r="N872" t="s">
        <v>67</v>
      </c>
      <c r="O872" t="s">
        <v>62</v>
      </c>
      <c r="P872" t="str">
        <f t="shared" si="27"/>
        <v>High Value</v>
      </c>
      <c r="Q872" t="str">
        <f>VLOOKUP(G872,Merchants!A:C,3,TRUE)</f>
        <v>Food &amp; Dining</v>
      </c>
    </row>
    <row r="873" spans="1:17" x14ac:dyDescent="0.3">
      <c r="A873" t="s">
        <v>1410</v>
      </c>
      <c r="B873" s="2">
        <v>45891.370057870372</v>
      </c>
      <c r="C873" s="2" t="str">
        <f t="shared" si="26"/>
        <v>Aug-2025</v>
      </c>
      <c r="D873" t="s">
        <v>824</v>
      </c>
      <c r="E873" t="str">
        <f>VLOOKUP(D873,Customers!A:H,7,0)</f>
        <v>Self-employed</v>
      </c>
      <c r="F873" t="s">
        <v>1411</v>
      </c>
      <c r="G873" t="s">
        <v>607</v>
      </c>
      <c r="H873" t="str">
        <f>IFERROR(VLOOKUP(Transactions!G873,Merchants!A:B,2,FALSE),"Not Found")</f>
        <v>Daily Digital</v>
      </c>
      <c r="I873" s="9">
        <v>35182.080000000002</v>
      </c>
      <c r="J873" s="3">
        <v>351.82</v>
      </c>
      <c r="K873" t="s">
        <v>72</v>
      </c>
      <c r="L873" t="s">
        <v>59</v>
      </c>
      <c r="M873" t="s">
        <v>86</v>
      </c>
      <c r="N873" t="s">
        <v>67</v>
      </c>
      <c r="O873" t="s">
        <v>75</v>
      </c>
      <c r="P873" t="str">
        <f t="shared" si="27"/>
        <v>High Value</v>
      </c>
      <c r="Q873" t="str">
        <f>VLOOKUP(G873,Merchants!A:C,3,TRUE)</f>
        <v>Healthcare</v>
      </c>
    </row>
    <row r="874" spans="1:17" x14ac:dyDescent="0.3">
      <c r="A874" t="s">
        <v>1412</v>
      </c>
      <c r="B874" s="2">
        <v>45777.670370370368</v>
      </c>
      <c r="C874" s="2" t="str">
        <f t="shared" si="26"/>
        <v>Apr-2025</v>
      </c>
      <c r="D874" t="s">
        <v>817</v>
      </c>
      <c r="E874" t="str">
        <f>VLOOKUP(D874,Customers!A:H,7,0)</f>
        <v>Salaried</v>
      </c>
      <c r="F874" t="s">
        <v>595</v>
      </c>
      <c r="G874" t="s">
        <v>263</v>
      </c>
      <c r="H874" t="str">
        <f>IFERROR(VLOOKUP(Transactions!G874,Merchants!A:B,2,FALSE),"Not Found")</f>
        <v>Urban Retail</v>
      </c>
      <c r="I874" s="9">
        <v>5094.83</v>
      </c>
      <c r="J874" s="3">
        <v>15.28</v>
      </c>
      <c r="K874" t="s">
        <v>133</v>
      </c>
      <c r="L874" t="s">
        <v>59</v>
      </c>
      <c r="M874" t="s">
        <v>86</v>
      </c>
      <c r="N874" t="s">
        <v>61</v>
      </c>
      <c r="O874" t="s">
        <v>91</v>
      </c>
      <c r="P874" t="str">
        <f t="shared" si="27"/>
        <v>High Value</v>
      </c>
      <c r="Q874" t="str">
        <f>VLOOKUP(G874,Merchants!A:C,3,TRUE)</f>
        <v>Grocery</v>
      </c>
    </row>
    <row r="875" spans="1:17" x14ac:dyDescent="0.3">
      <c r="A875" t="s">
        <v>1413</v>
      </c>
      <c r="B875" s="2">
        <v>46111.97488425926</v>
      </c>
      <c r="C875" s="2" t="str">
        <f t="shared" si="26"/>
        <v>Mar-2026</v>
      </c>
      <c r="D875" t="s">
        <v>265</v>
      </c>
      <c r="E875" t="str">
        <f>VLOOKUP(D875,Customers!A:H,7,0)</f>
        <v>Salaried</v>
      </c>
      <c r="F875" t="s">
        <v>462</v>
      </c>
      <c r="G875" t="s">
        <v>66</v>
      </c>
      <c r="H875" t="str">
        <f>IFERROR(VLOOKUP(Transactions!G875,Merchants!A:B,2,FALSE),"Not Found")</f>
        <v>Prime Digital</v>
      </c>
      <c r="I875" s="9">
        <v>11768.45</v>
      </c>
      <c r="J875" s="3">
        <v>117.68</v>
      </c>
      <c r="K875" t="s">
        <v>133</v>
      </c>
      <c r="L875" t="s">
        <v>73</v>
      </c>
      <c r="M875" t="s">
        <v>60</v>
      </c>
      <c r="N875" t="s">
        <v>61</v>
      </c>
      <c r="O875" t="s">
        <v>62</v>
      </c>
      <c r="P875" t="str">
        <f t="shared" si="27"/>
        <v>High Value</v>
      </c>
      <c r="Q875" t="str">
        <f>VLOOKUP(G875,Merchants!A:C,3,TRUE)</f>
        <v>Fuel</v>
      </c>
    </row>
    <row r="876" spans="1:17" x14ac:dyDescent="0.3">
      <c r="A876" t="s">
        <v>1414</v>
      </c>
      <c r="B876" s="2">
        <v>45994.769571759258</v>
      </c>
      <c r="C876" s="2" t="str">
        <f t="shared" si="26"/>
        <v>Dec-2025</v>
      </c>
      <c r="D876" t="s">
        <v>352</v>
      </c>
      <c r="E876" t="str">
        <f>VLOOKUP(D876,Customers!A:H,7,0)</f>
        <v>Self-employed</v>
      </c>
      <c r="F876" t="s">
        <v>1150</v>
      </c>
      <c r="G876" t="s">
        <v>347</v>
      </c>
      <c r="H876" t="str">
        <f>IFERROR(VLOOKUP(Transactions!G876,Merchants!A:B,2,FALSE),"Not Found")</f>
        <v>Nova Hub</v>
      </c>
      <c r="I876" s="9">
        <v>29048.45</v>
      </c>
      <c r="J876" s="3">
        <v>145.24</v>
      </c>
      <c r="K876" t="s">
        <v>90</v>
      </c>
      <c r="L876" t="s">
        <v>59</v>
      </c>
      <c r="M876" t="s">
        <v>60</v>
      </c>
      <c r="N876" t="s">
        <v>61</v>
      </c>
      <c r="O876" t="s">
        <v>81</v>
      </c>
      <c r="P876" t="str">
        <f t="shared" si="27"/>
        <v>High Value</v>
      </c>
      <c r="Q876" t="str">
        <f>VLOOKUP(G876,Merchants!A:C,3,TRUE)</f>
        <v>Fuel</v>
      </c>
    </row>
    <row r="877" spans="1:17" x14ac:dyDescent="0.3">
      <c r="A877" t="s">
        <v>1415</v>
      </c>
      <c r="B877" s="2">
        <v>46298.667557870373</v>
      </c>
      <c r="C877" s="2" t="str">
        <f t="shared" si="26"/>
        <v>Oct-2026</v>
      </c>
      <c r="D877" t="s">
        <v>527</v>
      </c>
      <c r="E877" t="str">
        <f>VLOOKUP(D877,Customers!A:H,7,0)</f>
        <v>Student</v>
      </c>
      <c r="F877" t="s">
        <v>449</v>
      </c>
      <c r="G877" t="s">
        <v>182</v>
      </c>
      <c r="H877" t="str">
        <f>IFERROR(VLOOKUP(Transactions!G877,Merchants!A:B,2,FALSE),"Not Found")</f>
        <v>Fresh Hub</v>
      </c>
      <c r="I877" s="9">
        <v>6777.06</v>
      </c>
      <c r="J877" s="3">
        <v>20.329999999999998</v>
      </c>
      <c r="K877" t="s">
        <v>133</v>
      </c>
      <c r="L877" t="s">
        <v>80</v>
      </c>
      <c r="M877" t="s">
        <v>74</v>
      </c>
      <c r="N877" t="s">
        <v>61</v>
      </c>
      <c r="O877" t="s">
        <v>62</v>
      </c>
      <c r="P877" t="str">
        <f t="shared" si="27"/>
        <v>High Value</v>
      </c>
      <c r="Q877" t="str">
        <f>VLOOKUP(G877,Merchants!A:C,3,TRUE)</f>
        <v>Healthcare</v>
      </c>
    </row>
    <row r="878" spans="1:17" x14ac:dyDescent="0.3">
      <c r="A878" t="s">
        <v>1416</v>
      </c>
      <c r="B878" s="2">
        <v>45841.099456018521</v>
      </c>
      <c r="C878" s="2" t="str">
        <f t="shared" si="26"/>
        <v>Jul-2025</v>
      </c>
      <c r="D878" t="s">
        <v>749</v>
      </c>
      <c r="E878" t="str">
        <f>VLOOKUP(D878,Customers!A:H,7,0)</f>
        <v>Self-employed</v>
      </c>
      <c r="F878" t="s">
        <v>256</v>
      </c>
      <c r="G878" t="s">
        <v>237</v>
      </c>
      <c r="H878" t="str">
        <f>IFERROR(VLOOKUP(Transactions!G878,Merchants!A:B,2,FALSE),"Not Found")</f>
        <v>Metro Pay</v>
      </c>
      <c r="I878" s="9">
        <v>45650.22</v>
      </c>
      <c r="J878" s="3">
        <v>91.3</v>
      </c>
      <c r="K878" t="s">
        <v>133</v>
      </c>
      <c r="L878" t="s">
        <v>80</v>
      </c>
      <c r="M878" t="s">
        <v>111</v>
      </c>
      <c r="N878" t="s">
        <v>67</v>
      </c>
      <c r="O878" t="s">
        <v>91</v>
      </c>
      <c r="P878" t="str">
        <f t="shared" si="27"/>
        <v>High Value</v>
      </c>
      <c r="Q878" t="str">
        <f>VLOOKUP(G878,Merchants!A:C,3,TRUE)</f>
        <v>Healthcare</v>
      </c>
    </row>
    <row r="879" spans="1:17" x14ac:dyDescent="0.3">
      <c r="A879" t="s">
        <v>1417</v>
      </c>
      <c r="B879" s="2">
        <v>45895.323449074072</v>
      </c>
      <c r="C879" s="2" t="str">
        <f t="shared" si="26"/>
        <v>Aug-2025</v>
      </c>
      <c r="D879" t="s">
        <v>109</v>
      </c>
      <c r="E879" t="str">
        <f>VLOOKUP(D879,Customers!A:H,7,0)</f>
        <v>Salaried</v>
      </c>
      <c r="F879" t="s">
        <v>276</v>
      </c>
      <c r="G879" t="s">
        <v>263</v>
      </c>
      <c r="H879" t="str">
        <f>IFERROR(VLOOKUP(Transactions!G879,Merchants!A:B,2,FALSE),"Not Found")</f>
        <v>Urban Retail</v>
      </c>
      <c r="I879" s="9">
        <v>18501.3</v>
      </c>
      <c r="J879" s="3">
        <v>185.01</v>
      </c>
      <c r="K879" t="s">
        <v>133</v>
      </c>
      <c r="L879" t="s">
        <v>59</v>
      </c>
      <c r="M879" t="s">
        <v>111</v>
      </c>
      <c r="N879" t="s">
        <v>67</v>
      </c>
      <c r="O879" t="s">
        <v>81</v>
      </c>
      <c r="P879" t="str">
        <f t="shared" si="27"/>
        <v>High Value</v>
      </c>
      <c r="Q879" t="str">
        <f>VLOOKUP(G879,Merchants!A:C,3,TRUE)</f>
        <v>Grocery</v>
      </c>
    </row>
    <row r="880" spans="1:17" x14ac:dyDescent="0.3">
      <c r="A880" t="s">
        <v>1418</v>
      </c>
      <c r="B880" s="2">
        <v>45818.291122685187</v>
      </c>
      <c r="C880" s="2" t="str">
        <f t="shared" si="26"/>
        <v>Jun-2025</v>
      </c>
      <c r="D880" t="s">
        <v>574</v>
      </c>
      <c r="E880" t="str">
        <f>VLOOKUP(D880,Customers!A:H,7,0)</f>
        <v>Salaried</v>
      </c>
      <c r="F880" t="s">
        <v>649</v>
      </c>
      <c r="G880" t="s">
        <v>95</v>
      </c>
      <c r="H880" t="str">
        <f>IFERROR(VLOOKUP(Transactions!G880,Merchants!A:B,2,FALSE),"Not Found")</f>
        <v>Quick Pay</v>
      </c>
      <c r="I880" s="9">
        <v>46007.199999999997</v>
      </c>
      <c r="J880" s="3">
        <v>138.02000000000001</v>
      </c>
      <c r="K880" t="s">
        <v>72</v>
      </c>
      <c r="L880" t="s">
        <v>73</v>
      </c>
      <c r="M880" t="s">
        <v>74</v>
      </c>
      <c r="N880" t="s">
        <v>61</v>
      </c>
      <c r="O880" t="s">
        <v>81</v>
      </c>
      <c r="P880" t="str">
        <f t="shared" si="27"/>
        <v>High Value</v>
      </c>
      <c r="Q880" t="str">
        <f>VLOOKUP(G880,Merchants!A:C,3,TRUE)</f>
        <v>Healthcare</v>
      </c>
    </row>
    <row r="881" spans="1:17" x14ac:dyDescent="0.3">
      <c r="A881" t="s">
        <v>1419</v>
      </c>
      <c r="B881" s="2">
        <v>45892.39875</v>
      </c>
      <c r="C881" s="2" t="str">
        <f t="shared" si="26"/>
        <v>Aug-2025</v>
      </c>
      <c r="D881" t="s">
        <v>1170</v>
      </c>
      <c r="E881" t="str">
        <f>VLOOKUP(D881,Customers!A:H,7,0)</f>
        <v>Business Owner</v>
      </c>
      <c r="F881" t="s">
        <v>1081</v>
      </c>
      <c r="G881" t="s">
        <v>263</v>
      </c>
      <c r="H881" t="str">
        <f>IFERROR(VLOOKUP(Transactions!G881,Merchants!A:B,2,FALSE),"Not Found")</f>
        <v>Urban Retail</v>
      </c>
      <c r="I881" s="9">
        <v>28371.7</v>
      </c>
      <c r="J881" s="3">
        <v>141.86000000000001</v>
      </c>
      <c r="K881" t="s">
        <v>72</v>
      </c>
      <c r="L881" t="s">
        <v>73</v>
      </c>
      <c r="M881" t="s">
        <v>60</v>
      </c>
      <c r="N881" t="s">
        <v>61</v>
      </c>
      <c r="O881" t="s">
        <v>75</v>
      </c>
      <c r="P881" t="str">
        <f t="shared" si="27"/>
        <v>High Value</v>
      </c>
      <c r="Q881" t="str">
        <f>VLOOKUP(G881,Merchants!A:C,3,TRUE)</f>
        <v>Grocery</v>
      </c>
    </row>
    <row r="882" spans="1:17" x14ac:dyDescent="0.3">
      <c r="A882" t="s">
        <v>1420</v>
      </c>
      <c r="B882" s="2">
        <v>45973.645185185182</v>
      </c>
      <c r="C882" s="2" t="str">
        <f t="shared" si="26"/>
        <v>Nov-2025</v>
      </c>
      <c r="D882" t="s">
        <v>732</v>
      </c>
      <c r="E882" t="str">
        <f>VLOOKUP(D882,Customers!A:H,7,0)</f>
        <v>Self-employed</v>
      </c>
      <c r="F882" t="s">
        <v>334</v>
      </c>
      <c r="G882" t="s">
        <v>66</v>
      </c>
      <c r="H882" t="str">
        <f>IFERROR(VLOOKUP(Transactions!G882,Merchants!A:B,2,FALSE),"Not Found")</f>
        <v>Prime Digital</v>
      </c>
      <c r="I882" s="9">
        <v>33840.86</v>
      </c>
      <c r="J882" s="3">
        <v>67.680000000000007</v>
      </c>
      <c r="K882" t="s">
        <v>72</v>
      </c>
      <c r="L882" t="s">
        <v>80</v>
      </c>
      <c r="M882" t="s">
        <v>111</v>
      </c>
      <c r="N882" t="s">
        <v>61</v>
      </c>
      <c r="O882" t="s">
        <v>81</v>
      </c>
      <c r="P882" t="str">
        <f t="shared" si="27"/>
        <v>High Value</v>
      </c>
      <c r="Q882" t="str">
        <f>VLOOKUP(G882,Merchants!A:C,3,TRUE)</f>
        <v>Fuel</v>
      </c>
    </row>
    <row r="883" spans="1:17" x14ac:dyDescent="0.3">
      <c r="A883" t="s">
        <v>1421</v>
      </c>
      <c r="B883" s="2">
        <v>45677.306759259263</v>
      </c>
      <c r="C883" s="2" t="str">
        <f t="shared" si="26"/>
        <v>Jan-2025</v>
      </c>
      <c r="D883" t="s">
        <v>292</v>
      </c>
      <c r="E883" t="str">
        <f>VLOOKUP(D883,Customers!A:H,7,0)</f>
        <v>Self-employed</v>
      </c>
      <c r="F883" t="s">
        <v>120</v>
      </c>
      <c r="G883" t="s">
        <v>182</v>
      </c>
      <c r="H883" t="str">
        <f>IFERROR(VLOOKUP(Transactions!G883,Merchants!A:B,2,FALSE),"Not Found")</f>
        <v>Fresh Hub</v>
      </c>
      <c r="I883" s="9">
        <v>12595.68</v>
      </c>
      <c r="J883" s="3">
        <v>62.98</v>
      </c>
      <c r="K883" t="s">
        <v>96</v>
      </c>
      <c r="L883" t="s">
        <v>80</v>
      </c>
      <c r="M883" t="s">
        <v>74</v>
      </c>
      <c r="N883" t="s">
        <v>61</v>
      </c>
      <c r="O883" t="s">
        <v>62</v>
      </c>
      <c r="P883" t="str">
        <f t="shared" si="27"/>
        <v>High Value</v>
      </c>
      <c r="Q883" t="str">
        <f>VLOOKUP(G883,Merchants!A:C,3,TRUE)</f>
        <v>Healthcare</v>
      </c>
    </row>
    <row r="884" spans="1:17" x14ac:dyDescent="0.3">
      <c r="A884" t="s">
        <v>1422</v>
      </c>
      <c r="B884" s="2">
        <v>45878.936851851853</v>
      </c>
      <c r="C884" s="2" t="str">
        <f t="shared" si="26"/>
        <v>Aug-2025</v>
      </c>
      <c r="D884" t="s">
        <v>177</v>
      </c>
      <c r="E884" t="str">
        <f>VLOOKUP(D884,Customers!A:H,7,0)</f>
        <v>Self-employed</v>
      </c>
      <c r="F884" t="s">
        <v>467</v>
      </c>
      <c r="G884" t="s">
        <v>95</v>
      </c>
      <c r="H884" t="str">
        <f>IFERROR(VLOOKUP(Transactions!G884,Merchants!A:B,2,FALSE),"Not Found")</f>
        <v>Quick Pay</v>
      </c>
      <c r="I884" s="9">
        <v>30226.31</v>
      </c>
      <c r="J884" s="3">
        <v>60.45</v>
      </c>
      <c r="K884" t="s">
        <v>72</v>
      </c>
      <c r="L884" t="s">
        <v>73</v>
      </c>
      <c r="M884" t="s">
        <v>74</v>
      </c>
      <c r="N884" t="s">
        <v>61</v>
      </c>
      <c r="O884" t="s">
        <v>91</v>
      </c>
      <c r="P884" t="str">
        <f t="shared" si="27"/>
        <v>High Value</v>
      </c>
      <c r="Q884" t="str">
        <f>VLOOKUP(G884,Merchants!A:C,3,TRUE)</f>
        <v>Healthcare</v>
      </c>
    </row>
    <row r="885" spans="1:17" x14ac:dyDescent="0.3">
      <c r="A885" t="s">
        <v>1423</v>
      </c>
      <c r="B885" s="2">
        <v>46057.738854166673</v>
      </c>
      <c r="C885" s="2" t="str">
        <f t="shared" si="26"/>
        <v>Feb-2026</v>
      </c>
      <c r="D885" t="s">
        <v>564</v>
      </c>
      <c r="E885" t="str">
        <f>VLOOKUP(D885,Customers!A:H,7,0)</f>
        <v>Student</v>
      </c>
      <c r="F885" t="s">
        <v>443</v>
      </c>
      <c r="G885" t="s">
        <v>607</v>
      </c>
      <c r="H885" t="str">
        <f>IFERROR(VLOOKUP(Transactions!G885,Merchants!A:B,2,FALSE),"Not Found")</f>
        <v>Daily Digital</v>
      </c>
      <c r="I885" s="9">
        <v>15065.78</v>
      </c>
      <c r="J885" s="3">
        <v>150.66</v>
      </c>
      <c r="K885" t="s">
        <v>72</v>
      </c>
      <c r="L885" t="s">
        <v>157</v>
      </c>
      <c r="M885" t="s">
        <v>60</v>
      </c>
      <c r="N885" t="s">
        <v>61</v>
      </c>
      <c r="O885" t="s">
        <v>75</v>
      </c>
      <c r="P885" t="str">
        <f t="shared" si="27"/>
        <v>High Value</v>
      </c>
      <c r="Q885" t="str">
        <f>VLOOKUP(G885,Merchants!A:C,3,TRUE)</f>
        <v>Healthcare</v>
      </c>
    </row>
    <row r="886" spans="1:17" x14ac:dyDescent="0.3">
      <c r="A886" t="s">
        <v>1424</v>
      </c>
      <c r="B886" s="2">
        <v>45949.168437499997</v>
      </c>
      <c r="C886" s="2" t="str">
        <f t="shared" si="26"/>
        <v>Oct-2025</v>
      </c>
      <c r="D886" t="s">
        <v>162</v>
      </c>
      <c r="E886" t="str">
        <f>VLOOKUP(D886,Customers!A:H,7,0)</f>
        <v>Self-employed</v>
      </c>
      <c r="F886" t="s">
        <v>1200</v>
      </c>
      <c r="G886" t="s">
        <v>66</v>
      </c>
      <c r="H886" t="str">
        <f>IFERROR(VLOOKUP(Transactions!G886,Merchants!A:B,2,FALSE),"Not Found")</f>
        <v>Prime Digital</v>
      </c>
      <c r="I886" s="9">
        <v>28363.27</v>
      </c>
      <c r="J886" s="3">
        <v>56.73</v>
      </c>
      <c r="K886" t="s">
        <v>90</v>
      </c>
      <c r="L886" t="s">
        <v>73</v>
      </c>
      <c r="M886" t="s">
        <v>111</v>
      </c>
      <c r="N886" t="s">
        <v>61</v>
      </c>
      <c r="O886" t="s">
        <v>62</v>
      </c>
      <c r="P886" t="str">
        <f t="shared" si="27"/>
        <v>High Value</v>
      </c>
      <c r="Q886" t="str">
        <f>VLOOKUP(G886,Merchants!A:C,3,TRUE)</f>
        <v>Fuel</v>
      </c>
    </row>
    <row r="887" spans="1:17" x14ac:dyDescent="0.3">
      <c r="A887" t="s">
        <v>1425</v>
      </c>
      <c r="B887" s="2">
        <v>46233.133506944447</v>
      </c>
      <c r="C887" s="2" t="str">
        <f t="shared" si="26"/>
        <v>Jul-2026</v>
      </c>
      <c r="D887" t="s">
        <v>194</v>
      </c>
      <c r="E887" t="str">
        <f>VLOOKUP(D887,Customers!A:H,7,0)</f>
        <v>Self-employed</v>
      </c>
      <c r="F887" t="s">
        <v>571</v>
      </c>
      <c r="G887" t="s">
        <v>132</v>
      </c>
      <c r="H887" t="str">
        <f>IFERROR(VLOOKUP(Transactions!G887,Merchants!A:B,2,FALSE),"Not Found")</f>
        <v>Metro Retail</v>
      </c>
      <c r="I887" s="9">
        <v>26351.85</v>
      </c>
      <c r="J887" s="3">
        <v>131.76</v>
      </c>
      <c r="K887" t="s">
        <v>58</v>
      </c>
      <c r="L887" t="s">
        <v>59</v>
      </c>
      <c r="M887" t="s">
        <v>111</v>
      </c>
      <c r="N887" t="s">
        <v>67</v>
      </c>
      <c r="O887" t="s">
        <v>81</v>
      </c>
      <c r="P887" t="str">
        <f t="shared" si="27"/>
        <v>High Value</v>
      </c>
      <c r="Q887" t="str">
        <f>VLOOKUP(G887,Merchants!A:C,3,TRUE)</f>
        <v>Entertainment</v>
      </c>
    </row>
    <row r="888" spans="1:17" x14ac:dyDescent="0.3">
      <c r="A888" t="s">
        <v>1426</v>
      </c>
      <c r="B888" s="2">
        <v>46027.676354166673</v>
      </c>
      <c r="C888" s="2" t="str">
        <f t="shared" si="26"/>
        <v>Jan-2026</v>
      </c>
      <c r="D888" t="s">
        <v>411</v>
      </c>
      <c r="E888" t="str">
        <f>VLOOKUP(D888,Customers!A:H,7,0)</f>
        <v>Student</v>
      </c>
      <c r="F888" t="s">
        <v>344</v>
      </c>
      <c r="G888" t="s">
        <v>554</v>
      </c>
      <c r="H888" t="str">
        <f>IFERROR(VLOOKUP(Transactions!G888,Merchants!A:B,2,FALSE),"Not Found")</f>
        <v>Green Pay</v>
      </c>
      <c r="I888" s="9">
        <v>44861.66</v>
      </c>
      <c r="J888" s="3">
        <v>224.31</v>
      </c>
      <c r="K888" t="s">
        <v>72</v>
      </c>
      <c r="L888" t="s">
        <v>59</v>
      </c>
      <c r="M888" t="s">
        <v>60</v>
      </c>
      <c r="N888" t="s">
        <v>67</v>
      </c>
      <c r="O888" t="s">
        <v>81</v>
      </c>
      <c r="P888" t="str">
        <f t="shared" si="27"/>
        <v>High Value</v>
      </c>
      <c r="Q888" t="str">
        <f>VLOOKUP(G888,Merchants!A:C,3,TRUE)</f>
        <v>Utilities</v>
      </c>
    </row>
    <row r="889" spans="1:17" x14ac:dyDescent="0.3">
      <c r="A889" t="s">
        <v>1427</v>
      </c>
      <c r="B889" s="2">
        <v>45919.915706018517</v>
      </c>
      <c r="C889" s="2" t="str">
        <f t="shared" si="26"/>
        <v>Sep-2025</v>
      </c>
      <c r="D889" t="s">
        <v>847</v>
      </c>
      <c r="E889" t="str">
        <f>VLOOKUP(D889,Customers!A:H,7,0)</f>
        <v>Self-employed</v>
      </c>
      <c r="F889" t="s">
        <v>604</v>
      </c>
      <c r="G889" t="s">
        <v>117</v>
      </c>
      <c r="H889" t="str">
        <f>IFERROR(VLOOKUP(Transactions!G889,Merchants!A:B,2,FALSE),"Not Found")</f>
        <v>Prime Pay</v>
      </c>
      <c r="I889" s="9">
        <v>44884.25</v>
      </c>
      <c r="J889" s="3">
        <v>89.77</v>
      </c>
      <c r="K889" t="s">
        <v>96</v>
      </c>
      <c r="L889" t="s">
        <v>59</v>
      </c>
      <c r="M889" t="s">
        <v>74</v>
      </c>
      <c r="N889" t="s">
        <v>67</v>
      </c>
      <c r="O889" t="s">
        <v>91</v>
      </c>
      <c r="P889" t="str">
        <f t="shared" si="27"/>
        <v>High Value</v>
      </c>
      <c r="Q889" t="str">
        <f>VLOOKUP(G889,Merchants!A:C,3,TRUE)</f>
        <v>Travel</v>
      </c>
    </row>
    <row r="890" spans="1:17" x14ac:dyDescent="0.3">
      <c r="A890" t="s">
        <v>1428</v>
      </c>
      <c r="B890" s="2">
        <v>46182.566574074073</v>
      </c>
      <c r="C890" s="2" t="str">
        <f t="shared" si="26"/>
        <v>Jun-2026</v>
      </c>
      <c r="D890" t="s">
        <v>392</v>
      </c>
      <c r="E890" t="str">
        <f>VLOOKUP(D890,Customers!A:H,7,0)</f>
        <v>Self-employed</v>
      </c>
      <c r="F890" t="s">
        <v>374</v>
      </c>
      <c r="G890" t="s">
        <v>182</v>
      </c>
      <c r="H890" t="str">
        <f>IFERROR(VLOOKUP(Transactions!G890,Merchants!A:B,2,FALSE),"Not Found")</f>
        <v>Fresh Hub</v>
      </c>
      <c r="I890" s="9">
        <v>1070.46</v>
      </c>
      <c r="J890" s="3">
        <v>2.14</v>
      </c>
      <c r="K890" t="s">
        <v>133</v>
      </c>
      <c r="L890" t="s">
        <v>59</v>
      </c>
      <c r="M890" t="s">
        <v>74</v>
      </c>
      <c r="N890" t="s">
        <v>61</v>
      </c>
      <c r="O890" t="s">
        <v>81</v>
      </c>
      <c r="P890" t="str">
        <f t="shared" si="27"/>
        <v>Standard</v>
      </c>
      <c r="Q890" t="str">
        <f>VLOOKUP(G890,Merchants!A:C,3,TRUE)</f>
        <v>Healthcare</v>
      </c>
    </row>
    <row r="891" spans="1:17" x14ac:dyDescent="0.3">
      <c r="A891" t="s">
        <v>1429</v>
      </c>
      <c r="B891" s="2">
        <v>45726.114606481482</v>
      </c>
      <c r="C891" s="2" t="str">
        <f t="shared" si="26"/>
        <v>Mar-2025</v>
      </c>
      <c r="D891" t="s">
        <v>680</v>
      </c>
      <c r="E891" t="str">
        <f>VLOOKUP(D891,Customers!A:H,7,0)</f>
        <v>Self-employed</v>
      </c>
      <c r="F891" t="s">
        <v>863</v>
      </c>
      <c r="G891" t="s">
        <v>150</v>
      </c>
      <c r="H891" t="str">
        <f>IFERROR(VLOOKUP(Transactions!G891,Merchants!A:B,2,FALSE),"Not Found")</f>
        <v>Nova Services</v>
      </c>
      <c r="I891" s="9">
        <v>33961.879999999997</v>
      </c>
      <c r="J891" s="3">
        <v>67.92</v>
      </c>
      <c r="K891" t="s">
        <v>58</v>
      </c>
      <c r="L891" t="s">
        <v>157</v>
      </c>
      <c r="M891" t="s">
        <v>74</v>
      </c>
      <c r="N891" t="s">
        <v>67</v>
      </c>
      <c r="O891" t="s">
        <v>91</v>
      </c>
      <c r="P891" t="str">
        <f t="shared" si="27"/>
        <v>High Value</v>
      </c>
      <c r="Q891" t="str">
        <f>VLOOKUP(G891,Merchants!A:C,3,TRUE)</f>
        <v>Electronics</v>
      </c>
    </row>
    <row r="892" spans="1:17" x14ac:dyDescent="0.3">
      <c r="A892" t="s">
        <v>1430</v>
      </c>
      <c r="B892" s="2">
        <v>46099.420011574082</v>
      </c>
      <c r="C892" s="2" t="str">
        <f t="shared" si="26"/>
        <v>Mar-2026</v>
      </c>
      <c r="D892" t="s">
        <v>398</v>
      </c>
      <c r="E892" t="str">
        <f>VLOOKUP(D892,Customers!A:H,7,0)</f>
        <v>Salaried</v>
      </c>
      <c r="F892" t="s">
        <v>1204</v>
      </c>
      <c r="G892" t="s">
        <v>430</v>
      </c>
      <c r="H892" t="str">
        <f>IFERROR(VLOOKUP(Transactions!G892,Merchants!A:B,2,FALSE),"Not Found")</f>
        <v>Prime Foods</v>
      </c>
      <c r="I892" s="9">
        <v>27996.34</v>
      </c>
      <c r="J892" s="3">
        <v>83.99</v>
      </c>
      <c r="K892" t="s">
        <v>90</v>
      </c>
      <c r="L892" t="s">
        <v>73</v>
      </c>
      <c r="M892" t="s">
        <v>60</v>
      </c>
      <c r="N892" t="s">
        <v>61</v>
      </c>
      <c r="O892" t="s">
        <v>75</v>
      </c>
      <c r="P892" t="str">
        <f t="shared" si="27"/>
        <v>High Value</v>
      </c>
      <c r="Q892" t="str">
        <f>VLOOKUP(G892,Merchants!A:C,3,TRUE)</f>
        <v>Entertainment</v>
      </c>
    </row>
    <row r="893" spans="1:17" x14ac:dyDescent="0.3">
      <c r="A893" t="s">
        <v>1431</v>
      </c>
      <c r="B893" s="2">
        <v>45679.609027777777</v>
      </c>
      <c r="C893" s="2" t="str">
        <f t="shared" si="26"/>
        <v>Jan-2025</v>
      </c>
      <c r="D893" t="s">
        <v>343</v>
      </c>
      <c r="E893" t="str">
        <f>VLOOKUP(D893,Customers!A:H,7,0)</f>
        <v>Student</v>
      </c>
      <c r="F893" t="s">
        <v>106</v>
      </c>
      <c r="G893" t="s">
        <v>322</v>
      </c>
      <c r="H893" t="str">
        <f>IFERROR(VLOOKUP(Transactions!G893,Merchants!A:B,2,FALSE),"Not Found")</f>
        <v>Metro Pay</v>
      </c>
      <c r="I893" s="9">
        <v>34526.800000000003</v>
      </c>
      <c r="J893" s="3">
        <v>345.27</v>
      </c>
      <c r="K893" t="s">
        <v>72</v>
      </c>
      <c r="L893" t="s">
        <v>59</v>
      </c>
      <c r="M893" t="s">
        <v>74</v>
      </c>
      <c r="N893" t="s">
        <v>67</v>
      </c>
      <c r="O893" t="s">
        <v>81</v>
      </c>
      <c r="P893" t="str">
        <f t="shared" si="27"/>
        <v>High Value</v>
      </c>
      <c r="Q893" t="str">
        <f>VLOOKUP(G893,Merchants!A:C,3,TRUE)</f>
        <v>Grocery</v>
      </c>
    </row>
    <row r="894" spans="1:17" x14ac:dyDescent="0.3">
      <c r="A894" t="s">
        <v>1432</v>
      </c>
      <c r="B894" s="2">
        <v>45886.886516203696</v>
      </c>
      <c r="C894" s="2" t="str">
        <f t="shared" si="26"/>
        <v>Aug-2025</v>
      </c>
      <c r="D894" t="s">
        <v>484</v>
      </c>
      <c r="E894" t="str">
        <f>VLOOKUP(D894,Customers!A:H,7,0)</f>
        <v>Self-employed</v>
      </c>
      <c r="F894" t="s">
        <v>777</v>
      </c>
      <c r="G894" t="s">
        <v>225</v>
      </c>
      <c r="H894" t="str">
        <f>IFERROR(VLOOKUP(Transactions!G894,Merchants!A:B,2,FALSE),"Not Found")</f>
        <v>Quick Retail</v>
      </c>
      <c r="I894" s="9">
        <v>40504.839999999997</v>
      </c>
      <c r="J894" s="3">
        <v>405.05</v>
      </c>
      <c r="K894" t="s">
        <v>133</v>
      </c>
      <c r="L894" t="s">
        <v>59</v>
      </c>
      <c r="M894" t="s">
        <v>60</v>
      </c>
      <c r="N894" t="s">
        <v>67</v>
      </c>
      <c r="O894" t="s">
        <v>62</v>
      </c>
      <c r="P894" t="str">
        <f t="shared" si="27"/>
        <v>High Value</v>
      </c>
      <c r="Q894" t="str">
        <f>VLOOKUP(G894,Merchants!A:C,3,TRUE)</f>
        <v>Grocery</v>
      </c>
    </row>
    <row r="895" spans="1:17" x14ac:dyDescent="0.3">
      <c r="A895" t="s">
        <v>1433</v>
      </c>
      <c r="B895" s="2">
        <v>45809.312719907408</v>
      </c>
      <c r="C895" s="2" t="str">
        <f t="shared" si="26"/>
        <v>Jun-2025</v>
      </c>
      <c r="D895" t="s">
        <v>239</v>
      </c>
      <c r="E895" t="str">
        <f>VLOOKUP(D895,Customers!A:H,7,0)</f>
        <v>Salaried</v>
      </c>
      <c r="F895" t="s">
        <v>423</v>
      </c>
      <c r="G895" t="s">
        <v>421</v>
      </c>
      <c r="H895" t="str">
        <f>IFERROR(VLOOKUP(Transactions!G895,Merchants!A:B,2,FALSE),"Not Found")</f>
        <v>Smart Pay</v>
      </c>
      <c r="I895" s="9">
        <v>18578.05</v>
      </c>
      <c r="J895" s="3">
        <v>37.159999999999997</v>
      </c>
      <c r="K895" t="s">
        <v>58</v>
      </c>
      <c r="L895" t="s">
        <v>59</v>
      </c>
      <c r="M895" t="s">
        <v>60</v>
      </c>
      <c r="N895" t="s">
        <v>61</v>
      </c>
      <c r="O895" t="s">
        <v>62</v>
      </c>
      <c r="P895" t="str">
        <f t="shared" si="27"/>
        <v>High Value</v>
      </c>
      <c r="Q895" t="str">
        <f>VLOOKUP(G895,Merchants!A:C,3,TRUE)</f>
        <v>Entertainment</v>
      </c>
    </row>
    <row r="896" spans="1:17" x14ac:dyDescent="0.3">
      <c r="A896" t="s">
        <v>1434</v>
      </c>
      <c r="B896" s="2">
        <v>45871.305983796286</v>
      </c>
      <c r="C896" s="2" t="str">
        <f t="shared" si="26"/>
        <v>Aug-2025</v>
      </c>
      <c r="D896" t="s">
        <v>614</v>
      </c>
      <c r="E896" t="str">
        <f>VLOOKUP(D896,Customers!A:H,7,0)</f>
        <v>Self-employed</v>
      </c>
      <c r="F896" t="s">
        <v>221</v>
      </c>
      <c r="G896" t="s">
        <v>57</v>
      </c>
      <c r="H896" t="str">
        <f>IFERROR(VLOOKUP(Transactions!G896,Merchants!A:B,2,FALSE),"Not Found")</f>
        <v>Daily Stores</v>
      </c>
      <c r="I896" s="9">
        <v>18245.48</v>
      </c>
      <c r="J896" s="3">
        <v>91.23</v>
      </c>
      <c r="K896" t="s">
        <v>72</v>
      </c>
      <c r="L896" t="s">
        <v>59</v>
      </c>
      <c r="M896" t="s">
        <v>86</v>
      </c>
      <c r="N896" t="s">
        <v>67</v>
      </c>
      <c r="O896" t="s">
        <v>75</v>
      </c>
      <c r="P896" t="str">
        <f t="shared" si="27"/>
        <v>High Value</v>
      </c>
      <c r="Q896" t="str">
        <f>VLOOKUP(G896,Merchants!A:C,3,TRUE)</f>
        <v>Travel</v>
      </c>
    </row>
    <row r="897" spans="1:17" x14ac:dyDescent="0.3">
      <c r="A897" t="s">
        <v>1435</v>
      </c>
      <c r="B897" s="2">
        <v>45784.569050925929</v>
      </c>
      <c r="C897" s="2" t="str">
        <f t="shared" si="26"/>
        <v>May-2025</v>
      </c>
      <c r="D897" t="s">
        <v>270</v>
      </c>
      <c r="E897" t="str">
        <f>VLOOKUP(D897,Customers!A:H,7,0)</f>
        <v>Business Owner</v>
      </c>
      <c r="F897" t="s">
        <v>1147</v>
      </c>
      <c r="G897" t="s">
        <v>250</v>
      </c>
      <c r="H897" t="str">
        <f>IFERROR(VLOOKUP(Transactions!G897,Merchants!A:B,2,FALSE),"Not Found")</f>
        <v>Fresh Hub</v>
      </c>
      <c r="I897" s="9">
        <v>1622.89</v>
      </c>
      <c r="J897" s="3">
        <v>4.87</v>
      </c>
      <c r="K897" t="s">
        <v>96</v>
      </c>
      <c r="L897" t="s">
        <v>73</v>
      </c>
      <c r="M897" t="s">
        <v>74</v>
      </c>
      <c r="N897" t="s">
        <v>67</v>
      </c>
      <c r="O897" t="s">
        <v>62</v>
      </c>
      <c r="P897" t="str">
        <f t="shared" si="27"/>
        <v>Standard</v>
      </c>
      <c r="Q897" t="str">
        <f>VLOOKUP(G897,Merchants!A:C,3,TRUE)</f>
        <v>Healthcare</v>
      </c>
    </row>
    <row r="898" spans="1:17" x14ac:dyDescent="0.3">
      <c r="A898" t="s">
        <v>1436</v>
      </c>
      <c r="B898" s="2">
        <v>46047.895370370366</v>
      </c>
      <c r="C898" s="2" t="str">
        <f t="shared" si="26"/>
        <v>Jan-2026</v>
      </c>
      <c r="D898" t="s">
        <v>392</v>
      </c>
      <c r="E898" t="str">
        <f>VLOOKUP(D898,Customers!A:H,7,0)</f>
        <v>Self-employed</v>
      </c>
      <c r="F898" t="s">
        <v>369</v>
      </c>
      <c r="G898" t="s">
        <v>168</v>
      </c>
      <c r="H898" t="str">
        <f>IFERROR(VLOOKUP(Transactions!G898,Merchants!A:B,2,FALSE),"Not Found")</f>
        <v>Quick Hub</v>
      </c>
      <c r="I898" s="9">
        <v>48888.52</v>
      </c>
      <c r="J898" s="3">
        <v>146.66999999999999</v>
      </c>
      <c r="K898" t="s">
        <v>133</v>
      </c>
      <c r="L898" t="s">
        <v>59</v>
      </c>
      <c r="M898" t="s">
        <v>86</v>
      </c>
      <c r="N898" t="s">
        <v>67</v>
      </c>
      <c r="O898" t="s">
        <v>62</v>
      </c>
      <c r="P898" t="str">
        <f t="shared" si="27"/>
        <v>High Value</v>
      </c>
      <c r="Q898" t="str">
        <f>VLOOKUP(G898,Merchants!A:C,3,TRUE)</f>
        <v>Utilities</v>
      </c>
    </row>
    <row r="899" spans="1:17" x14ac:dyDescent="0.3">
      <c r="A899" t="s">
        <v>1437</v>
      </c>
      <c r="B899" s="2">
        <v>45781.741990740738</v>
      </c>
      <c r="C899" s="2" t="str">
        <f t="shared" ref="C899:C962" si="28">TEXT(B899,"mmm-yyyy")</f>
        <v>May-2025</v>
      </c>
      <c r="D899" t="s">
        <v>368</v>
      </c>
      <c r="E899" t="str">
        <f>VLOOKUP(D899,Customers!A:H,7,0)</f>
        <v>Student</v>
      </c>
      <c r="F899" t="s">
        <v>774</v>
      </c>
      <c r="G899" t="s">
        <v>57</v>
      </c>
      <c r="H899" t="str">
        <f>IFERROR(VLOOKUP(Transactions!G899,Merchants!A:B,2,FALSE),"Not Found")</f>
        <v>Daily Stores</v>
      </c>
      <c r="I899" s="9">
        <v>44464.46</v>
      </c>
      <c r="J899" s="3">
        <v>222.32</v>
      </c>
      <c r="K899" t="s">
        <v>58</v>
      </c>
      <c r="L899" t="s">
        <v>59</v>
      </c>
      <c r="M899" t="s">
        <v>60</v>
      </c>
      <c r="N899" t="s">
        <v>61</v>
      </c>
      <c r="O899" t="s">
        <v>81</v>
      </c>
      <c r="P899" t="str">
        <f t="shared" ref="P899:P962" si="29">IF(I899&gt;=2500,"High Value","Standard")</f>
        <v>High Value</v>
      </c>
      <c r="Q899" t="str">
        <f>VLOOKUP(G899,Merchants!A:C,3,TRUE)</f>
        <v>Travel</v>
      </c>
    </row>
    <row r="900" spans="1:17" x14ac:dyDescent="0.3">
      <c r="A900" t="s">
        <v>1438</v>
      </c>
      <c r="B900" s="2">
        <v>46178.169895833344</v>
      </c>
      <c r="C900" s="2" t="str">
        <f t="shared" si="28"/>
        <v>Jun-2026</v>
      </c>
      <c r="D900" t="s">
        <v>210</v>
      </c>
      <c r="E900" t="str">
        <f>VLOOKUP(D900,Customers!A:H,7,0)</f>
        <v>Business Owner</v>
      </c>
      <c r="F900" t="s">
        <v>586</v>
      </c>
      <c r="G900" t="s">
        <v>244</v>
      </c>
      <c r="H900" t="str">
        <f>IFERROR(VLOOKUP(Transactions!G900,Merchants!A:B,2,FALSE),"Not Found")</f>
        <v>Blue Hub</v>
      </c>
      <c r="I900" s="9">
        <v>56699.32</v>
      </c>
      <c r="J900" s="3">
        <v>566.99</v>
      </c>
      <c r="K900" t="s">
        <v>72</v>
      </c>
      <c r="L900" t="s">
        <v>59</v>
      </c>
      <c r="M900" t="s">
        <v>60</v>
      </c>
      <c r="N900" t="s">
        <v>61</v>
      </c>
      <c r="O900" t="s">
        <v>91</v>
      </c>
      <c r="P900" t="str">
        <f t="shared" si="29"/>
        <v>High Value</v>
      </c>
      <c r="Q900" t="str">
        <f>VLOOKUP(G900,Merchants!A:C,3,TRUE)</f>
        <v>Healthcare</v>
      </c>
    </row>
    <row r="901" spans="1:17" x14ac:dyDescent="0.3">
      <c r="A901" t="s">
        <v>1439</v>
      </c>
      <c r="B901" s="2">
        <v>46102.989108796297</v>
      </c>
      <c r="C901" s="2" t="str">
        <f t="shared" si="28"/>
        <v>Mar-2026</v>
      </c>
      <c r="D901" t="s">
        <v>398</v>
      </c>
      <c r="E901" t="str">
        <f>VLOOKUP(D901,Customers!A:H,7,0)</f>
        <v>Salaried</v>
      </c>
      <c r="F901" t="s">
        <v>357</v>
      </c>
      <c r="G901" t="s">
        <v>366</v>
      </c>
      <c r="H901" t="str">
        <f>IFERROR(VLOOKUP(Transactions!G901,Merchants!A:B,2,FALSE),"Not Found")</f>
        <v>Smart Pay</v>
      </c>
      <c r="I901" s="9">
        <v>18111.599999999999</v>
      </c>
      <c r="J901" s="3">
        <v>36.22</v>
      </c>
      <c r="K901" t="s">
        <v>96</v>
      </c>
      <c r="L901" t="s">
        <v>157</v>
      </c>
      <c r="M901" t="s">
        <v>86</v>
      </c>
      <c r="N901" t="s">
        <v>61</v>
      </c>
      <c r="O901" t="s">
        <v>81</v>
      </c>
      <c r="P901" t="str">
        <f t="shared" si="29"/>
        <v>High Value</v>
      </c>
      <c r="Q901" t="str">
        <f>VLOOKUP(G901,Merchants!A:C,3,TRUE)</f>
        <v>Fashion</v>
      </c>
    </row>
    <row r="902" spans="1:17" x14ac:dyDescent="0.3">
      <c r="A902" t="s">
        <v>1440</v>
      </c>
      <c r="B902" s="2">
        <v>45704.213495370372</v>
      </c>
      <c r="C902" s="2" t="str">
        <f t="shared" si="28"/>
        <v>Feb-2025</v>
      </c>
      <c r="D902" t="s">
        <v>239</v>
      </c>
      <c r="E902" t="str">
        <f>VLOOKUP(D902,Customers!A:H,7,0)</f>
        <v>Salaried</v>
      </c>
      <c r="F902" t="s">
        <v>700</v>
      </c>
      <c r="G902" t="s">
        <v>413</v>
      </c>
      <c r="H902" t="str">
        <f>IFERROR(VLOOKUP(Transactions!G902,Merchants!A:B,2,FALSE),"Not Found")</f>
        <v>Blue Hub</v>
      </c>
      <c r="I902" s="9">
        <v>50860.15</v>
      </c>
      <c r="J902" s="3">
        <v>101.72</v>
      </c>
      <c r="K902" t="s">
        <v>90</v>
      </c>
      <c r="L902" t="s">
        <v>59</v>
      </c>
      <c r="M902" t="s">
        <v>74</v>
      </c>
      <c r="N902" t="s">
        <v>67</v>
      </c>
      <c r="O902" t="s">
        <v>91</v>
      </c>
      <c r="P902" t="str">
        <f t="shared" si="29"/>
        <v>High Value</v>
      </c>
      <c r="Q902" t="str">
        <f>VLOOKUP(G902,Merchants!A:C,3,TRUE)</f>
        <v>Utilities</v>
      </c>
    </row>
    <row r="903" spans="1:17" x14ac:dyDescent="0.3">
      <c r="A903" t="s">
        <v>1441</v>
      </c>
      <c r="B903" s="2">
        <v>46268.318310185183</v>
      </c>
      <c r="C903" s="2" t="str">
        <f t="shared" si="28"/>
        <v>Sep-2026</v>
      </c>
      <c r="D903" t="s">
        <v>867</v>
      </c>
      <c r="E903" t="str">
        <f>VLOOKUP(D903,Customers!A:H,7,0)</f>
        <v>Student</v>
      </c>
      <c r="F903" t="s">
        <v>405</v>
      </c>
      <c r="G903" t="s">
        <v>95</v>
      </c>
      <c r="H903" t="str">
        <f>IFERROR(VLOOKUP(Transactions!G903,Merchants!A:B,2,FALSE),"Not Found")</f>
        <v>Quick Pay</v>
      </c>
      <c r="I903" s="9">
        <v>51994.07</v>
      </c>
      <c r="J903" s="3">
        <v>259.97000000000003</v>
      </c>
      <c r="K903" t="s">
        <v>96</v>
      </c>
      <c r="L903" t="s">
        <v>80</v>
      </c>
      <c r="M903" t="s">
        <v>111</v>
      </c>
      <c r="N903" t="s">
        <v>67</v>
      </c>
      <c r="O903" t="s">
        <v>62</v>
      </c>
      <c r="P903" t="str">
        <f t="shared" si="29"/>
        <v>High Value</v>
      </c>
      <c r="Q903" t="str">
        <f>VLOOKUP(G903,Merchants!A:C,3,TRUE)</f>
        <v>Healthcare</v>
      </c>
    </row>
    <row r="904" spans="1:17" x14ac:dyDescent="0.3">
      <c r="A904" t="s">
        <v>1442</v>
      </c>
      <c r="B904" s="2">
        <v>45843.553819444453</v>
      </c>
      <c r="C904" s="2" t="str">
        <f t="shared" si="28"/>
        <v>Jul-2025</v>
      </c>
      <c r="D904" t="s">
        <v>203</v>
      </c>
      <c r="E904" t="str">
        <f>VLOOKUP(D904,Customers!A:H,7,0)</f>
        <v>Salaried</v>
      </c>
      <c r="F904" t="s">
        <v>1050</v>
      </c>
      <c r="G904" t="s">
        <v>57</v>
      </c>
      <c r="H904" t="str">
        <f>IFERROR(VLOOKUP(Transactions!G904,Merchants!A:B,2,FALSE),"Not Found")</f>
        <v>Daily Stores</v>
      </c>
      <c r="I904" s="9">
        <v>52756.74</v>
      </c>
      <c r="J904" s="3">
        <v>158.27000000000001</v>
      </c>
      <c r="K904" t="s">
        <v>72</v>
      </c>
      <c r="L904" t="s">
        <v>59</v>
      </c>
      <c r="M904" t="s">
        <v>74</v>
      </c>
      <c r="N904" t="s">
        <v>61</v>
      </c>
      <c r="O904" t="s">
        <v>81</v>
      </c>
      <c r="P904" t="str">
        <f t="shared" si="29"/>
        <v>High Value</v>
      </c>
      <c r="Q904" t="str">
        <f>VLOOKUP(G904,Merchants!A:C,3,TRUE)</f>
        <v>Travel</v>
      </c>
    </row>
    <row r="905" spans="1:17" x14ac:dyDescent="0.3">
      <c r="A905" t="s">
        <v>1443</v>
      </c>
      <c r="B905" s="2">
        <v>46294.487071759257</v>
      </c>
      <c r="C905" s="2" t="str">
        <f t="shared" si="28"/>
        <v>Sep-2026</v>
      </c>
      <c r="D905" t="s">
        <v>324</v>
      </c>
      <c r="E905" t="str">
        <f>VLOOKUP(D905,Customers!A:H,7,0)</f>
        <v>Business Owner</v>
      </c>
      <c r="F905" t="s">
        <v>1231</v>
      </c>
      <c r="G905" t="s">
        <v>413</v>
      </c>
      <c r="H905" t="str">
        <f>IFERROR(VLOOKUP(Transactions!G905,Merchants!A:B,2,FALSE),"Not Found")</f>
        <v>Blue Hub</v>
      </c>
      <c r="I905" s="9">
        <v>1805.84</v>
      </c>
      <c r="J905" s="3">
        <v>3.61</v>
      </c>
      <c r="K905" t="s">
        <v>96</v>
      </c>
      <c r="L905" t="s">
        <v>59</v>
      </c>
      <c r="M905" t="s">
        <v>86</v>
      </c>
      <c r="N905" t="s">
        <v>61</v>
      </c>
      <c r="O905" t="s">
        <v>62</v>
      </c>
      <c r="P905" t="str">
        <f t="shared" si="29"/>
        <v>Standard</v>
      </c>
      <c r="Q905" t="str">
        <f>VLOOKUP(G905,Merchants!A:C,3,TRUE)</f>
        <v>Utilities</v>
      </c>
    </row>
    <row r="906" spans="1:17" x14ac:dyDescent="0.3">
      <c r="A906" t="s">
        <v>1444</v>
      </c>
      <c r="B906" s="2">
        <v>45819.151875000003</v>
      </c>
      <c r="C906" s="2" t="str">
        <f t="shared" si="28"/>
        <v>Jun-2025</v>
      </c>
      <c r="D906" t="s">
        <v>210</v>
      </c>
      <c r="E906" t="str">
        <f>VLOOKUP(D906,Customers!A:H,7,0)</f>
        <v>Business Owner</v>
      </c>
      <c r="F906" t="s">
        <v>494</v>
      </c>
      <c r="G906" t="s">
        <v>124</v>
      </c>
      <c r="H906" t="str">
        <f>IFERROR(VLOOKUP(Transactions!G906,Merchants!A:B,2,FALSE),"Not Found")</f>
        <v>Daily Services</v>
      </c>
      <c r="I906" s="9">
        <v>994.81</v>
      </c>
      <c r="J906" s="3">
        <v>1.99</v>
      </c>
      <c r="K906" t="s">
        <v>96</v>
      </c>
      <c r="L906" t="s">
        <v>73</v>
      </c>
      <c r="M906" t="s">
        <v>74</v>
      </c>
      <c r="N906" t="s">
        <v>61</v>
      </c>
      <c r="O906" t="s">
        <v>75</v>
      </c>
      <c r="P906" t="str">
        <f t="shared" si="29"/>
        <v>Standard</v>
      </c>
      <c r="Q906" t="str">
        <f>VLOOKUP(G906,Merchants!A:C,3,TRUE)</f>
        <v>Food &amp; Dining</v>
      </c>
    </row>
    <row r="907" spans="1:17" x14ac:dyDescent="0.3">
      <c r="A907" t="s">
        <v>1445</v>
      </c>
      <c r="B907" s="2">
        <v>45795.915173611109</v>
      </c>
      <c r="C907" s="2" t="str">
        <f t="shared" si="28"/>
        <v>May-2025</v>
      </c>
      <c r="D907" t="s">
        <v>324</v>
      </c>
      <c r="E907" t="str">
        <f>VLOOKUP(D907,Customers!A:H,7,0)</f>
        <v>Business Owner</v>
      </c>
      <c r="F907" t="s">
        <v>813</v>
      </c>
      <c r="G907" t="s">
        <v>189</v>
      </c>
      <c r="H907" t="str">
        <f>IFERROR(VLOOKUP(Transactions!G907,Merchants!A:B,2,FALSE),"Not Found")</f>
        <v>Quick Services</v>
      </c>
      <c r="I907" s="9">
        <v>48584.56</v>
      </c>
      <c r="J907" s="3">
        <v>485.85</v>
      </c>
      <c r="K907" t="s">
        <v>90</v>
      </c>
      <c r="L907" t="s">
        <v>59</v>
      </c>
      <c r="M907" t="s">
        <v>60</v>
      </c>
      <c r="N907" t="s">
        <v>61</v>
      </c>
      <c r="O907" t="s">
        <v>91</v>
      </c>
      <c r="P907" t="str">
        <f t="shared" si="29"/>
        <v>High Value</v>
      </c>
      <c r="Q907" t="str">
        <f>VLOOKUP(G907,Merchants!A:C,3,TRUE)</f>
        <v>Food &amp; Dining</v>
      </c>
    </row>
    <row r="908" spans="1:17" x14ac:dyDescent="0.3">
      <c r="A908" t="s">
        <v>1446</v>
      </c>
      <c r="B908" s="2">
        <v>46147.74759259259</v>
      </c>
      <c r="C908" s="2" t="str">
        <f t="shared" si="28"/>
        <v>May-2026</v>
      </c>
      <c r="D908" t="s">
        <v>239</v>
      </c>
      <c r="E908" t="str">
        <f>VLOOKUP(D908,Customers!A:H,7,0)</f>
        <v>Salaried</v>
      </c>
      <c r="F908" t="s">
        <v>417</v>
      </c>
      <c r="G908" t="s">
        <v>150</v>
      </c>
      <c r="H908" t="str">
        <f>IFERROR(VLOOKUP(Transactions!G908,Merchants!A:B,2,FALSE),"Not Found")</f>
        <v>Nova Services</v>
      </c>
      <c r="I908" s="9">
        <v>44948.26</v>
      </c>
      <c r="J908" s="3">
        <v>134.84</v>
      </c>
      <c r="K908" t="s">
        <v>90</v>
      </c>
      <c r="L908" t="s">
        <v>73</v>
      </c>
      <c r="M908" t="s">
        <v>111</v>
      </c>
      <c r="N908" t="s">
        <v>67</v>
      </c>
      <c r="O908" t="s">
        <v>91</v>
      </c>
      <c r="P908" t="str">
        <f t="shared" si="29"/>
        <v>High Value</v>
      </c>
      <c r="Q908" t="str">
        <f>VLOOKUP(G908,Merchants!A:C,3,TRUE)</f>
        <v>Electronics</v>
      </c>
    </row>
    <row r="909" spans="1:17" x14ac:dyDescent="0.3">
      <c r="A909" t="s">
        <v>1447</v>
      </c>
      <c r="B909" s="2">
        <v>45755.612627314818</v>
      </c>
      <c r="C909" s="2" t="str">
        <f t="shared" si="28"/>
        <v>Apr-2025</v>
      </c>
      <c r="D909" t="s">
        <v>407</v>
      </c>
      <c r="E909" t="str">
        <f>VLOOKUP(D909,Customers!A:H,7,0)</f>
        <v>Salaried</v>
      </c>
      <c r="F909" t="s">
        <v>462</v>
      </c>
      <c r="G909" t="s">
        <v>215</v>
      </c>
      <c r="H909" t="str">
        <f>IFERROR(VLOOKUP(Transactions!G909,Merchants!A:B,2,FALSE),"Not Found")</f>
        <v>Daily Hub</v>
      </c>
      <c r="I909" s="9">
        <v>17009.759999999998</v>
      </c>
      <c r="J909" s="3">
        <v>51.03</v>
      </c>
      <c r="K909" t="s">
        <v>72</v>
      </c>
      <c r="L909" t="s">
        <v>59</v>
      </c>
      <c r="M909" t="s">
        <v>60</v>
      </c>
      <c r="N909" t="s">
        <v>61</v>
      </c>
      <c r="O909" t="s">
        <v>81</v>
      </c>
      <c r="P909" t="str">
        <f t="shared" si="29"/>
        <v>High Value</v>
      </c>
      <c r="Q909" t="str">
        <f>VLOOKUP(G909,Merchants!A:C,3,TRUE)</f>
        <v>Fashion</v>
      </c>
    </row>
    <row r="910" spans="1:17" x14ac:dyDescent="0.3">
      <c r="A910" t="s">
        <v>1448</v>
      </c>
      <c r="B910" s="2">
        <v>45792.497499999998</v>
      </c>
      <c r="C910" s="2" t="str">
        <f t="shared" si="28"/>
        <v>May-2025</v>
      </c>
      <c r="D910" t="s">
        <v>708</v>
      </c>
      <c r="E910" t="str">
        <f>VLOOKUP(D910,Customers!A:H,7,0)</f>
        <v>Student</v>
      </c>
      <c r="F910" t="s">
        <v>922</v>
      </c>
      <c r="G910" t="s">
        <v>607</v>
      </c>
      <c r="H910" t="str">
        <f>IFERROR(VLOOKUP(Transactions!G910,Merchants!A:B,2,FALSE),"Not Found")</f>
        <v>Daily Digital</v>
      </c>
      <c r="I910" s="9">
        <v>25379.06</v>
      </c>
      <c r="J910" s="3">
        <v>50.76</v>
      </c>
      <c r="K910" t="s">
        <v>90</v>
      </c>
      <c r="L910" t="s">
        <v>80</v>
      </c>
      <c r="M910" t="s">
        <v>111</v>
      </c>
      <c r="N910" t="s">
        <v>67</v>
      </c>
      <c r="O910" t="s">
        <v>62</v>
      </c>
      <c r="P910" t="str">
        <f t="shared" si="29"/>
        <v>High Value</v>
      </c>
      <c r="Q910" t="str">
        <f>VLOOKUP(G910,Merchants!A:C,3,TRUE)</f>
        <v>Healthcare</v>
      </c>
    </row>
    <row r="911" spans="1:17" x14ac:dyDescent="0.3">
      <c r="A911" t="s">
        <v>1449</v>
      </c>
      <c r="B911" s="2">
        <v>45692.36078703704</v>
      </c>
      <c r="C911" s="2" t="str">
        <f t="shared" si="28"/>
        <v>Feb-2025</v>
      </c>
      <c r="D911" t="s">
        <v>371</v>
      </c>
      <c r="E911" t="str">
        <f>VLOOKUP(D911,Customers!A:H,7,0)</f>
        <v>Student</v>
      </c>
      <c r="F911" t="s">
        <v>380</v>
      </c>
      <c r="G911" t="s">
        <v>421</v>
      </c>
      <c r="H911" t="str">
        <f>IFERROR(VLOOKUP(Transactions!G911,Merchants!A:B,2,FALSE),"Not Found")</f>
        <v>Smart Pay</v>
      </c>
      <c r="I911" s="9">
        <v>9796.92</v>
      </c>
      <c r="J911" s="3">
        <v>97.97</v>
      </c>
      <c r="K911" t="s">
        <v>90</v>
      </c>
      <c r="L911" t="s">
        <v>59</v>
      </c>
      <c r="M911" t="s">
        <v>74</v>
      </c>
      <c r="N911" t="s">
        <v>61</v>
      </c>
      <c r="O911" t="s">
        <v>62</v>
      </c>
      <c r="P911" t="str">
        <f t="shared" si="29"/>
        <v>High Value</v>
      </c>
      <c r="Q911" t="str">
        <f>VLOOKUP(G911,Merchants!A:C,3,TRUE)</f>
        <v>Entertainment</v>
      </c>
    </row>
    <row r="912" spans="1:17" x14ac:dyDescent="0.3">
      <c r="A912" t="s">
        <v>1450</v>
      </c>
      <c r="B912" s="2">
        <v>46122.942546296297</v>
      </c>
      <c r="C912" s="2" t="str">
        <f t="shared" si="28"/>
        <v>Apr-2026</v>
      </c>
      <c r="D912" t="s">
        <v>484</v>
      </c>
      <c r="E912" t="str">
        <f>VLOOKUP(D912,Customers!A:H,7,0)</f>
        <v>Self-employed</v>
      </c>
      <c r="F912" t="s">
        <v>640</v>
      </c>
      <c r="G912" t="s">
        <v>150</v>
      </c>
      <c r="H912" t="str">
        <f>IFERROR(VLOOKUP(Transactions!G912,Merchants!A:B,2,FALSE),"Not Found")</f>
        <v>Nova Services</v>
      </c>
      <c r="I912" s="9">
        <v>15842</v>
      </c>
      <c r="J912" s="3">
        <v>79.209999999999994</v>
      </c>
      <c r="K912" t="s">
        <v>72</v>
      </c>
      <c r="L912" t="s">
        <v>59</v>
      </c>
      <c r="M912" t="s">
        <v>60</v>
      </c>
      <c r="N912" t="s">
        <v>67</v>
      </c>
      <c r="O912" t="s">
        <v>81</v>
      </c>
      <c r="P912" t="str">
        <f t="shared" si="29"/>
        <v>High Value</v>
      </c>
      <c r="Q912" t="str">
        <f>VLOOKUP(G912,Merchants!A:C,3,TRUE)</f>
        <v>Electronics</v>
      </c>
    </row>
    <row r="913" spans="1:17" x14ac:dyDescent="0.3">
      <c r="A913" t="s">
        <v>1451</v>
      </c>
      <c r="B913" s="2">
        <v>46007.739328703698</v>
      </c>
      <c r="C913" s="2" t="str">
        <f t="shared" si="28"/>
        <v>Dec-2025</v>
      </c>
      <c r="D913" t="s">
        <v>246</v>
      </c>
      <c r="E913" t="str">
        <f>VLOOKUP(D913,Customers!A:H,7,0)</f>
        <v>Student</v>
      </c>
      <c r="F913" t="s">
        <v>380</v>
      </c>
      <c r="G913" t="s">
        <v>201</v>
      </c>
      <c r="H913" t="str">
        <f>IFERROR(VLOOKUP(Transactions!G913,Merchants!A:B,2,FALSE),"Not Found")</f>
        <v>Urban Stores</v>
      </c>
      <c r="I913" s="9">
        <v>46343.27</v>
      </c>
      <c r="J913" s="3">
        <v>92.69</v>
      </c>
      <c r="K913" t="s">
        <v>133</v>
      </c>
      <c r="L913" t="s">
        <v>59</v>
      </c>
      <c r="M913" t="s">
        <v>60</v>
      </c>
      <c r="N913" t="s">
        <v>67</v>
      </c>
      <c r="O913" t="s">
        <v>81</v>
      </c>
      <c r="P913" t="str">
        <f t="shared" si="29"/>
        <v>High Value</v>
      </c>
      <c r="Q913" t="str">
        <f>VLOOKUP(G913,Merchants!A:C,3,TRUE)</f>
        <v>Entertainment</v>
      </c>
    </row>
    <row r="914" spans="1:17" x14ac:dyDescent="0.3">
      <c r="A914" t="s">
        <v>1452</v>
      </c>
      <c r="B914" s="2">
        <v>46094.974374999998</v>
      </c>
      <c r="C914" s="2" t="str">
        <f t="shared" si="28"/>
        <v>Mar-2026</v>
      </c>
      <c r="D914" t="s">
        <v>152</v>
      </c>
      <c r="E914" t="str">
        <f>VLOOKUP(D914,Customers!A:H,7,0)</f>
        <v>Salaried</v>
      </c>
      <c r="F914" t="s">
        <v>399</v>
      </c>
      <c r="G914" t="s">
        <v>554</v>
      </c>
      <c r="H914" t="str">
        <f>IFERROR(VLOOKUP(Transactions!G914,Merchants!A:B,2,FALSE),"Not Found")</f>
        <v>Green Pay</v>
      </c>
      <c r="I914" s="9">
        <v>1622.3</v>
      </c>
      <c r="J914" s="3">
        <v>3.24</v>
      </c>
      <c r="K914" t="s">
        <v>58</v>
      </c>
      <c r="L914" t="s">
        <v>59</v>
      </c>
      <c r="M914" t="s">
        <v>86</v>
      </c>
      <c r="N914" t="s">
        <v>61</v>
      </c>
      <c r="O914" t="s">
        <v>62</v>
      </c>
      <c r="P914" t="str">
        <f t="shared" si="29"/>
        <v>Standard</v>
      </c>
      <c r="Q914" t="str">
        <f>VLOOKUP(G914,Merchants!A:C,3,TRUE)</f>
        <v>Utilities</v>
      </c>
    </row>
    <row r="915" spans="1:17" x14ac:dyDescent="0.3">
      <c r="A915" t="s">
        <v>1453</v>
      </c>
      <c r="B915" s="2">
        <v>46013.465775462973</v>
      </c>
      <c r="C915" s="2" t="str">
        <f t="shared" si="28"/>
        <v>Dec-2025</v>
      </c>
      <c r="D915" t="s">
        <v>392</v>
      </c>
      <c r="E915" t="str">
        <f>VLOOKUP(D915,Customers!A:H,7,0)</f>
        <v>Self-employed</v>
      </c>
      <c r="F915" t="s">
        <v>1069</v>
      </c>
      <c r="G915" t="s">
        <v>198</v>
      </c>
      <c r="H915" t="str">
        <f>IFERROR(VLOOKUP(Transactions!G915,Merchants!A:B,2,FALSE),"Not Found")</f>
        <v>Metro Services</v>
      </c>
      <c r="I915" s="9">
        <v>27208.63</v>
      </c>
      <c r="J915" s="3">
        <v>54.42</v>
      </c>
      <c r="K915" t="s">
        <v>133</v>
      </c>
      <c r="L915" t="s">
        <v>59</v>
      </c>
      <c r="M915" t="s">
        <v>111</v>
      </c>
      <c r="N915" t="s">
        <v>67</v>
      </c>
      <c r="O915" t="s">
        <v>62</v>
      </c>
      <c r="P915" t="str">
        <f t="shared" si="29"/>
        <v>High Value</v>
      </c>
      <c r="Q915" t="str">
        <f>VLOOKUP(G915,Merchants!A:C,3,TRUE)</f>
        <v>Travel</v>
      </c>
    </row>
    <row r="916" spans="1:17" x14ac:dyDescent="0.3">
      <c r="A916" t="s">
        <v>1454</v>
      </c>
      <c r="B916" s="2">
        <v>45675.301400462973</v>
      </c>
      <c r="C916" s="2" t="str">
        <f t="shared" si="28"/>
        <v>Jan-2025</v>
      </c>
      <c r="D916" t="s">
        <v>223</v>
      </c>
      <c r="E916" t="str">
        <f>VLOOKUP(D916,Customers!A:H,7,0)</f>
        <v>Business Owner</v>
      </c>
      <c r="F916" t="s">
        <v>886</v>
      </c>
      <c r="G916" t="s">
        <v>233</v>
      </c>
      <c r="H916" t="str">
        <f>IFERROR(VLOOKUP(Transactions!G916,Merchants!A:B,2,FALSE),"Not Found")</f>
        <v>Urban Retail</v>
      </c>
      <c r="I916" s="9">
        <v>44031.4</v>
      </c>
      <c r="J916" s="3">
        <v>132.09</v>
      </c>
      <c r="K916" t="s">
        <v>133</v>
      </c>
      <c r="L916" t="s">
        <v>59</v>
      </c>
      <c r="M916" t="s">
        <v>86</v>
      </c>
      <c r="N916" t="s">
        <v>61</v>
      </c>
      <c r="O916" t="s">
        <v>62</v>
      </c>
      <c r="P916" t="str">
        <f t="shared" si="29"/>
        <v>High Value</v>
      </c>
      <c r="Q916" t="str">
        <f>VLOOKUP(G916,Merchants!A:C,3,TRUE)</f>
        <v>Utilities</v>
      </c>
    </row>
    <row r="917" spans="1:17" x14ac:dyDescent="0.3">
      <c r="A917" t="s">
        <v>1455</v>
      </c>
      <c r="B917" s="2">
        <v>46201.252962962957</v>
      </c>
      <c r="C917" s="2" t="str">
        <f t="shared" si="28"/>
        <v>Jun-2026</v>
      </c>
      <c r="D917" t="s">
        <v>333</v>
      </c>
      <c r="E917" t="str">
        <f>VLOOKUP(D917,Customers!A:H,7,0)</f>
        <v>Student</v>
      </c>
      <c r="F917" t="s">
        <v>84</v>
      </c>
      <c r="G917" t="s">
        <v>208</v>
      </c>
      <c r="H917" t="str">
        <f>IFERROR(VLOOKUP(Transactions!G917,Merchants!A:B,2,FALSE),"Not Found")</f>
        <v>Blue Retail</v>
      </c>
      <c r="I917" s="9">
        <v>22530.880000000001</v>
      </c>
      <c r="J917" s="3">
        <v>67.59</v>
      </c>
      <c r="K917" t="s">
        <v>90</v>
      </c>
      <c r="L917" t="s">
        <v>59</v>
      </c>
      <c r="M917" t="s">
        <v>111</v>
      </c>
      <c r="N917" t="s">
        <v>61</v>
      </c>
      <c r="O917" t="s">
        <v>62</v>
      </c>
      <c r="P917" t="str">
        <f t="shared" si="29"/>
        <v>High Value</v>
      </c>
      <c r="Q917" t="str">
        <f>VLOOKUP(G917,Merchants!A:C,3,TRUE)</f>
        <v>Healthcare</v>
      </c>
    </row>
    <row r="918" spans="1:17" x14ac:dyDescent="0.3">
      <c r="A918" t="s">
        <v>1456</v>
      </c>
      <c r="B918" s="2">
        <v>45943.074201388888</v>
      </c>
      <c r="C918" s="2" t="str">
        <f t="shared" si="28"/>
        <v>Oct-2025</v>
      </c>
      <c r="D918" t="s">
        <v>213</v>
      </c>
      <c r="E918" t="str">
        <f>VLOOKUP(D918,Customers!A:H,7,0)</f>
        <v>Student</v>
      </c>
      <c r="F918" t="s">
        <v>813</v>
      </c>
      <c r="G918" t="s">
        <v>233</v>
      </c>
      <c r="H918" t="str">
        <f>IFERROR(VLOOKUP(Transactions!G918,Merchants!A:B,2,FALSE),"Not Found")</f>
        <v>Urban Retail</v>
      </c>
      <c r="I918" s="9">
        <v>57547.5</v>
      </c>
      <c r="J918" s="3">
        <v>287.74</v>
      </c>
      <c r="K918" t="s">
        <v>96</v>
      </c>
      <c r="L918" t="s">
        <v>157</v>
      </c>
      <c r="M918" t="s">
        <v>74</v>
      </c>
      <c r="N918" t="s">
        <v>61</v>
      </c>
      <c r="O918" t="s">
        <v>81</v>
      </c>
      <c r="P918" t="str">
        <f t="shared" si="29"/>
        <v>High Value</v>
      </c>
      <c r="Q918" t="str">
        <f>VLOOKUP(G918,Merchants!A:C,3,TRUE)</f>
        <v>Utilities</v>
      </c>
    </row>
    <row r="919" spans="1:17" x14ac:dyDescent="0.3">
      <c r="A919" t="s">
        <v>1457</v>
      </c>
      <c r="B919" s="2">
        <v>45797.455092592587</v>
      </c>
      <c r="C919" s="2" t="str">
        <f t="shared" si="28"/>
        <v>May-2025</v>
      </c>
      <c r="D919" t="s">
        <v>609</v>
      </c>
      <c r="E919" t="str">
        <f>VLOOKUP(D919,Customers!A:H,7,0)</f>
        <v>Self-employed</v>
      </c>
      <c r="F919" t="s">
        <v>1156</v>
      </c>
      <c r="G919" t="s">
        <v>208</v>
      </c>
      <c r="H919" t="str">
        <f>IFERROR(VLOOKUP(Transactions!G919,Merchants!A:B,2,FALSE),"Not Found")</f>
        <v>Blue Retail</v>
      </c>
      <c r="I919" s="9">
        <v>121.18</v>
      </c>
      <c r="J919" s="3">
        <v>0.61</v>
      </c>
      <c r="K919" t="s">
        <v>133</v>
      </c>
      <c r="L919" t="s">
        <v>59</v>
      </c>
      <c r="M919" t="s">
        <v>86</v>
      </c>
      <c r="N919" t="s">
        <v>67</v>
      </c>
      <c r="O919" t="s">
        <v>75</v>
      </c>
      <c r="P919" t="str">
        <f t="shared" si="29"/>
        <v>Standard</v>
      </c>
      <c r="Q919" t="str">
        <f>VLOOKUP(G919,Merchants!A:C,3,TRUE)</f>
        <v>Healthcare</v>
      </c>
    </row>
    <row r="920" spans="1:17" x14ac:dyDescent="0.3">
      <c r="A920" t="s">
        <v>1458</v>
      </c>
      <c r="B920" s="2">
        <v>45801.218136574083</v>
      </c>
      <c r="C920" s="2" t="str">
        <f t="shared" si="28"/>
        <v>May-2025</v>
      </c>
      <c r="D920" t="s">
        <v>771</v>
      </c>
      <c r="E920" t="str">
        <f>VLOOKUP(D920,Customers!A:H,7,0)</f>
        <v>Salaried</v>
      </c>
      <c r="F920" t="s">
        <v>600</v>
      </c>
      <c r="G920" t="s">
        <v>95</v>
      </c>
      <c r="H920" t="str">
        <f>IFERROR(VLOOKUP(Transactions!G920,Merchants!A:B,2,FALSE),"Not Found")</f>
        <v>Quick Pay</v>
      </c>
      <c r="I920" s="9">
        <v>28907.83</v>
      </c>
      <c r="J920" s="3">
        <v>86.72</v>
      </c>
      <c r="K920" t="s">
        <v>96</v>
      </c>
      <c r="L920" t="s">
        <v>59</v>
      </c>
      <c r="M920" t="s">
        <v>74</v>
      </c>
      <c r="N920" t="s">
        <v>67</v>
      </c>
      <c r="O920" t="s">
        <v>62</v>
      </c>
      <c r="P920" t="str">
        <f t="shared" si="29"/>
        <v>High Value</v>
      </c>
      <c r="Q920" t="str">
        <f>VLOOKUP(G920,Merchants!A:C,3,TRUE)</f>
        <v>Healthcare</v>
      </c>
    </row>
    <row r="921" spans="1:17" x14ac:dyDescent="0.3">
      <c r="A921" t="s">
        <v>1459</v>
      </c>
      <c r="B921" s="2">
        <v>46016.106990740736</v>
      </c>
      <c r="C921" s="2" t="str">
        <f t="shared" si="28"/>
        <v>Dec-2025</v>
      </c>
      <c r="D921" t="s">
        <v>521</v>
      </c>
      <c r="E921" t="str">
        <f>VLOOKUP(D921,Customers!A:H,7,0)</f>
        <v>Self-employed</v>
      </c>
      <c r="F921" t="s">
        <v>857</v>
      </c>
      <c r="G921" t="s">
        <v>168</v>
      </c>
      <c r="H921" t="str">
        <f>IFERROR(VLOOKUP(Transactions!G921,Merchants!A:B,2,FALSE),"Not Found")</f>
        <v>Quick Hub</v>
      </c>
      <c r="I921" s="9">
        <v>13655.67</v>
      </c>
      <c r="J921" s="3">
        <v>40.97</v>
      </c>
      <c r="K921" t="s">
        <v>90</v>
      </c>
      <c r="L921" t="s">
        <v>157</v>
      </c>
      <c r="M921" t="s">
        <v>111</v>
      </c>
      <c r="N921" t="s">
        <v>61</v>
      </c>
      <c r="O921" t="s">
        <v>62</v>
      </c>
      <c r="P921" t="str">
        <f t="shared" si="29"/>
        <v>High Value</v>
      </c>
      <c r="Q921" t="str">
        <f>VLOOKUP(G921,Merchants!A:C,3,TRUE)</f>
        <v>Utilities</v>
      </c>
    </row>
    <row r="922" spans="1:17" x14ac:dyDescent="0.3">
      <c r="A922" t="s">
        <v>1460</v>
      </c>
      <c r="B922" s="2">
        <v>45940.496782407397</v>
      </c>
      <c r="C922" s="2" t="str">
        <f t="shared" si="28"/>
        <v>Oct-2025</v>
      </c>
      <c r="D922" t="s">
        <v>227</v>
      </c>
      <c r="E922" t="str">
        <f>VLOOKUP(D922,Customers!A:H,7,0)</f>
        <v>Self-employed</v>
      </c>
      <c r="F922" t="s">
        <v>312</v>
      </c>
      <c r="G922" t="s">
        <v>237</v>
      </c>
      <c r="H922" t="str">
        <f>IFERROR(VLOOKUP(Transactions!G922,Merchants!A:B,2,FALSE),"Not Found")</f>
        <v>Metro Pay</v>
      </c>
      <c r="I922" s="9">
        <v>745.07</v>
      </c>
      <c r="J922" s="3">
        <v>3.73</v>
      </c>
      <c r="K922" t="s">
        <v>133</v>
      </c>
      <c r="L922" t="s">
        <v>59</v>
      </c>
      <c r="M922" t="s">
        <v>74</v>
      </c>
      <c r="N922" t="s">
        <v>67</v>
      </c>
      <c r="O922" t="s">
        <v>75</v>
      </c>
      <c r="P922" t="str">
        <f t="shared" si="29"/>
        <v>Standard</v>
      </c>
      <c r="Q922" t="str">
        <f>VLOOKUP(G922,Merchants!A:C,3,TRUE)</f>
        <v>Healthcare</v>
      </c>
    </row>
    <row r="923" spans="1:17" x14ac:dyDescent="0.3">
      <c r="A923" t="s">
        <v>1461</v>
      </c>
      <c r="B923" s="2">
        <v>45963.189421296287</v>
      </c>
      <c r="C923" s="2" t="str">
        <f t="shared" si="28"/>
        <v>Nov-2025</v>
      </c>
      <c r="D923" t="s">
        <v>255</v>
      </c>
      <c r="E923" t="str">
        <f>VLOOKUP(D923,Customers!A:H,7,0)</f>
        <v>Self-employed</v>
      </c>
      <c r="F923" t="s">
        <v>393</v>
      </c>
      <c r="G923" t="s">
        <v>201</v>
      </c>
      <c r="H923" t="str">
        <f>IFERROR(VLOOKUP(Transactions!G923,Merchants!A:B,2,FALSE),"Not Found")</f>
        <v>Urban Stores</v>
      </c>
      <c r="I923" s="9">
        <v>32521.439999999999</v>
      </c>
      <c r="J923" s="3">
        <v>97.56</v>
      </c>
      <c r="K923" t="s">
        <v>72</v>
      </c>
      <c r="L923" t="s">
        <v>59</v>
      </c>
      <c r="M923" t="s">
        <v>86</v>
      </c>
      <c r="N923" t="s">
        <v>61</v>
      </c>
      <c r="O923" t="s">
        <v>81</v>
      </c>
      <c r="P923" t="str">
        <f t="shared" si="29"/>
        <v>High Value</v>
      </c>
      <c r="Q923" t="str">
        <f>VLOOKUP(G923,Merchants!A:C,3,TRUE)</f>
        <v>Entertainment</v>
      </c>
    </row>
    <row r="924" spans="1:17" x14ac:dyDescent="0.3">
      <c r="A924" t="s">
        <v>1462</v>
      </c>
      <c r="B924" s="2">
        <v>45773.951018518521</v>
      </c>
      <c r="C924" s="2" t="str">
        <f t="shared" si="28"/>
        <v>Apr-2025</v>
      </c>
      <c r="D924" t="s">
        <v>599</v>
      </c>
      <c r="E924" t="str">
        <f>VLOOKUP(D924,Customers!A:H,7,0)</f>
        <v>Student</v>
      </c>
      <c r="F924" t="s">
        <v>696</v>
      </c>
      <c r="G924" t="s">
        <v>233</v>
      </c>
      <c r="H924" t="str">
        <f>IFERROR(VLOOKUP(Transactions!G924,Merchants!A:B,2,FALSE),"Not Found")</f>
        <v>Urban Retail</v>
      </c>
      <c r="I924" s="9">
        <v>28044.89</v>
      </c>
      <c r="J924" s="3">
        <v>280.45</v>
      </c>
      <c r="K924" t="s">
        <v>58</v>
      </c>
      <c r="L924" t="s">
        <v>59</v>
      </c>
      <c r="M924" t="s">
        <v>86</v>
      </c>
      <c r="N924" t="s">
        <v>61</v>
      </c>
      <c r="O924" t="s">
        <v>62</v>
      </c>
      <c r="P924" t="str">
        <f t="shared" si="29"/>
        <v>High Value</v>
      </c>
      <c r="Q924" t="str">
        <f>VLOOKUP(G924,Merchants!A:C,3,TRUE)</f>
        <v>Utilities</v>
      </c>
    </row>
    <row r="925" spans="1:17" x14ac:dyDescent="0.3">
      <c r="A925" t="s">
        <v>1463</v>
      </c>
      <c r="B925" s="2">
        <v>46164.656076388892</v>
      </c>
      <c r="C925" s="2" t="str">
        <f t="shared" si="28"/>
        <v>May-2026</v>
      </c>
      <c r="D925" t="s">
        <v>314</v>
      </c>
      <c r="E925" t="str">
        <f>VLOOKUP(D925,Customers!A:H,7,0)</f>
        <v>Business Owner</v>
      </c>
      <c r="F925" t="s">
        <v>200</v>
      </c>
      <c r="G925" t="s">
        <v>189</v>
      </c>
      <c r="H925" t="str">
        <f>IFERROR(VLOOKUP(Transactions!G925,Merchants!A:B,2,FALSE),"Not Found")</f>
        <v>Quick Services</v>
      </c>
      <c r="I925" s="9">
        <v>25358.28</v>
      </c>
      <c r="J925" s="3">
        <v>126.79</v>
      </c>
      <c r="K925" t="s">
        <v>133</v>
      </c>
      <c r="L925" t="s">
        <v>80</v>
      </c>
      <c r="M925" t="s">
        <v>60</v>
      </c>
      <c r="N925" t="s">
        <v>61</v>
      </c>
      <c r="O925" t="s">
        <v>81</v>
      </c>
      <c r="P925" t="str">
        <f t="shared" si="29"/>
        <v>High Value</v>
      </c>
      <c r="Q925" t="str">
        <f>VLOOKUP(G925,Merchants!A:C,3,TRUE)</f>
        <v>Food &amp; Dining</v>
      </c>
    </row>
    <row r="926" spans="1:17" x14ac:dyDescent="0.3">
      <c r="A926" t="s">
        <v>1464</v>
      </c>
      <c r="B926" s="2">
        <v>46023.12605324074</v>
      </c>
      <c r="C926" s="2" t="str">
        <f t="shared" si="28"/>
        <v>Jan-2026</v>
      </c>
      <c r="D926" t="s">
        <v>646</v>
      </c>
      <c r="E926" t="str">
        <f>VLOOKUP(D926,Customers!A:H,7,0)</f>
        <v>Business Owner</v>
      </c>
      <c r="F926" t="s">
        <v>1254</v>
      </c>
      <c r="G926" t="s">
        <v>318</v>
      </c>
      <c r="H926" t="str">
        <f>IFERROR(VLOOKUP(Transactions!G926,Merchants!A:B,2,FALSE),"Not Found")</f>
        <v>Urban Digital</v>
      </c>
      <c r="I926" s="9">
        <v>874.27</v>
      </c>
      <c r="J926" s="3">
        <v>8.74</v>
      </c>
      <c r="K926" t="s">
        <v>90</v>
      </c>
      <c r="L926" t="s">
        <v>80</v>
      </c>
      <c r="M926" t="s">
        <v>74</v>
      </c>
      <c r="N926" t="s">
        <v>61</v>
      </c>
      <c r="O926" t="s">
        <v>91</v>
      </c>
      <c r="P926" t="str">
        <f t="shared" si="29"/>
        <v>Standard</v>
      </c>
      <c r="Q926" t="str">
        <f>VLOOKUP(G926,Merchants!A:C,3,TRUE)</f>
        <v>Utilities</v>
      </c>
    </row>
    <row r="927" spans="1:17" x14ac:dyDescent="0.3">
      <c r="A927" t="s">
        <v>1465</v>
      </c>
      <c r="B927" s="2">
        <v>46157.850555555553</v>
      </c>
      <c r="C927" s="2" t="str">
        <f t="shared" si="28"/>
        <v>May-2026</v>
      </c>
      <c r="D927" t="s">
        <v>616</v>
      </c>
      <c r="E927" t="str">
        <f>VLOOKUP(D927,Customers!A:H,7,0)</f>
        <v>Business Owner</v>
      </c>
      <c r="F927" t="s">
        <v>1002</v>
      </c>
      <c r="G927" t="s">
        <v>244</v>
      </c>
      <c r="H927" t="str">
        <f>IFERROR(VLOOKUP(Transactions!G927,Merchants!A:B,2,FALSE),"Not Found")</f>
        <v>Blue Hub</v>
      </c>
      <c r="I927" s="9">
        <v>36437.769999999997</v>
      </c>
      <c r="J927" s="3">
        <v>364.38</v>
      </c>
      <c r="K927" t="s">
        <v>133</v>
      </c>
      <c r="L927" t="s">
        <v>59</v>
      </c>
      <c r="M927" t="s">
        <v>86</v>
      </c>
      <c r="N927" t="s">
        <v>67</v>
      </c>
      <c r="O927" t="s">
        <v>91</v>
      </c>
      <c r="P927" t="str">
        <f t="shared" si="29"/>
        <v>High Value</v>
      </c>
      <c r="Q927" t="str">
        <f>VLOOKUP(G927,Merchants!A:C,3,TRUE)</f>
        <v>Healthcare</v>
      </c>
    </row>
    <row r="928" spans="1:17" x14ac:dyDescent="0.3">
      <c r="A928" t="s">
        <v>1466</v>
      </c>
      <c r="B928" s="2">
        <v>45902.5471875</v>
      </c>
      <c r="C928" s="2" t="str">
        <f t="shared" si="28"/>
        <v>Sep-2025</v>
      </c>
      <c r="D928" t="s">
        <v>771</v>
      </c>
      <c r="E928" t="str">
        <f>VLOOKUP(D928,Customers!A:H,7,0)</f>
        <v>Salaried</v>
      </c>
      <c r="F928" t="s">
        <v>687</v>
      </c>
      <c r="G928" t="s">
        <v>175</v>
      </c>
      <c r="H928" t="str">
        <f>IFERROR(VLOOKUP(Transactions!G928,Merchants!A:B,2,FALSE),"Not Found")</f>
        <v>Fresh Mart</v>
      </c>
      <c r="I928" s="9">
        <v>34849.31</v>
      </c>
      <c r="J928" s="3">
        <v>348.49</v>
      </c>
      <c r="K928" t="s">
        <v>72</v>
      </c>
      <c r="L928" t="s">
        <v>80</v>
      </c>
      <c r="M928" t="s">
        <v>74</v>
      </c>
      <c r="N928" t="s">
        <v>61</v>
      </c>
      <c r="O928" t="s">
        <v>91</v>
      </c>
      <c r="P928" t="str">
        <f t="shared" si="29"/>
        <v>High Value</v>
      </c>
      <c r="Q928" t="str">
        <f>VLOOKUP(G928,Merchants!A:C,3,TRUE)</f>
        <v>Electronics</v>
      </c>
    </row>
    <row r="929" spans="1:17" x14ac:dyDescent="0.3">
      <c r="A929" t="s">
        <v>1467</v>
      </c>
      <c r="B929" s="2">
        <v>46066.952870370369</v>
      </c>
      <c r="C929" s="2" t="str">
        <f t="shared" si="28"/>
        <v>Feb-2026</v>
      </c>
      <c r="D929" t="s">
        <v>852</v>
      </c>
      <c r="E929" t="str">
        <f>VLOOKUP(D929,Customers!A:H,7,0)</f>
        <v>Business Owner</v>
      </c>
      <c r="F929" t="s">
        <v>627</v>
      </c>
      <c r="G929" t="s">
        <v>215</v>
      </c>
      <c r="H929" t="str">
        <f>IFERROR(VLOOKUP(Transactions!G929,Merchants!A:B,2,FALSE),"Not Found")</f>
        <v>Daily Hub</v>
      </c>
      <c r="I929" s="9">
        <v>44688.74</v>
      </c>
      <c r="J929" s="3">
        <v>89.38</v>
      </c>
      <c r="K929" t="s">
        <v>58</v>
      </c>
      <c r="L929" t="s">
        <v>59</v>
      </c>
      <c r="M929" t="s">
        <v>60</v>
      </c>
      <c r="N929" t="s">
        <v>67</v>
      </c>
      <c r="O929" t="s">
        <v>81</v>
      </c>
      <c r="P929" t="str">
        <f t="shared" si="29"/>
        <v>High Value</v>
      </c>
      <c r="Q929" t="str">
        <f>VLOOKUP(G929,Merchants!A:C,3,TRUE)</f>
        <v>Fashion</v>
      </c>
    </row>
    <row r="930" spans="1:17" x14ac:dyDescent="0.3">
      <c r="A930" t="s">
        <v>1468</v>
      </c>
      <c r="B930" s="2">
        <v>46080.043043981481</v>
      </c>
      <c r="C930" s="2" t="str">
        <f t="shared" si="28"/>
        <v>Feb-2026</v>
      </c>
      <c r="D930" t="s">
        <v>914</v>
      </c>
      <c r="E930" t="str">
        <f>VLOOKUP(D930,Customers!A:H,7,0)</f>
        <v>Student</v>
      </c>
      <c r="F930" t="s">
        <v>429</v>
      </c>
      <c r="G930" t="s">
        <v>128</v>
      </c>
      <c r="H930" t="str">
        <f>IFERROR(VLOOKUP(Transactions!G930,Merchants!A:B,2,FALSE),"Not Found")</f>
        <v>Blue Foods</v>
      </c>
      <c r="I930" s="9">
        <v>43770.54</v>
      </c>
      <c r="J930" s="3">
        <v>218.85</v>
      </c>
      <c r="K930" t="s">
        <v>72</v>
      </c>
      <c r="L930" t="s">
        <v>73</v>
      </c>
      <c r="M930" t="s">
        <v>60</v>
      </c>
      <c r="N930" t="s">
        <v>67</v>
      </c>
      <c r="O930" t="s">
        <v>81</v>
      </c>
      <c r="P930" t="str">
        <f t="shared" si="29"/>
        <v>High Value</v>
      </c>
      <c r="Q930" t="str">
        <f>VLOOKUP(G930,Merchants!A:C,3,TRUE)</f>
        <v>Food &amp; Dining</v>
      </c>
    </row>
    <row r="931" spans="1:17" x14ac:dyDescent="0.3">
      <c r="A931" t="s">
        <v>1469</v>
      </c>
      <c r="B931" s="2">
        <v>46114.072511574072</v>
      </c>
      <c r="C931" s="2" t="str">
        <f t="shared" si="28"/>
        <v>Apr-2026</v>
      </c>
      <c r="D931" t="s">
        <v>761</v>
      </c>
      <c r="E931" t="str">
        <f>VLOOKUP(D931,Customers!A:H,7,0)</f>
        <v>Salaried</v>
      </c>
      <c r="F931" t="s">
        <v>653</v>
      </c>
      <c r="G931" t="s">
        <v>164</v>
      </c>
      <c r="H931" t="str">
        <f>IFERROR(VLOOKUP(Transactions!G931,Merchants!A:B,2,FALSE),"Not Found")</f>
        <v>Green Foods</v>
      </c>
      <c r="I931" s="9">
        <v>19538.29</v>
      </c>
      <c r="J931" s="3">
        <v>97.69</v>
      </c>
      <c r="K931" t="s">
        <v>133</v>
      </c>
      <c r="L931" t="s">
        <v>80</v>
      </c>
      <c r="M931" t="s">
        <v>60</v>
      </c>
      <c r="N931" t="s">
        <v>61</v>
      </c>
      <c r="O931" t="s">
        <v>81</v>
      </c>
      <c r="P931" t="str">
        <f t="shared" si="29"/>
        <v>High Value</v>
      </c>
      <c r="Q931" t="str">
        <f>VLOOKUP(G931,Merchants!A:C,3,TRUE)</f>
        <v>Grocery</v>
      </c>
    </row>
    <row r="932" spans="1:17" x14ac:dyDescent="0.3">
      <c r="A932" t="s">
        <v>1470</v>
      </c>
      <c r="B932" s="2">
        <v>45834.758263888893</v>
      </c>
      <c r="C932" s="2" t="str">
        <f t="shared" si="28"/>
        <v>Jun-2025</v>
      </c>
      <c r="D932" t="s">
        <v>625</v>
      </c>
      <c r="E932" t="str">
        <f>VLOOKUP(D932,Customers!A:H,7,0)</f>
        <v>Student</v>
      </c>
      <c r="F932" t="s">
        <v>181</v>
      </c>
      <c r="G932" t="s">
        <v>263</v>
      </c>
      <c r="H932" t="str">
        <f>IFERROR(VLOOKUP(Transactions!G932,Merchants!A:B,2,FALSE),"Not Found")</f>
        <v>Urban Retail</v>
      </c>
      <c r="I932" s="9">
        <v>51413.120000000003</v>
      </c>
      <c r="J932" s="3">
        <v>154.24</v>
      </c>
      <c r="K932" t="s">
        <v>58</v>
      </c>
      <c r="L932" t="s">
        <v>59</v>
      </c>
      <c r="M932" t="s">
        <v>86</v>
      </c>
      <c r="N932" t="s">
        <v>61</v>
      </c>
      <c r="O932" t="s">
        <v>81</v>
      </c>
      <c r="P932" t="str">
        <f t="shared" si="29"/>
        <v>High Value</v>
      </c>
      <c r="Q932" t="str">
        <f>VLOOKUP(G932,Merchants!A:C,3,TRUE)</f>
        <v>Grocery</v>
      </c>
    </row>
    <row r="933" spans="1:17" x14ac:dyDescent="0.3">
      <c r="A933" t="s">
        <v>1471</v>
      </c>
      <c r="B933" s="2">
        <v>46294.754259259258</v>
      </c>
      <c r="C933" s="2" t="str">
        <f t="shared" si="28"/>
        <v>Sep-2026</v>
      </c>
      <c r="D933" t="s">
        <v>352</v>
      </c>
      <c r="E933" t="str">
        <f>VLOOKUP(D933,Customers!A:H,7,0)</f>
        <v>Self-employed</v>
      </c>
      <c r="F933" t="s">
        <v>380</v>
      </c>
      <c r="G933" t="s">
        <v>318</v>
      </c>
      <c r="H933" t="str">
        <f>IFERROR(VLOOKUP(Transactions!G933,Merchants!A:B,2,FALSE),"Not Found")</f>
        <v>Urban Digital</v>
      </c>
      <c r="I933" s="9">
        <v>38404.550000000003</v>
      </c>
      <c r="J933" s="3">
        <v>115.21</v>
      </c>
      <c r="K933" t="s">
        <v>72</v>
      </c>
      <c r="L933" t="s">
        <v>80</v>
      </c>
      <c r="M933" t="s">
        <v>60</v>
      </c>
      <c r="N933" t="s">
        <v>61</v>
      </c>
      <c r="O933" t="s">
        <v>81</v>
      </c>
      <c r="P933" t="str">
        <f t="shared" si="29"/>
        <v>High Value</v>
      </c>
      <c r="Q933" t="str">
        <f>VLOOKUP(G933,Merchants!A:C,3,TRUE)</f>
        <v>Utilities</v>
      </c>
    </row>
    <row r="934" spans="1:17" x14ac:dyDescent="0.3">
      <c r="A934" t="s">
        <v>1472</v>
      </c>
      <c r="B934" s="2">
        <v>45821.255682870367</v>
      </c>
      <c r="C934" s="2" t="str">
        <f t="shared" si="28"/>
        <v>Jun-2025</v>
      </c>
      <c r="D934" t="s">
        <v>392</v>
      </c>
      <c r="E934" t="str">
        <f>VLOOKUP(D934,Customers!A:H,7,0)</f>
        <v>Self-employed</v>
      </c>
      <c r="F934" t="s">
        <v>396</v>
      </c>
      <c r="G934" t="s">
        <v>156</v>
      </c>
      <c r="H934" t="str">
        <f>IFERROR(VLOOKUP(Transactions!G934,Merchants!A:B,2,FALSE),"Not Found")</f>
        <v>Blue Digital</v>
      </c>
      <c r="I934" s="9">
        <v>19433.310000000001</v>
      </c>
      <c r="J934" s="3">
        <v>97.17</v>
      </c>
      <c r="K934" t="s">
        <v>133</v>
      </c>
      <c r="L934" t="s">
        <v>59</v>
      </c>
      <c r="M934" t="s">
        <v>60</v>
      </c>
      <c r="N934" t="s">
        <v>67</v>
      </c>
      <c r="O934" t="s">
        <v>75</v>
      </c>
      <c r="P934" t="str">
        <f t="shared" si="29"/>
        <v>High Value</v>
      </c>
      <c r="Q934" t="str">
        <f>VLOOKUP(G934,Merchants!A:C,3,TRUE)</f>
        <v>Electronics</v>
      </c>
    </row>
    <row r="935" spans="1:17" x14ac:dyDescent="0.3">
      <c r="A935" t="s">
        <v>1473</v>
      </c>
      <c r="B935" s="2">
        <v>46291.115185185183</v>
      </c>
      <c r="C935" s="2" t="str">
        <f t="shared" si="28"/>
        <v>Sep-2026</v>
      </c>
      <c r="D935" t="s">
        <v>352</v>
      </c>
      <c r="E935" t="str">
        <f>VLOOKUP(D935,Customers!A:H,7,0)</f>
        <v>Self-employed</v>
      </c>
      <c r="F935" t="s">
        <v>1081</v>
      </c>
      <c r="G935" t="s">
        <v>201</v>
      </c>
      <c r="H935" t="str">
        <f>IFERROR(VLOOKUP(Transactions!G935,Merchants!A:B,2,FALSE),"Not Found")</f>
        <v>Urban Stores</v>
      </c>
      <c r="I935" s="9">
        <v>11997.31</v>
      </c>
      <c r="J935" s="3">
        <v>119.97</v>
      </c>
      <c r="K935" t="s">
        <v>133</v>
      </c>
      <c r="L935" t="s">
        <v>59</v>
      </c>
      <c r="M935" t="s">
        <v>60</v>
      </c>
      <c r="N935" t="s">
        <v>61</v>
      </c>
      <c r="O935" t="s">
        <v>62</v>
      </c>
      <c r="P935" t="str">
        <f t="shared" si="29"/>
        <v>High Value</v>
      </c>
      <c r="Q935" t="str">
        <f>VLOOKUP(G935,Merchants!A:C,3,TRUE)</f>
        <v>Entertainment</v>
      </c>
    </row>
    <row r="936" spans="1:17" x14ac:dyDescent="0.3">
      <c r="A936" t="s">
        <v>1474</v>
      </c>
      <c r="B936" s="2">
        <v>46052.157199074078</v>
      </c>
      <c r="C936" s="2" t="str">
        <f t="shared" si="28"/>
        <v>Jan-2026</v>
      </c>
      <c r="D936" t="s">
        <v>206</v>
      </c>
      <c r="E936" t="str">
        <f>VLOOKUP(D936,Customers!A:H,7,0)</f>
        <v>Business Owner</v>
      </c>
      <c r="F936" t="s">
        <v>627</v>
      </c>
      <c r="G936" t="s">
        <v>103</v>
      </c>
      <c r="H936" t="str">
        <f>IFERROR(VLOOKUP(Transactions!G936,Merchants!A:B,2,FALSE),"Not Found")</f>
        <v>Nova Pay</v>
      </c>
      <c r="I936" s="9">
        <v>50716.07</v>
      </c>
      <c r="J936" s="3">
        <v>253.58</v>
      </c>
      <c r="K936" t="s">
        <v>72</v>
      </c>
      <c r="L936" t="s">
        <v>80</v>
      </c>
      <c r="M936" t="s">
        <v>111</v>
      </c>
      <c r="N936" t="s">
        <v>61</v>
      </c>
      <c r="O936" t="s">
        <v>91</v>
      </c>
      <c r="P936" t="str">
        <f t="shared" si="29"/>
        <v>High Value</v>
      </c>
      <c r="Q936" t="str">
        <f>VLOOKUP(G936,Merchants!A:C,3,TRUE)</f>
        <v>Fashion</v>
      </c>
    </row>
    <row r="937" spans="1:17" x14ac:dyDescent="0.3">
      <c r="A937" t="s">
        <v>1475</v>
      </c>
      <c r="B937" s="2">
        <v>45909.831307870372</v>
      </c>
      <c r="C937" s="2" t="str">
        <f t="shared" si="28"/>
        <v>Sep-2025</v>
      </c>
      <c r="D937" t="s">
        <v>122</v>
      </c>
      <c r="E937" t="str">
        <f>VLOOKUP(D937,Customers!A:H,7,0)</f>
        <v>Self-employed</v>
      </c>
      <c r="F937" t="s">
        <v>696</v>
      </c>
      <c r="G937" t="s">
        <v>107</v>
      </c>
      <c r="H937" t="str">
        <f>IFERROR(VLOOKUP(Transactions!G937,Merchants!A:B,2,FALSE),"Not Found")</f>
        <v>Blue Services</v>
      </c>
      <c r="I937" s="9">
        <v>9385.2099999999991</v>
      </c>
      <c r="J937" s="3">
        <v>18.77</v>
      </c>
      <c r="K937" t="s">
        <v>90</v>
      </c>
      <c r="L937" t="s">
        <v>157</v>
      </c>
      <c r="M937" t="s">
        <v>111</v>
      </c>
      <c r="N937" t="s">
        <v>67</v>
      </c>
      <c r="O937" t="s">
        <v>75</v>
      </c>
      <c r="P937" t="str">
        <f t="shared" si="29"/>
        <v>High Value</v>
      </c>
      <c r="Q937" t="str">
        <f>VLOOKUP(G937,Merchants!A:C,3,TRUE)</f>
        <v>Travel</v>
      </c>
    </row>
    <row r="938" spans="1:17" x14ac:dyDescent="0.3">
      <c r="A938" t="s">
        <v>1476</v>
      </c>
      <c r="B938" s="2">
        <v>45879.220532407409</v>
      </c>
      <c r="C938" s="2" t="str">
        <f t="shared" si="28"/>
        <v>Aug-2025</v>
      </c>
      <c r="D938" t="s">
        <v>574</v>
      </c>
      <c r="E938" t="str">
        <f>VLOOKUP(D938,Customers!A:H,7,0)</f>
        <v>Salaried</v>
      </c>
      <c r="F938" t="s">
        <v>505</v>
      </c>
      <c r="G938" t="s">
        <v>250</v>
      </c>
      <c r="H938" t="str">
        <f>IFERROR(VLOOKUP(Transactions!G938,Merchants!A:B,2,FALSE),"Not Found")</f>
        <v>Fresh Hub</v>
      </c>
      <c r="I938" s="9">
        <v>843.86</v>
      </c>
      <c r="J938" s="3">
        <v>1.69</v>
      </c>
      <c r="K938" t="s">
        <v>96</v>
      </c>
      <c r="L938" t="s">
        <v>59</v>
      </c>
      <c r="M938" t="s">
        <v>111</v>
      </c>
      <c r="N938" t="s">
        <v>61</v>
      </c>
      <c r="O938" t="s">
        <v>62</v>
      </c>
      <c r="P938" t="str">
        <f t="shared" si="29"/>
        <v>Standard</v>
      </c>
      <c r="Q938" t="str">
        <f>VLOOKUP(G938,Merchants!A:C,3,TRUE)</f>
        <v>Healthcare</v>
      </c>
    </row>
    <row r="939" spans="1:17" x14ac:dyDescent="0.3">
      <c r="A939" t="s">
        <v>1477</v>
      </c>
      <c r="B939" s="2">
        <v>46189.881238425929</v>
      </c>
      <c r="C939" s="2" t="str">
        <f t="shared" si="28"/>
        <v>Jun-2026</v>
      </c>
      <c r="D939" t="s">
        <v>781</v>
      </c>
      <c r="E939" t="str">
        <f>VLOOKUP(D939,Customers!A:H,7,0)</f>
        <v>Self-employed</v>
      </c>
      <c r="F939" t="s">
        <v>459</v>
      </c>
      <c r="G939" t="s">
        <v>100</v>
      </c>
      <c r="H939" t="str">
        <f>IFERROR(VLOOKUP(Transactions!G939,Merchants!A:B,2,FALSE),"Not Found")</f>
        <v>Metro Stores</v>
      </c>
      <c r="I939" s="9">
        <v>24037.05</v>
      </c>
      <c r="J939" s="3">
        <v>240.37</v>
      </c>
      <c r="K939" t="s">
        <v>72</v>
      </c>
      <c r="L939" t="s">
        <v>59</v>
      </c>
      <c r="M939" t="s">
        <v>74</v>
      </c>
      <c r="N939" t="s">
        <v>61</v>
      </c>
      <c r="O939" t="s">
        <v>81</v>
      </c>
      <c r="P939" t="str">
        <f t="shared" si="29"/>
        <v>High Value</v>
      </c>
      <c r="Q939" t="str">
        <f>VLOOKUP(G939,Merchants!A:C,3,TRUE)</f>
        <v>Healthcare</v>
      </c>
    </row>
    <row r="940" spans="1:17" x14ac:dyDescent="0.3">
      <c r="A940" t="s">
        <v>1478</v>
      </c>
      <c r="B940" s="2">
        <v>45898.485682870371</v>
      </c>
      <c r="C940" s="2" t="str">
        <f t="shared" si="28"/>
        <v>Aug-2025</v>
      </c>
      <c r="D940" t="s">
        <v>295</v>
      </c>
      <c r="E940" t="str">
        <f>VLOOKUP(D940,Customers!A:H,7,0)</f>
        <v>Student</v>
      </c>
      <c r="F940" t="s">
        <v>886</v>
      </c>
      <c r="G940" t="s">
        <v>107</v>
      </c>
      <c r="H940" t="str">
        <f>IFERROR(VLOOKUP(Transactions!G940,Merchants!A:B,2,FALSE),"Not Found")</f>
        <v>Blue Services</v>
      </c>
      <c r="I940" s="9">
        <v>32468.11</v>
      </c>
      <c r="J940" s="3">
        <v>97.4</v>
      </c>
      <c r="K940" t="s">
        <v>90</v>
      </c>
      <c r="L940" t="s">
        <v>59</v>
      </c>
      <c r="M940" t="s">
        <v>111</v>
      </c>
      <c r="N940" t="s">
        <v>67</v>
      </c>
      <c r="O940" t="s">
        <v>75</v>
      </c>
      <c r="P940" t="str">
        <f t="shared" si="29"/>
        <v>High Value</v>
      </c>
      <c r="Q940" t="str">
        <f>VLOOKUP(G940,Merchants!A:C,3,TRUE)</f>
        <v>Travel</v>
      </c>
    </row>
    <row r="941" spans="1:17" x14ac:dyDescent="0.3">
      <c r="A941" t="s">
        <v>1479</v>
      </c>
      <c r="B941" s="2">
        <v>46206.47556712963</v>
      </c>
      <c r="C941" s="2" t="str">
        <f t="shared" si="28"/>
        <v>Jul-2026</v>
      </c>
      <c r="D941" t="s">
        <v>116</v>
      </c>
      <c r="E941" t="str">
        <f>VLOOKUP(D941,Customers!A:H,7,0)</f>
        <v>Business Owner</v>
      </c>
      <c r="F941" t="s">
        <v>687</v>
      </c>
      <c r="G941" t="s">
        <v>107</v>
      </c>
      <c r="H941" t="str">
        <f>IFERROR(VLOOKUP(Transactions!G941,Merchants!A:B,2,FALSE),"Not Found")</f>
        <v>Blue Services</v>
      </c>
      <c r="I941" s="9">
        <v>6377.98</v>
      </c>
      <c r="J941" s="3">
        <v>19.13</v>
      </c>
      <c r="K941" t="s">
        <v>133</v>
      </c>
      <c r="L941" t="s">
        <v>73</v>
      </c>
      <c r="M941" t="s">
        <v>111</v>
      </c>
      <c r="N941" t="s">
        <v>61</v>
      </c>
      <c r="O941" t="s">
        <v>81</v>
      </c>
      <c r="P941" t="str">
        <f t="shared" si="29"/>
        <v>High Value</v>
      </c>
      <c r="Q941" t="str">
        <f>VLOOKUP(G941,Merchants!A:C,3,TRUE)</f>
        <v>Travel</v>
      </c>
    </row>
    <row r="942" spans="1:17" x14ac:dyDescent="0.3">
      <c r="A942" t="s">
        <v>1480</v>
      </c>
      <c r="B942" s="2">
        <v>46246.080706018518</v>
      </c>
      <c r="C942" s="2" t="str">
        <f t="shared" si="28"/>
        <v>Aug-2026</v>
      </c>
      <c r="D942" t="s">
        <v>741</v>
      </c>
      <c r="E942" t="str">
        <f>VLOOKUP(D942,Customers!A:H,7,0)</f>
        <v>Salaried</v>
      </c>
      <c r="F942" t="s">
        <v>1027</v>
      </c>
      <c r="G942" t="s">
        <v>95</v>
      </c>
      <c r="H942" t="str">
        <f>IFERROR(VLOOKUP(Transactions!G942,Merchants!A:B,2,FALSE),"Not Found")</f>
        <v>Quick Pay</v>
      </c>
      <c r="I942" s="9">
        <v>27668.31</v>
      </c>
      <c r="J942" s="3">
        <v>276.68</v>
      </c>
      <c r="K942" t="s">
        <v>58</v>
      </c>
      <c r="L942" t="s">
        <v>59</v>
      </c>
      <c r="M942" t="s">
        <v>74</v>
      </c>
      <c r="N942" t="s">
        <v>67</v>
      </c>
      <c r="O942" t="s">
        <v>81</v>
      </c>
      <c r="P942" t="str">
        <f t="shared" si="29"/>
        <v>High Value</v>
      </c>
      <c r="Q942" t="str">
        <f>VLOOKUP(G942,Merchants!A:C,3,TRUE)</f>
        <v>Healthcare</v>
      </c>
    </row>
    <row r="943" spans="1:17" x14ac:dyDescent="0.3">
      <c r="A943" t="s">
        <v>1481</v>
      </c>
      <c r="B943" s="2">
        <v>46146.224328703713</v>
      </c>
      <c r="C943" s="2" t="str">
        <f t="shared" si="28"/>
        <v>May-2026</v>
      </c>
      <c r="D943" t="s">
        <v>582</v>
      </c>
      <c r="E943" t="str">
        <f>VLOOKUP(D943,Customers!A:H,7,0)</f>
        <v>Business Owner</v>
      </c>
      <c r="F943" t="s">
        <v>462</v>
      </c>
      <c r="G943" t="s">
        <v>783</v>
      </c>
      <c r="H943" t="str">
        <f>IFERROR(VLOOKUP(Transactions!G943,Merchants!A:B,2,FALSE),"Not Found")</f>
        <v>Daily Stores</v>
      </c>
      <c r="I943" s="9">
        <v>3920.23</v>
      </c>
      <c r="J943" s="3">
        <v>19.600000000000001</v>
      </c>
      <c r="K943" t="s">
        <v>133</v>
      </c>
      <c r="L943" t="s">
        <v>59</v>
      </c>
      <c r="M943" t="s">
        <v>74</v>
      </c>
      <c r="N943" t="s">
        <v>61</v>
      </c>
      <c r="O943" t="s">
        <v>62</v>
      </c>
      <c r="P943" t="str">
        <f t="shared" si="29"/>
        <v>High Value</v>
      </c>
      <c r="Q943" t="str">
        <f>VLOOKUP(G943,Merchants!A:C,3,TRUE)</f>
        <v>Entertainment</v>
      </c>
    </row>
    <row r="944" spans="1:17" x14ac:dyDescent="0.3">
      <c r="A944" t="s">
        <v>1482</v>
      </c>
      <c r="B944" s="2">
        <v>46063.326469907413</v>
      </c>
      <c r="C944" s="2" t="str">
        <f t="shared" si="28"/>
        <v>Feb-2026</v>
      </c>
      <c r="D944" t="s">
        <v>327</v>
      </c>
      <c r="E944" t="str">
        <f>VLOOKUP(D944,Customers!A:H,7,0)</f>
        <v>Salaried</v>
      </c>
      <c r="F944" t="s">
        <v>218</v>
      </c>
      <c r="G944" t="s">
        <v>71</v>
      </c>
      <c r="H944" t="str">
        <f>IFERROR(VLOOKUP(Transactions!G944,Merchants!A:B,2,FALSE),"Not Found")</f>
        <v>Metro Pay</v>
      </c>
      <c r="I944" s="9">
        <v>39741.870000000003</v>
      </c>
      <c r="J944" s="3">
        <v>198.71</v>
      </c>
      <c r="K944" t="s">
        <v>133</v>
      </c>
      <c r="L944" t="s">
        <v>59</v>
      </c>
      <c r="M944" t="s">
        <v>74</v>
      </c>
      <c r="N944" t="s">
        <v>67</v>
      </c>
      <c r="O944" t="s">
        <v>81</v>
      </c>
      <c r="P944" t="str">
        <f t="shared" si="29"/>
        <v>High Value</v>
      </c>
      <c r="Q944" t="str">
        <f>VLOOKUP(G944,Merchants!A:C,3,TRUE)</f>
        <v>Fashion</v>
      </c>
    </row>
    <row r="945" spans="1:17" x14ac:dyDescent="0.3">
      <c r="A945" t="s">
        <v>1483</v>
      </c>
      <c r="B945" s="2">
        <v>45664.924768518518</v>
      </c>
      <c r="C945" s="2" t="str">
        <f t="shared" si="28"/>
        <v>Jan-2025</v>
      </c>
      <c r="D945" t="s">
        <v>255</v>
      </c>
      <c r="E945" t="str">
        <f>VLOOKUP(D945,Customers!A:H,7,0)</f>
        <v>Self-employed</v>
      </c>
      <c r="F945" t="s">
        <v>336</v>
      </c>
      <c r="G945" t="s">
        <v>430</v>
      </c>
      <c r="H945" t="str">
        <f>IFERROR(VLOOKUP(Transactions!G945,Merchants!A:B,2,FALSE),"Not Found")</f>
        <v>Prime Foods</v>
      </c>
      <c r="I945" s="9">
        <v>3272.96</v>
      </c>
      <c r="J945" s="3">
        <v>6.55</v>
      </c>
      <c r="K945" t="s">
        <v>133</v>
      </c>
      <c r="L945" t="s">
        <v>80</v>
      </c>
      <c r="M945" t="s">
        <v>74</v>
      </c>
      <c r="N945" t="s">
        <v>67</v>
      </c>
      <c r="O945" t="s">
        <v>62</v>
      </c>
      <c r="P945" t="str">
        <f t="shared" si="29"/>
        <v>High Value</v>
      </c>
      <c r="Q945" t="str">
        <f>VLOOKUP(G945,Merchants!A:C,3,TRUE)</f>
        <v>Entertainment</v>
      </c>
    </row>
    <row r="946" spans="1:17" x14ac:dyDescent="0.3">
      <c r="A946" t="s">
        <v>1484</v>
      </c>
      <c r="B946" s="2">
        <v>45912.912534722222</v>
      </c>
      <c r="C946" s="2" t="str">
        <f t="shared" si="28"/>
        <v>Sep-2025</v>
      </c>
      <c r="D946" t="s">
        <v>203</v>
      </c>
      <c r="E946" t="str">
        <f>VLOOKUP(D946,Customers!A:H,7,0)</f>
        <v>Salaried</v>
      </c>
      <c r="F946" t="s">
        <v>253</v>
      </c>
      <c r="G946" t="s">
        <v>318</v>
      </c>
      <c r="H946" t="str">
        <f>IFERROR(VLOOKUP(Transactions!G946,Merchants!A:B,2,FALSE),"Not Found")</f>
        <v>Urban Digital</v>
      </c>
      <c r="I946" s="9">
        <v>46446.68</v>
      </c>
      <c r="J946" s="3">
        <v>139.34</v>
      </c>
      <c r="K946" t="s">
        <v>58</v>
      </c>
      <c r="L946" t="s">
        <v>157</v>
      </c>
      <c r="M946" t="s">
        <v>60</v>
      </c>
      <c r="N946" t="s">
        <v>67</v>
      </c>
      <c r="O946" t="s">
        <v>91</v>
      </c>
      <c r="P946" t="str">
        <f t="shared" si="29"/>
        <v>High Value</v>
      </c>
      <c r="Q946" t="str">
        <f>VLOOKUP(G946,Merchants!A:C,3,TRUE)</f>
        <v>Utilities</v>
      </c>
    </row>
    <row r="947" spans="1:17" x14ac:dyDescent="0.3">
      <c r="A947" t="s">
        <v>1485</v>
      </c>
      <c r="B947" s="2">
        <v>46071.870775462958</v>
      </c>
      <c r="C947" s="2" t="str">
        <f t="shared" si="28"/>
        <v>Feb-2026</v>
      </c>
      <c r="D947" t="s">
        <v>270</v>
      </c>
      <c r="E947" t="str">
        <f>VLOOKUP(D947,Customers!A:H,7,0)</f>
        <v>Business Owner</v>
      </c>
      <c r="F947" t="s">
        <v>139</v>
      </c>
      <c r="G947" t="s">
        <v>277</v>
      </c>
      <c r="H947" t="str">
        <f>IFERROR(VLOOKUP(Transactions!G947,Merchants!A:B,2,FALSE),"Not Found")</f>
        <v>Daily Digital</v>
      </c>
      <c r="I947" s="9">
        <v>42085.62</v>
      </c>
      <c r="J947" s="3">
        <v>420.86</v>
      </c>
      <c r="K947" t="s">
        <v>90</v>
      </c>
      <c r="L947" t="s">
        <v>80</v>
      </c>
      <c r="M947" t="s">
        <v>60</v>
      </c>
      <c r="N947" t="s">
        <v>67</v>
      </c>
      <c r="O947" t="s">
        <v>91</v>
      </c>
      <c r="P947" t="str">
        <f t="shared" si="29"/>
        <v>High Value</v>
      </c>
      <c r="Q947" t="str">
        <f>VLOOKUP(G947,Merchants!A:C,3,TRUE)</f>
        <v>Grocery</v>
      </c>
    </row>
    <row r="948" spans="1:17" x14ac:dyDescent="0.3">
      <c r="A948" t="s">
        <v>1486</v>
      </c>
      <c r="B948" s="2">
        <v>45976.538784722223</v>
      </c>
      <c r="C948" s="2" t="str">
        <f t="shared" si="28"/>
        <v>Nov-2025</v>
      </c>
      <c r="D948" t="s">
        <v>148</v>
      </c>
      <c r="E948" t="str">
        <f>VLOOKUP(D948,Customers!A:H,7,0)</f>
        <v>Salaried</v>
      </c>
      <c r="F948" t="s">
        <v>174</v>
      </c>
      <c r="G948" t="s">
        <v>215</v>
      </c>
      <c r="H948" t="str">
        <f>IFERROR(VLOOKUP(Transactions!G948,Merchants!A:B,2,FALSE),"Not Found")</f>
        <v>Daily Hub</v>
      </c>
      <c r="I948" s="9">
        <v>10726.92</v>
      </c>
      <c r="J948" s="3">
        <v>53.63</v>
      </c>
      <c r="K948" t="s">
        <v>72</v>
      </c>
      <c r="L948" t="s">
        <v>59</v>
      </c>
      <c r="M948" t="s">
        <v>74</v>
      </c>
      <c r="N948" t="s">
        <v>67</v>
      </c>
      <c r="O948" t="s">
        <v>62</v>
      </c>
      <c r="P948" t="str">
        <f t="shared" si="29"/>
        <v>High Value</v>
      </c>
      <c r="Q948" t="str">
        <f>VLOOKUP(G948,Merchants!A:C,3,TRUE)</f>
        <v>Fashion</v>
      </c>
    </row>
    <row r="949" spans="1:17" x14ac:dyDescent="0.3">
      <c r="A949" t="s">
        <v>1487</v>
      </c>
      <c r="B949" s="2">
        <v>46017.981863425928</v>
      </c>
      <c r="C949" s="2" t="str">
        <f t="shared" si="28"/>
        <v>Dec-2025</v>
      </c>
      <c r="D949" t="s">
        <v>227</v>
      </c>
      <c r="E949" t="str">
        <f>VLOOKUP(D949,Customers!A:H,7,0)</f>
        <v>Self-employed</v>
      </c>
      <c r="F949" t="s">
        <v>346</v>
      </c>
      <c r="G949" t="s">
        <v>783</v>
      </c>
      <c r="H949" t="str">
        <f>IFERROR(VLOOKUP(Transactions!G949,Merchants!A:B,2,FALSE),"Not Found")</f>
        <v>Daily Stores</v>
      </c>
      <c r="I949" s="9">
        <v>38017.14</v>
      </c>
      <c r="J949" s="3">
        <v>76.03</v>
      </c>
      <c r="K949" t="s">
        <v>133</v>
      </c>
      <c r="L949" t="s">
        <v>59</v>
      </c>
      <c r="M949" t="s">
        <v>86</v>
      </c>
      <c r="N949" t="s">
        <v>67</v>
      </c>
      <c r="O949" t="s">
        <v>81</v>
      </c>
      <c r="P949" t="str">
        <f t="shared" si="29"/>
        <v>High Value</v>
      </c>
      <c r="Q949" t="str">
        <f>VLOOKUP(G949,Merchants!A:C,3,TRUE)</f>
        <v>Entertainment</v>
      </c>
    </row>
    <row r="950" spans="1:17" x14ac:dyDescent="0.3">
      <c r="A950" t="s">
        <v>1488</v>
      </c>
      <c r="B950" s="2">
        <v>45755.255636574067</v>
      </c>
      <c r="C950" s="2" t="str">
        <f t="shared" si="28"/>
        <v>Apr-2025</v>
      </c>
      <c r="D950" t="s">
        <v>658</v>
      </c>
      <c r="E950" t="str">
        <f>VLOOKUP(D950,Customers!A:H,7,0)</f>
        <v>Self-employed</v>
      </c>
      <c r="F950" t="s">
        <v>1489</v>
      </c>
      <c r="G950" t="s">
        <v>366</v>
      </c>
      <c r="H950" t="str">
        <f>IFERROR(VLOOKUP(Transactions!G950,Merchants!A:B,2,FALSE),"Not Found")</f>
        <v>Smart Pay</v>
      </c>
      <c r="I950" s="9">
        <v>203.56</v>
      </c>
      <c r="J950" s="3">
        <v>0.41</v>
      </c>
      <c r="K950" t="s">
        <v>72</v>
      </c>
      <c r="L950" t="s">
        <v>157</v>
      </c>
      <c r="M950" t="s">
        <v>86</v>
      </c>
      <c r="N950" t="s">
        <v>61</v>
      </c>
      <c r="O950" t="s">
        <v>91</v>
      </c>
      <c r="P950" t="str">
        <f t="shared" si="29"/>
        <v>Standard</v>
      </c>
      <c r="Q950" t="str">
        <f>VLOOKUP(G950,Merchants!A:C,3,TRUE)</f>
        <v>Fashion</v>
      </c>
    </row>
    <row r="951" spans="1:17" x14ac:dyDescent="0.3">
      <c r="A951" t="s">
        <v>1490</v>
      </c>
      <c r="B951" s="2">
        <v>45834.285925925928</v>
      </c>
      <c r="C951" s="2" t="str">
        <f t="shared" si="28"/>
        <v>Jun-2025</v>
      </c>
      <c r="D951" t="s">
        <v>501</v>
      </c>
      <c r="E951" t="str">
        <f>VLOOKUP(D951,Customers!A:H,7,0)</f>
        <v>Salaried</v>
      </c>
      <c r="F951" t="s">
        <v>832</v>
      </c>
      <c r="G951" t="s">
        <v>128</v>
      </c>
      <c r="H951" t="str">
        <f>IFERROR(VLOOKUP(Transactions!G951,Merchants!A:B,2,FALSE),"Not Found")</f>
        <v>Blue Foods</v>
      </c>
      <c r="I951" s="9">
        <v>38225.26</v>
      </c>
      <c r="J951" s="3">
        <v>114.68</v>
      </c>
      <c r="K951" t="s">
        <v>90</v>
      </c>
      <c r="L951" t="s">
        <v>59</v>
      </c>
      <c r="M951" t="s">
        <v>60</v>
      </c>
      <c r="N951" t="s">
        <v>67</v>
      </c>
      <c r="O951" t="s">
        <v>75</v>
      </c>
      <c r="P951" t="str">
        <f t="shared" si="29"/>
        <v>High Value</v>
      </c>
      <c r="Q951" t="str">
        <f>VLOOKUP(G951,Merchants!A:C,3,TRUE)</f>
        <v>Food &amp; Dining</v>
      </c>
    </row>
    <row r="952" spans="1:17" x14ac:dyDescent="0.3">
      <c r="A952" t="s">
        <v>1491</v>
      </c>
      <c r="B952" s="2">
        <v>45839.769629629627</v>
      </c>
      <c r="C952" s="2" t="str">
        <f t="shared" si="28"/>
        <v>Jul-2025</v>
      </c>
      <c r="D952" t="s">
        <v>350</v>
      </c>
      <c r="E952" t="str">
        <f>VLOOKUP(D952,Customers!A:H,7,0)</f>
        <v>Business Owner</v>
      </c>
      <c r="F952" t="s">
        <v>698</v>
      </c>
      <c r="G952" t="s">
        <v>347</v>
      </c>
      <c r="H952" t="str">
        <f>IFERROR(VLOOKUP(Transactions!G952,Merchants!A:B,2,FALSE),"Not Found")</f>
        <v>Nova Hub</v>
      </c>
      <c r="I952" s="9">
        <v>9016.1</v>
      </c>
      <c r="J952" s="3">
        <v>18.03</v>
      </c>
      <c r="K952" t="s">
        <v>58</v>
      </c>
      <c r="L952" t="s">
        <v>73</v>
      </c>
      <c r="M952" t="s">
        <v>60</v>
      </c>
      <c r="N952" t="s">
        <v>61</v>
      </c>
      <c r="O952" t="s">
        <v>91</v>
      </c>
      <c r="P952" t="str">
        <f t="shared" si="29"/>
        <v>High Value</v>
      </c>
      <c r="Q952" t="str">
        <f>VLOOKUP(G952,Merchants!A:C,3,TRUE)</f>
        <v>Fuel</v>
      </c>
    </row>
    <row r="953" spans="1:17" x14ac:dyDescent="0.3">
      <c r="A953" t="s">
        <v>1492</v>
      </c>
      <c r="B953" s="2">
        <v>46015.273692129631</v>
      </c>
      <c r="C953" s="2" t="str">
        <f t="shared" si="28"/>
        <v>Dec-2025</v>
      </c>
      <c r="D953" t="s">
        <v>148</v>
      </c>
      <c r="E953" t="str">
        <f>VLOOKUP(D953,Customers!A:H,7,0)</f>
        <v>Salaried</v>
      </c>
      <c r="F953" t="s">
        <v>557</v>
      </c>
      <c r="G953" t="s">
        <v>382</v>
      </c>
      <c r="H953" t="str">
        <f>IFERROR(VLOOKUP(Transactions!G953,Merchants!A:B,2,FALSE),"Not Found")</f>
        <v>Fresh Foods</v>
      </c>
      <c r="I953" s="9">
        <v>35447.370000000003</v>
      </c>
      <c r="J953" s="3">
        <v>70.89</v>
      </c>
      <c r="K953" t="s">
        <v>90</v>
      </c>
      <c r="L953" t="s">
        <v>59</v>
      </c>
      <c r="M953" t="s">
        <v>60</v>
      </c>
      <c r="N953" t="s">
        <v>61</v>
      </c>
      <c r="O953" t="s">
        <v>75</v>
      </c>
      <c r="P953" t="str">
        <f t="shared" si="29"/>
        <v>High Value</v>
      </c>
      <c r="Q953" t="str">
        <f>VLOOKUP(G953,Merchants!A:C,3,TRUE)</f>
        <v>Healthcare</v>
      </c>
    </row>
    <row r="954" spans="1:17" x14ac:dyDescent="0.3">
      <c r="A954" t="s">
        <v>1493</v>
      </c>
      <c r="B954" s="2">
        <v>46116.176550925928</v>
      </c>
      <c r="C954" s="2" t="str">
        <f t="shared" si="28"/>
        <v>Apr-2026</v>
      </c>
      <c r="D954" t="s">
        <v>126</v>
      </c>
      <c r="E954" t="str">
        <f>VLOOKUP(D954,Customers!A:H,7,0)</f>
        <v>Student</v>
      </c>
      <c r="F954" t="s">
        <v>70</v>
      </c>
      <c r="G954" t="s">
        <v>192</v>
      </c>
      <c r="H954" t="str">
        <f>IFERROR(VLOOKUP(Transactions!G954,Merchants!A:B,2,FALSE),"Not Found")</f>
        <v>Blue Foods</v>
      </c>
      <c r="I954" s="9">
        <v>40155.43</v>
      </c>
      <c r="J954" s="3">
        <v>120.47</v>
      </c>
      <c r="K954" t="s">
        <v>96</v>
      </c>
      <c r="L954" t="s">
        <v>59</v>
      </c>
      <c r="M954" t="s">
        <v>111</v>
      </c>
      <c r="N954" t="s">
        <v>61</v>
      </c>
      <c r="O954" t="s">
        <v>91</v>
      </c>
      <c r="P954" t="str">
        <f t="shared" si="29"/>
        <v>High Value</v>
      </c>
      <c r="Q954" t="str">
        <f>VLOOKUP(G954,Merchants!A:C,3,TRUE)</f>
        <v>Travel</v>
      </c>
    </row>
    <row r="955" spans="1:17" x14ac:dyDescent="0.3">
      <c r="A955" t="s">
        <v>1494</v>
      </c>
      <c r="B955" s="2">
        <v>46024.088923611111</v>
      </c>
      <c r="C955" s="2" t="str">
        <f t="shared" si="28"/>
        <v>Jan-2026</v>
      </c>
      <c r="D955" t="s">
        <v>284</v>
      </c>
      <c r="E955" t="str">
        <f>VLOOKUP(D955,Customers!A:H,7,0)</f>
        <v>Student</v>
      </c>
      <c r="F955" t="s">
        <v>174</v>
      </c>
      <c r="G955" t="s">
        <v>85</v>
      </c>
      <c r="H955" t="str">
        <f>IFERROR(VLOOKUP(Transactions!G955,Merchants!A:B,2,FALSE),"Not Found")</f>
        <v>Metro Pay</v>
      </c>
      <c r="I955" s="9">
        <v>55004.97</v>
      </c>
      <c r="J955" s="3">
        <v>110.01</v>
      </c>
      <c r="K955" t="s">
        <v>72</v>
      </c>
      <c r="L955" t="s">
        <v>157</v>
      </c>
      <c r="M955" t="s">
        <v>74</v>
      </c>
      <c r="N955" t="s">
        <v>67</v>
      </c>
      <c r="O955" t="s">
        <v>81</v>
      </c>
      <c r="P955" t="str">
        <f t="shared" si="29"/>
        <v>High Value</v>
      </c>
      <c r="Q955" t="str">
        <f>VLOOKUP(G955,Merchants!A:C,3,TRUE)</f>
        <v>Travel</v>
      </c>
    </row>
    <row r="956" spans="1:17" x14ac:dyDescent="0.3">
      <c r="A956" t="s">
        <v>1495</v>
      </c>
      <c r="B956" s="2">
        <v>45986.205520833333</v>
      </c>
      <c r="C956" s="2" t="str">
        <f t="shared" si="28"/>
        <v>Nov-2025</v>
      </c>
      <c r="D956" t="s">
        <v>732</v>
      </c>
      <c r="E956" t="str">
        <f>VLOOKUP(D956,Customers!A:H,7,0)</f>
        <v>Self-employed</v>
      </c>
      <c r="F956" t="s">
        <v>797</v>
      </c>
      <c r="G956" t="s">
        <v>366</v>
      </c>
      <c r="H956" t="str">
        <f>IFERROR(VLOOKUP(Transactions!G956,Merchants!A:B,2,FALSE),"Not Found")</f>
        <v>Smart Pay</v>
      </c>
      <c r="I956" s="9">
        <v>26929.48</v>
      </c>
      <c r="J956" s="3">
        <v>269.29000000000002</v>
      </c>
      <c r="K956" t="s">
        <v>58</v>
      </c>
      <c r="L956" t="s">
        <v>59</v>
      </c>
      <c r="M956" t="s">
        <v>74</v>
      </c>
      <c r="N956" t="s">
        <v>67</v>
      </c>
      <c r="O956" t="s">
        <v>75</v>
      </c>
      <c r="P956" t="str">
        <f t="shared" si="29"/>
        <v>High Value</v>
      </c>
      <c r="Q956" t="str">
        <f>VLOOKUP(G956,Merchants!A:C,3,TRUE)</f>
        <v>Fashion</v>
      </c>
    </row>
    <row r="957" spans="1:17" x14ac:dyDescent="0.3">
      <c r="A957" t="s">
        <v>1496</v>
      </c>
      <c r="B957" s="2">
        <v>45764.487743055557</v>
      </c>
      <c r="C957" s="2" t="str">
        <f t="shared" si="28"/>
        <v>Apr-2025</v>
      </c>
      <c r="D957" t="s">
        <v>148</v>
      </c>
      <c r="E957" t="str">
        <f>VLOOKUP(D957,Customers!A:H,7,0)</f>
        <v>Salaried</v>
      </c>
      <c r="F957" t="s">
        <v>600</v>
      </c>
      <c r="G957" t="s">
        <v>132</v>
      </c>
      <c r="H957" t="str">
        <f>IFERROR(VLOOKUP(Transactions!G957,Merchants!A:B,2,FALSE),"Not Found")</f>
        <v>Metro Retail</v>
      </c>
      <c r="I957" s="9">
        <v>33719.050000000003</v>
      </c>
      <c r="J957" s="3">
        <v>168.6</v>
      </c>
      <c r="K957" t="s">
        <v>58</v>
      </c>
      <c r="L957" t="s">
        <v>59</v>
      </c>
      <c r="M957" t="s">
        <v>86</v>
      </c>
      <c r="N957" t="s">
        <v>67</v>
      </c>
      <c r="O957" t="s">
        <v>91</v>
      </c>
      <c r="P957" t="str">
        <f t="shared" si="29"/>
        <v>High Value</v>
      </c>
      <c r="Q957" t="str">
        <f>VLOOKUP(G957,Merchants!A:C,3,TRUE)</f>
        <v>Entertainment</v>
      </c>
    </row>
    <row r="958" spans="1:17" x14ac:dyDescent="0.3">
      <c r="A958" t="s">
        <v>1497</v>
      </c>
      <c r="B958" s="2">
        <v>45972.891203703701</v>
      </c>
      <c r="C958" s="2" t="str">
        <f t="shared" si="28"/>
        <v>Nov-2025</v>
      </c>
      <c r="D958" t="s">
        <v>847</v>
      </c>
      <c r="E958" t="str">
        <f>VLOOKUP(D958,Customers!A:H,7,0)</f>
        <v>Self-employed</v>
      </c>
      <c r="F958" t="s">
        <v>110</v>
      </c>
      <c r="G958" t="s">
        <v>607</v>
      </c>
      <c r="H958" t="str">
        <f>IFERROR(VLOOKUP(Transactions!G958,Merchants!A:B,2,FALSE),"Not Found")</f>
        <v>Daily Digital</v>
      </c>
      <c r="I958" s="9">
        <v>44896.3</v>
      </c>
      <c r="J958" s="3">
        <v>134.69</v>
      </c>
      <c r="K958" t="s">
        <v>133</v>
      </c>
      <c r="L958" t="s">
        <v>59</v>
      </c>
      <c r="M958" t="s">
        <v>86</v>
      </c>
      <c r="N958" t="s">
        <v>67</v>
      </c>
      <c r="O958" t="s">
        <v>81</v>
      </c>
      <c r="P958" t="str">
        <f t="shared" si="29"/>
        <v>High Value</v>
      </c>
      <c r="Q958" t="str">
        <f>VLOOKUP(G958,Merchants!A:C,3,TRUE)</f>
        <v>Healthcare</v>
      </c>
    </row>
    <row r="959" spans="1:17" x14ac:dyDescent="0.3">
      <c r="A959" t="s">
        <v>1498</v>
      </c>
      <c r="B959" s="2">
        <v>46052.285555555558</v>
      </c>
      <c r="C959" s="2" t="str">
        <f t="shared" si="28"/>
        <v>Jan-2026</v>
      </c>
      <c r="D959" t="s">
        <v>822</v>
      </c>
      <c r="E959" t="str">
        <f>VLOOKUP(D959,Customers!A:H,7,0)</f>
        <v>Student</v>
      </c>
      <c r="F959" t="s">
        <v>787</v>
      </c>
      <c r="G959" t="s">
        <v>215</v>
      </c>
      <c r="H959" t="str">
        <f>IFERROR(VLOOKUP(Transactions!G959,Merchants!A:B,2,FALSE),"Not Found")</f>
        <v>Daily Hub</v>
      </c>
      <c r="I959" s="9">
        <v>21170.76</v>
      </c>
      <c r="J959" s="3">
        <v>211.71</v>
      </c>
      <c r="K959" t="s">
        <v>133</v>
      </c>
      <c r="L959" t="s">
        <v>59</v>
      </c>
      <c r="M959" t="s">
        <v>60</v>
      </c>
      <c r="N959" t="s">
        <v>67</v>
      </c>
      <c r="O959" t="s">
        <v>62</v>
      </c>
      <c r="P959" t="str">
        <f t="shared" si="29"/>
        <v>High Value</v>
      </c>
      <c r="Q959" t="str">
        <f>VLOOKUP(G959,Merchants!A:C,3,TRUE)</f>
        <v>Fashion</v>
      </c>
    </row>
    <row r="960" spans="1:17" x14ac:dyDescent="0.3">
      <c r="A960" t="s">
        <v>1499</v>
      </c>
      <c r="B960" s="2">
        <v>45759.69363425926</v>
      </c>
      <c r="C960" s="2" t="str">
        <f t="shared" si="28"/>
        <v>Apr-2025</v>
      </c>
      <c r="D960" t="s">
        <v>255</v>
      </c>
      <c r="E960" t="str">
        <f>VLOOKUP(D960,Customers!A:H,7,0)</f>
        <v>Self-employed</v>
      </c>
      <c r="F960" t="s">
        <v>191</v>
      </c>
      <c r="G960" t="s">
        <v>57</v>
      </c>
      <c r="H960" t="str">
        <f>IFERROR(VLOOKUP(Transactions!G960,Merchants!A:B,2,FALSE),"Not Found")</f>
        <v>Daily Stores</v>
      </c>
      <c r="I960" s="9">
        <v>57002.86</v>
      </c>
      <c r="J960" s="3">
        <v>285.01</v>
      </c>
      <c r="K960" t="s">
        <v>96</v>
      </c>
      <c r="L960" t="s">
        <v>73</v>
      </c>
      <c r="M960" t="s">
        <v>111</v>
      </c>
      <c r="N960" t="s">
        <v>67</v>
      </c>
      <c r="O960" t="s">
        <v>91</v>
      </c>
      <c r="P960" t="str">
        <f t="shared" si="29"/>
        <v>High Value</v>
      </c>
      <c r="Q960" t="str">
        <f>VLOOKUP(G960,Merchants!A:C,3,TRUE)</f>
        <v>Travel</v>
      </c>
    </row>
    <row r="961" spans="1:17" x14ac:dyDescent="0.3">
      <c r="A961" t="s">
        <v>1500</v>
      </c>
      <c r="B961" s="2">
        <v>46048.3125462963</v>
      </c>
      <c r="C961" s="2" t="str">
        <f t="shared" si="28"/>
        <v>Jan-2026</v>
      </c>
      <c r="D961" t="s">
        <v>658</v>
      </c>
      <c r="E961" t="str">
        <f>VLOOKUP(D961,Customers!A:H,7,0)</f>
        <v>Self-employed</v>
      </c>
      <c r="F961" t="s">
        <v>200</v>
      </c>
      <c r="G961" t="s">
        <v>192</v>
      </c>
      <c r="H961" t="str">
        <f>IFERROR(VLOOKUP(Transactions!G961,Merchants!A:B,2,FALSE),"Not Found")</f>
        <v>Blue Foods</v>
      </c>
      <c r="I961" s="9">
        <v>54029.21</v>
      </c>
      <c r="J961" s="3">
        <v>270.14999999999998</v>
      </c>
      <c r="K961" t="s">
        <v>72</v>
      </c>
      <c r="L961" t="s">
        <v>59</v>
      </c>
      <c r="M961" t="s">
        <v>111</v>
      </c>
      <c r="N961" t="s">
        <v>61</v>
      </c>
      <c r="O961" t="s">
        <v>62</v>
      </c>
      <c r="P961" t="str">
        <f t="shared" si="29"/>
        <v>High Value</v>
      </c>
      <c r="Q961" t="str">
        <f>VLOOKUP(G961,Merchants!A:C,3,TRUE)</f>
        <v>Travel</v>
      </c>
    </row>
    <row r="962" spans="1:17" x14ac:dyDescent="0.3">
      <c r="A962" t="s">
        <v>1501</v>
      </c>
      <c r="B962" s="2">
        <v>46038.609780092593</v>
      </c>
      <c r="C962" s="2" t="str">
        <f t="shared" si="28"/>
        <v>Jan-2026</v>
      </c>
      <c r="D962" t="s">
        <v>350</v>
      </c>
      <c r="E962" t="str">
        <f>VLOOKUP(D962,Customers!A:H,7,0)</f>
        <v>Business Owner</v>
      </c>
      <c r="F962" t="s">
        <v>420</v>
      </c>
      <c r="G962" t="s">
        <v>189</v>
      </c>
      <c r="H962" t="str">
        <f>IFERROR(VLOOKUP(Transactions!G962,Merchants!A:B,2,FALSE),"Not Found")</f>
        <v>Quick Services</v>
      </c>
      <c r="I962" s="9">
        <v>2780.93</v>
      </c>
      <c r="J962" s="3">
        <v>8.34</v>
      </c>
      <c r="K962" t="s">
        <v>96</v>
      </c>
      <c r="L962" t="s">
        <v>59</v>
      </c>
      <c r="M962" t="s">
        <v>60</v>
      </c>
      <c r="N962" t="s">
        <v>67</v>
      </c>
      <c r="O962" t="s">
        <v>81</v>
      </c>
      <c r="P962" t="str">
        <f t="shared" si="29"/>
        <v>High Value</v>
      </c>
      <c r="Q962" t="str">
        <f>VLOOKUP(G962,Merchants!A:C,3,TRUE)</f>
        <v>Food &amp; Dining</v>
      </c>
    </row>
    <row r="963" spans="1:17" x14ac:dyDescent="0.3">
      <c r="A963" t="s">
        <v>1502</v>
      </c>
      <c r="B963" s="2">
        <v>46077.015509259261</v>
      </c>
      <c r="C963" s="2" t="str">
        <f t="shared" ref="C963:C1001" si="30">TEXT(B963,"mmm-yyyy")</f>
        <v>Feb-2026</v>
      </c>
      <c r="D963" t="s">
        <v>633</v>
      </c>
      <c r="E963" t="str">
        <f>VLOOKUP(D963,Customers!A:H,7,0)</f>
        <v>Student</v>
      </c>
      <c r="F963" t="s">
        <v>429</v>
      </c>
      <c r="G963" t="s">
        <v>318</v>
      </c>
      <c r="H963" t="str">
        <f>IFERROR(VLOOKUP(Transactions!G963,Merchants!A:B,2,FALSE),"Not Found")</f>
        <v>Urban Digital</v>
      </c>
      <c r="I963" s="9">
        <v>25011.65</v>
      </c>
      <c r="J963" s="3">
        <v>125.06</v>
      </c>
      <c r="K963" t="s">
        <v>72</v>
      </c>
      <c r="L963" t="s">
        <v>59</v>
      </c>
      <c r="M963" t="s">
        <v>86</v>
      </c>
      <c r="N963" t="s">
        <v>61</v>
      </c>
      <c r="O963" t="s">
        <v>91</v>
      </c>
      <c r="P963" t="str">
        <f t="shared" ref="P963:P1001" si="31">IF(I963&gt;=2500,"High Value","Standard")</f>
        <v>High Value</v>
      </c>
      <c r="Q963" t="str">
        <f>VLOOKUP(G963,Merchants!A:C,3,TRUE)</f>
        <v>Utilities</v>
      </c>
    </row>
    <row r="964" spans="1:17" x14ac:dyDescent="0.3">
      <c r="A964" t="s">
        <v>1503</v>
      </c>
      <c r="B964" s="2">
        <v>46117.195520833331</v>
      </c>
      <c r="C964" s="2" t="str">
        <f t="shared" si="30"/>
        <v>Apr-2026</v>
      </c>
      <c r="D964" t="s">
        <v>419</v>
      </c>
      <c r="E964" t="str">
        <f>VLOOKUP(D964,Customers!A:H,7,0)</f>
        <v>Student</v>
      </c>
      <c r="F964" t="s">
        <v>863</v>
      </c>
      <c r="G964" t="s">
        <v>318</v>
      </c>
      <c r="H964" t="str">
        <f>IFERROR(VLOOKUP(Transactions!G964,Merchants!A:B,2,FALSE),"Not Found")</f>
        <v>Urban Digital</v>
      </c>
      <c r="I964" s="9">
        <v>39811.49</v>
      </c>
      <c r="J964" s="3">
        <v>79.62</v>
      </c>
      <c r="K964" t="s">
        <v>58</v>
      </c>
      <c r="L964" t="s">
        <v>59</v>
      </c>
      <c r="M964" t="s">
        <v>111</v>
      </c>
      <c r="N964" t="s">
        <v>61</v>
      </c>
      <c r="O964" t="s">
        <v>62</v>
      </c>
      <c r="P964" t="str">
        <f t="shared" si="31"/>
        <v>High Value</v>
      </c>
      <c r="Q964" t="str">
        <f>VLOOKUP(G964,Merchants!A:C,3,TRUE)</f>
        <v>Utilities</v>
      </c>
    </row>
    <row r="965" spans="1:17" x14ac:dyDescent="0.3">
      <c r="A965" t="s">
        <v>1504</v>
      </c>
      <c r="B965" s="2">
        <v>45920.604085648149</v>
      </c>
      <c r="C965" s="2" t="str">
        <f t="shared" si="30"/>
        <v>Sep-2025</v>
      </c>
      <c r="D965" t="s">
        <v>287</v>
      </c>
      <c r="E965" t="str">
        <f>VLOOKUP(D965,Customers!A:H,7,0)</f>
        <v>Self-employed</v>
      </c>
      <c r="F965" t="s">
        <v>651</v>
      </c>
      <c r="G965" t="s">
        <v>124</v>
      </c>
      <c r="H965" t="str">
        <f>IFERROR(VLOOKUP(Transactions!G965,Merchants!A:B,2,FALSE),"Not Found")</f>
        <v>Daily Services</v>
      </c>
      <c r="I965" s="9">
        <v>17159.93</v>
      </c>
      <c r="J965" s="3">
        <v>85.8</v>
      </c>
      <c r="K965" t="s">
        <v>96</v>
      </c>
      <c r="L965" t="s">
        <v>59</v>
      </c>
      <c r="M965" t="s">
        <v>111</v>
      </c>
      <c r="N965" t="s">
        <v>67</v>
      </c>
      <c r="O965" t="s">
        <v>75</v>
      </c>
      <c r="P965" t="str">
        <f t="shared" si="31"/>
        <v>High Value</v>
      </c>
      <c r="Q965" t="str">
        <f>VLOOKUP(G965,Merchants!A:C,3,TRUE)</f>
        <v>Food &amp; Dining</v>
      </c>
    </row>
    <row r="966" spans="1:17" x14ac:dyDescent="0.3">
      <c r="A966" t="s">
        <v>1505</v>
      </c>
      <c r="B966" s="2">
        <v>45863.192835648151</v>
      </c>
      <c r="C966" s="2" t="str">
        <f t="shared" si="30"/>
        <v>Jul-2025</v>
      </c>
      <c r="D966" t="s">
        <v>287</v>
      </c>
      <c r="E966" t="str">
        <f>VLOOKUP(D966,Customers!A:H,7,0)</f>
        <v>Self-employed</v>
      </c>
      <c r="F966" t="s">
        <v>1317</v>
      </c>
      <c r="G966" t="s">
        <v>322</v>
      </c>
      <c r="H966" t="str">
        <f>IFERROR(VLOOKUP(Transactions!G966,Merchants!A:B,2,FALSE),"Not Found")</f>
        <v>Metro Pay</v>
      </c>
      <c r="I966" s="9">
        <v>31141.71</v>
      </c>
      <c r="J966" s="3">
        <v>311.42</v>
      </c>
      <c r="K966" t="s">
        <v>58</v>
      </c>
      <c r="L966" t="s">
        <v>59</v>
      </c>
      <c r="M966" t="s">
        <v>74</v>
      </c>
      <c r="N966" t="s">
        <v>67</v>
      </c>
      <c r="O966" t="s">
        <v>91</v>
      </c>
      <c r="P966" t="str">
        <f t="shared" si="31"/>
        <v>High Value</v>
      </c>
      <c r="Q966" t="str">
        <f>VLOOKUP(G966,Merchants!A:C,3,TRUE)</f>
        <v>Grocery</v>
      </c>
    </row>
    <row r="967" spans="1:17" x14ac:dyDescent="0.3">
      <c r="A967" t="s">
        <v>1506</v>
      </c>
      <c r="B967" s="2">
        <v>45727.366736111107</v>
      </c>
      <c r="C967" s="2" t="str">
        <f t="shared" si="30"/>
        <v>Mar-2025</v>
      </c>
      <c r="D967" t="s">
        <v>749</v>
      </c>
      <c r="E967" t="str">
        <f>VLOOKUP(D967,Customers!A:H,7,0)</f>
        <v>Self-employed</v>
      </c>
      <c r="F967" t="s">
        <v>972</v>
      </c>
      <c r="G967" t="s">
        <v>175</v>
      </c>
      <c r="H967" t="str">
        <f>IFERROR(VLOOKUP(Transactions!G967,Merchants!A:B,2,FALSE),"Not Found")</f>
        <v>Fresh Mart</v>
      </c>
      <c r="I967" s="9">
        <v>26213.32</v>
      </c>
      <c r="J967" s="3">
        <v>78.64</v>
      </c>
      <c r="K967" t="s">
        <v>133</v>
      </c>
      <c r="L967" t="s">
        <v>59</v>
      </c>
      <c r="M967" t="s">
        <v>111</v>
      </c>
      <c r="N967" t="s">
        <v>67</v>
      </c>
      <c r="O967" t="s">
        <v>81</v>
      </c>
      <c r="P967" t="str">
        <f t="shared" si="31"/>
        <v>High Value</v>
      </c>
      <c r="Q967" t="str">
        <f>VLOOKUP(G967,Merchants!A:C,3,TRUE)</f>
        <v>Electronics</v>
      </c>
    </row>
    <row r="968" spans="1:17" x14ac:dyDescent="0.3">
      <c r="A968" t="s">
        <v>1507</v>
      </c>
      <c r="B968" s="2">
        <v>45702.862881944442</v>
      </c>
      <c r="C968" s="2" t="str">
        <f t="shared" si="30"/>
        <v>Feb-2025</v>
      </c>
      <c r="D968" t="s">
        <v>289</v>
      </c>
      <c r="E968" t="str">
        <f>VLOOKUP(D968,Customers!A:H,7,0)</f>
        <v>Business Owner</v>
      </c>
      <c r="F968" t="s">
        <v>114</v>
      </c>
      <c r="G968" t="s">
        <v>554</v>
      </c>
      <c r="H968" t="str">
        <f>IFERROR(VLOOKUP(Transactions!G968,Merchants!A:B,2,FALSE),"Not Found")</f>
        <v>Green Pay</v>
      </c>
      <c r="I968" s="9">
        <v>951.25</v>
      </c>
      <c r="J968" s="3">
        <v>4.76</v>
      </c>
      <c r="K968" t="s">
        <v>90</v>
      </c>
      <c r="L968" t="s">
        <v>59</v>
      </c>
      <c r="M968" t="s">
        <v>86</v>
      </c>
      <c r="N968" t="s">
        <v>61</v>
      </c>
      <c r="O968" t="s">
        <v>75</v>
      </c>
      <c r="P968" t="str">
        <f t="shared" si="31"/>
        <v>Standard</v>
      </c>
      <c r="Q968" t="str">
        <f>VLOOKUP(G968,Merchants!A:C,3,TRUE)</f>
        <v>Utilities</v>
      </c>
    </row>
    <row r="969" spans="1:17" x14ac:dyDescent="0.3">
      <c r="A969" t="s">
        <v>1508</v>
      </c>
      <c r="B969" s="2">
        <v>45814.442673611113</v>
      </c>
      <c r="C969" s="2" t="str">
        <f t="shared" si="30"/>
        <v>Jun-2025</v>
      </c>
      <c r="D969" t="s">
        <v>170</v>
      </c>
      <c r="E969" t="str">
        <f>VLOOKUP(D969,Customers!A:H,7,0)</f>
        <v>Self-employed</v>
      </c>
      <c r="F969" t="s">
        <v>1275</v>
      </c>
      <c r="G969" t="s">
        <v>250</v>
      </c>
      <c r="H969" t="str">
        <f>IFERROR(VLOOKUP(Transactions!G969,Merchants!A:B,2,FALSE),"Not Found")</f>
        <v>Fresh Hub</v>
      </c>
      <c r="I969" s="9">
        <v>30385.119999999999</v>
      </c>
      <c r="J969" s="3">
        <v>91.16</v>
      </c>
      <c r="K969" t="s">
        <v>58</v>
      </c>
      <c r="L969" t="s">
        <v>59</v>
      </c>
      <c r="M969" t="s">
        <v>74</v>
      </c>
      <c r="N969" t="s">
        <v>67</v>
      </c>
      <c r="O969" t="s">
        <v>62</v>
      </c>
      <c r="P969" t="str">
        <f t="shared" si="31"/>
        <v>High Value</v>
      </c>
      <c r="Q969" t="str">
        <f>VLOOKUP(G969,Merchants!A:C,3,TRUE)</f>
        <v>Healthcare</v>
      </c>
    </row>
    <row r="970" spans="1:17" x14ac:dyDescent="0.3">
      <c r="A970" t="s">
        <v>1509</v>
      </c>
      <c r="B970" s="2">
        <v>46274.801828703698</v>
      </c>
      <c r="C970" s="2" t="str">
        <f t="shared" si="30"/>
        <v>Sep-2026</v>
      </c>
      <c r="D970" t="s">
        <v>298</v>
      </c>
      <c r="E970" t="str">
        <f>VLOOKUP(D970,Customers!A:H,7,0)</f>
        <v>Salaried</v>
      </c>
      <c r="F970" t="s">
        <v>1317</v>
      </c>
      <c r="G970" t="s">
        <v>128</v>
      </c>
      <c r="H970" t="str">
        <f>IFERROR(VLOOKUP(Transactions!G970,Merchants!A:B,2,FALSE),"Not Found")</f>
        <v>Blue Foods</v>
      </c>
      <c r="I970" s="9">
        <v>17339.61</v>
      </c>
      <c r="J970" s="3">
        <v>86.7</v>
      </c>
      <c r="K970" t="s">
        <v>58</v>
      </c>
      <c r="L970" t="s">
        <v>59</v>
      </c>
      <c r="M970" t="s">
        <v>74</v>
      </c>
      <c r="N970" t="s">
        <v>67</v>
      </c>
      <c r="O970" t="s">
        <v>62</v>
      </c>
      <c r="P970" t="str">
        <f t="shared" si="31"/>
        <v>High Value</v>
      </c>
      <c r="Q970" t="str">
        <f>VLOOKUP(G970,Merchants!A:C,3,TRUE)</f>
        <v>Food &amp; Dining</v>
      </c>
    </row>
    <row r="971" spans="1:17" x14ac:dyDescent="0.3">
      <c r="A971" t="s">
        <v>1510</v>
      </c>
      <c r="B971" s="2">
        <v>45987.561863425923</v>
      </c>
      <c r="C971" s="2" t="str">
        <f t="shared" si="30"/>
        <v>Nov-2025</v>
      </c>
      <c r="D971" t="s">
        <v>658</v>
      </c>
      <c r="E971" t="str">
        <f>VLOOKUP(D971,Customers!A:H,7,0)</f>
        <v>Self-employed</v>
      </c>
      <c r="F971" t="s">
        <v>204</v>
      </c>
      <c r="G971" t="s">
        <v>229</v>
      </c>
      <c r="H971" t="str">
        <f>IFERROR(VLOOKUP(Transactions!G971,Merchants!A:B,2,FALSE),"Not Found")</f>
        <v>Urban Services</v>
      </c>
      <c r="I971" s="9">
        <v>2401.96</v>
      </c>
      <c r="J971" s="3">
        <v>7.21</v>
      </c>
      <c r="K971" t="s">
        <v>133</v>
      </c>
      <c r="L971" t="s">
        <v>157</v>
      </c>
      <c r="M971" t="s">
        <v>86</v>
      </c>
      <c r="N971" t="s">
        <v>61</v>
      </c>
      <c r="O971" t="s">
        <v>91</v>
      </c>
      <c r="P971" t="str">
        <f t="shared" si="31"/>
        <v>Standard</v>
      </c>
      <c r="Q971" t="str">
        <f>VLOOKUP(G971,Merchants!A:C,3,TRUE)</f>
        <v>Fashion</v>
      </c>
    </row>
    <row r="972" spans="1:17" x14ac:dyDescent="0.3">
      <c r="A972" t="s">
        <v>1511</v>
      </c>
      <c r="B972" s="2">
        <v>45887.953125</v>
      </c>
      <c r="C972" s="2" t="str">
        <f t="shared" si="30"/>
        <v>Aug-2025</v>
      </c>
      <c r="D972" t="s">
        <v>398</v>
      </c>
      <c r="E972" t="str">
        <f>VLOOKUP(D972,Customers!A:H,7,0)</f>
        <v>Salaried</v>
      </c>
      <c r="F972" t="s">
        <v>282</v>
      </c>
      <c r="G972" t="s">
        <v>277</v>
      </c>
      <c r="H972" t="str">
        <f>IFERROR(VLOOKUP(Transactions!G972,Merchants!A:B,2,FALSE),"Not Found")</f>
        <v>Daily Digital</v>
      </c>
      <c r="I972" s="9">
        <v>2208.19</v>
      </c>
      <c r="J972" s="3">
        <v>4.42</v>
      </c>
      <c r="K972" t="s">
        <v>133</v>
      </c>
      <c r="L972" t="s">
        <v>59</v>
      </c>
      <c r="M972" t="s">
        <v>74</v>
      </c>
      <c r="N972" t="s">
        <v>61</v>
      </c>
      <c r="O972" t="s">
        <v>75</v>
      </c>
      <c r="P972" t="str">
        <f t="shared" si="31"/>
        <v>Standard</v>
      </c>
      <c r="Q972" t="str">
        <f>VLOOKUP(G972,Merchants!A:C,3,TRUE)</f>
        <v>Grocery</v>
      </c>
    </row>
    <row r="973" spans="1:17" x14ac:dyDescent="0.3">
      <c r="A973" t="s">
        <v>1512</v>
      </c>
      <c r="B973" s="2">
        <v>46118.360543981478</v>
      </c>
      <c r="C973" s="2" t="str">
        <f t="shared" si="30"/>
        <v>Apr-2026</v>
      </c>
      <c r="D973" t="s">
        <v>333</v>
      </c>
      <c r="E973" t="str">
        <f>VLOOKUP(D973,Customers!A:H,7,0)</f>
        <v>Student</v>
      </c>
      <c r="F973" t="s">
        <v>149</v>
      </c>
      <c r="G973" t="s">
        <v>277</v>
      </c>
      <c r="H973" t="str">
        <f>IFERROR(VLOOKUP(Transactions!G973,Merchants!A:B,2,FALSE),"Not Found")</f>
        <v>Daily Digital</v>
      </c>
      <c r="I973" s="9">
        <v>41004.58</v>
      </c>
      <c r="J973" s="3">
        <v>205.02</v>
      </c>
      <c r="K973" t="s">
        <v>90</v>
      </c>
      <c r="L973" t="s">
        <v>59</v>
      </c>
      <c r="M973" t="s">
        <v>74</v>
      </c>
      <c r="N973" t="s">
        <v>61</v>
      </c>
      <c r="O973" t="s">
        <v>62</v>
      </c>
      <c r="P973" t="str">
        <f t="shared" si="31"/>
        <v>High Value</v>
      </c>
      <c r="Q973" t="str">
        <f>VLOOKUP(G973,Merchants!A:C,3,TRUE)</f>
        <v>Grocery</v>
      </c>
    </row>
    <row r="974" spans="1:17" x14ac:dyDescent="0.3">
      <c r="A974" t="s">
        <v>1513</v>
      </c>
      <c r="B974" s="2">
        <v>45805.435173611113</v>
      </c>
      <c r="C974" s="2" t="str">
        <f t="shared" si="30"/>
        <v>May-2025</v>
      </c>
      <c r="D974" t="s">
        <v>356</v>
      </c>
      <c r="E974" t="str">
        <f>VLOOKUP(D974,Customers!A:H,7,0)</f>
        <v>Self-employed</v>
      </c>
      <c r="F974" t="s">
        <v>393</v>
      </c>
      <c r="G974" t="s">
        <v>95</v>
      </c>
      <c r="H974" t="str">
        <f>IFERROR(VLOOKUP(Transactions!G974,Merchants!A:B,2,FALSE),"Not Found")</f>
        <v>Quick Pay</v>
      </c>
      <c r="I974" s="9">
        <v>38261.879999999997</v>
      </c>
      <c r="J974" s="3">
        <v>382.62</v>
      </c>
      <c r="K974" t="s">
        <v>72</v>
      </c>
      <c r="L974" t="s">
        <v>59</v>
      </c>
      <c r="M974" t="s">
        <v>86</v>
      </c>
      <c r="N974" t="s">
        <v>61</v>
      </c>
      <c r="O974" t="s">
        <v>81</v>
      </c>
      <c r="P974" t="str">
        <f t="shared" si="31"/>
        <v>High Value</v>
      </c>
      <c r="Q974" t="str">
        <f>VLOOKUP(G974,Merchants!A:C,3,TRUE)</f>
        <v>Healthcare</v>
      </c>
    </row>
    <row r="975" spans="1:17" x14ac:dyDescent="0.3">
      <c r="A975" t="s">
        <v>1514</v>
      </c>
      <c r="B975" s="2">
        <v>45805.06454861111</v>
      </c>
      <c r="C975" s="2" t="str">
        <f t="shared" si="30"/>
        <v>May-2025</v>
      </c>
      <c r="D975" t="s">
        <v>521</v>
      </c>
      <c r="E975" t="str">
        <f>VLOOKUP(D975,Customers!A:H,7,0)</f>
        <v>Self-employed</v>
      </c>
      <c r="F975" t="s">
        <v>325</v>
      </c>
      <c r="G975" t="s">
        <v>237</v>
      </c>
      <c r="H975" t="str">
        <f>IFERROR(VLOOKUP(Transactions!G975,Merchants!A:B,2,FALSE),"Not Found")</f>
        <v>Metro Pay</v>
      </c>
      <c r="I975" s="9">
        <v>27649.93</v>
      </c>
      <c r="J975" s="3">
        <v>82.95</v>
      </c>
      <c r="K975" t="s">
        <v>72</v>
      </c>
      <c r="L975" t="s">
        <v>80</v>
      </c>
      <c r="M975" t="s">
        <v>111</v>
      </c>
      <c r="N975" t="s">
        <v>61</v>
      </c>
      <c r="O975" t="s">
        <v>75</v>
      </c>
      <c r="P975" t="str">
        <f t="shared" si="31"/>
        <v>High Value</v>
      </c>
      <c r="Q975" t="str">
        <f>VLOOKUP(G975,Merchants!A:C,3,TRUE)</f>
        <v>Healthcare</v>
      </c>
    </row>
    <row r="976" spans="1:17" x14ac:dyDescent="0.3">
      <c r="A976" t="s">
        <v>1515</v>
      </c>
      <c r="B976" s="2">
        <v>46085.69871527778</v>
      </c>
      <c r="C976" s="2" t="str">
        <f t="shared" si="30"/>
        <v>Mar-2026</v>
      </c>
      <c r="D976" t="s">
        <v>166</v>
      </c>
      <c r="E976" t="str">
        <f>VLOOKUP(D976,Customers!A:H,7,0)</f>
        <v>Business Owner</v>
      </c>
      <c r="F976" t="s">
        <v>487</v>
      </c>
      <c r="G976" t="s">
        <v>201</v>
      </c>
      <c r="H976" t="str">
        <f>IFERROR(VLOOKUP(Transactions!G976,Merchants!A:B,2,FALSE),"Not Found")</f>
        <v>Urban Stores</v>
      </c>
      <c r="I976" s="9">
        <v>44033.61</v>
      </c>
      <c r="J976" s="3">
        <v>440.34</v>
      </c>
      <c r="K976" t="s">
        <v>72</v>
      </c>
      <c r="L976" t="s">
        <v>59</v>
      </c>
      <c r="M976" t="s">
        <v>74</v>
      </c>
      <c r="N976" t="s">
        <v>67</v>
      </c>
      <c r="O976" t="s">
        <v>62</v>
      </c>
      <c r="P976" t="str">
        <f t="shared" si="31"/>
        <v>High Value</v>
      </c>
      <c r="Q976" t="str">
        <f>VLOOKUP(G976,Merchants!A:C,3,TRUE)</f>
        <v>Entertainment</v>
      </c>
    </row>
    <row r="977" spans="1:17" x14ac:dyDescent="0.3">
      <c r="A977" t="s">
        <v>1516</v>
      </c>
      <c r="B977" s="2">
        <v>45909.329131944447</v>
      </c>
      <c r="C977" s="2" t="str">
        <f t="shared" si="30"/>
        <v>Sep-2025</v>
      </c>
      <c r="D977" t="s">
        <v>166</v>
      </c>
      <c r="E977" t="str">
        <f>VLOOKUP(D977,Customers!A:H,7,0)</f>
        <v>Business Owner</v>
      </c>
      <c r="F977" t="s">
        <v>89</v>
      </c>
      <c r="G977" t="s">
        <v>66</v>
      </c>
      <c r="H977" t="str">
        <f>IFERROR(VLOOKUP(Transactions!G977,Merchants!A:B,2,FALSE),"Not Found")</f>
        <v>Prime Digital</v>
      </c>
      <c r="I977" s="9">
        <v>42784.13</v>
      </c>
      <c r="J977" s="3">
        <v>213.92</v>
      </c>
      <c r="K977" t="s">
        <v>72</v>
      </c>
      <c r="L977" t="s">
        <v>59</v>
      </c>
      <c r="M977" t="s">
        <v>60</v>
      </c>
      <c r="N977" t="s">
        <v>67</v>
      </c>
      <c r="O977" t="s">
        <v>75</v>
      </c>
      <c r="P977" t="str">
        <f t="shared" si="31"/>
        <v>High Value</v>
      </c>
      <c r="Q977" t="str">
        <f>VLOOKUP(G977,Merchants!A:C,3,TRUE)</f>
        <v>Fuel</v>
      </c>
    </row>
    <row r="978" spans="1:17" x14ac:dyDescent="0.3">
      <c r="A978" t="s">
        <v>1517</v>
      </c>
      <c r="B978" s="2">
        <v>45802.713356481479</v>
      </c>
      <c r="C978" s="2" t="str">
        <f t="shared" si="30"/>
        <v>May-2025</v>
      </c>
      <c r="D978" t="s">
        <v>350</v>
      </c>
      <c r="E978" t="str">
        <f>VLOOKUP(D978,Customers!A:H,7,0)</f>
        <v>Business Owner</v>
      </c>
      <c r="F978" t="s">
        <v>604</v>
      </c>
      <c r="G978" t="s">
        <v>607</v>
      </c>
      <c r="H978" t="str">
        <f>IFERROR(VLOOKUP(Transactions!G978,Merchants!A:B,2,FALSE),"Not Found")</f>
        <v>Daily Digital</v>
      </c>
      <c r="I978" s="9">
        <v>6608.15</v>
      </c>
      <c r="J978" s="3">
        <v>33.04</v>
      </c>
      <c r="K978" t="s">
        <v>90</v>
      </c>
      <c r="L978" t="s">
        <v>80</v>
      </c>
      <c r="M978" t="s">
        <v>111</v>
      </c>
      <c r="N978" t="s">
        <v>61</v>
      </c>
      <c r="O978" t="s">
        <v>62</v>
      </c>
      <c r="P978" t="str">
        <f t="shared" si="31"/>
        <v>High Value</v>
      </c>
      <c r="Q978" t="str">
        <f>VLOOKUP(G978,Merchants!A:C,3,TRUE)</f>
        <v>Healthcare</v>
      </c>
    </row>
    <row r="979" spans="1:17" x14ac:dyDescent="0.3">
      <c r="A979" t="s">
        <v>1518</v>
      </c>
      <c r="B979" s="2">
        <v>46051.785057870373</v>
      </c>
      <c r="C979" s="2" t="str">
        <f t="shared" si="30"/>
        <v>Jan-2026</v>
      </c>
      <c r="D979" t="s">
        <v>759</v>
      </c>
      <c r="E979" t="str">
        <f>VLOOKUP(D979,Customers!A:H,7,0)</f>
        <v>Business Owner</v>
      </c>
      <c r="F979" t="s">
        <v>485</v>
      </c>
      <c r="G979" t="s">
        <v>366</v>
      </c>
      <c r="H979" t="str">
        <f>IFERROR(VLOOKUP(Transactions!G979,Merchants!A:B,2,FALSE),"Not Found")</f>
        <v>Smart Pay</v>
      </c>
      <c r="I979" s="9">
        <v>25963.85</v>
      </c>
      <c r="J979" s="3">
        <v>51.93</v>
      </c>
      <c r="K979" t="s">
        <v>133</v>
      </c>
      <c r="L979" t="s">
        <v>157</v>
      </c>
      <c r="M979" t="s">
        <v>111</v>
      </c>
      <c r="N979" t="s">
        <v>61</v>
      </c>
      <c r="O979" t="s">
        <v>62</v>
      </c>
      <c r="P979" t="str">
        <f t="shared" si="31"/>
        <v>High Value</v>
      </c>
      <c r="Q979" t="str">
        <f>VLOOKUP(G979,Merchants!A:C,3,TRUE)</f>
        <v>Fashion</v>
      </c>
    </row>
    <row r="980" spans="1:17" x14ac:dyDescent="0.3">
      <c r="A980" t="s">
        <v>1519</v>
      </c>
      <c r="B980" s="2">
        <v>46069.872395833343</v>
      </c>
      <c r="C980" s="2" t="str">
        <f t="shared" si="30"/>
        <v>Feb-2026</v>
      </c>
      <c r="D980" t="s">
        <v>625</v>
      </c>
      <c r="E980" t="str">
        <f>VLOOKUP(D980,Customers!A:H,7,0)</f>
        <v>Student</v>
      </c>
      <c r="F980" t="s">
        <v>544</v>
      </c>
      <c r="G980" t="s">
        <v>192</v>
      </c>
      <c r="H980" t="str">
        <f>IFERROR(VLOOKUP(Transactions!G980,Merchants!A:B,2,FALSE),"Not Found")</f>
        <v>Blue Foods</v>
      </c>
      <c r="I980" s="9">
        <v>46933.35</v>
      </c>
      <c r="J980" s="3">
        <v>469.33</v>
      </c>
      <c r="K980" t="s">
        <v>90</v>
      </c>
      <c r="L980" t="s">
        <v>59</v>
      </c>
      <c r="M980" t="s">
        <v>74</v>
      </c>
      <c r="N980" t="s">
        <v>61</v>
      </c>
      <c r="O980" t="s">
        <v>91</v>
      </c>
      <c r="P980" t="str">
        <f t="shared" si="31"/>
        <v>High Value</v>
      </c>
      <c r="Q980" t="str">
        <f>VLOOKUP(G980,Merchants!A:C,3,TRUE)</f>
        <v>Travel</v>
      </c>
    </row>
    <row r="981" spans="1:17" x14ac:dyDescent="0.3">
      <c r="A981" t="s">
        <v>1520</v>
      </c>
      <c r="B981" s="2">
        <v>45757.099143518521</v>
      </c>
      <c r="C981" s="2" t="str">
        <f t="shared" si="30"/>
        <v>Apr-2025</v>
      </c>
      <c r="D981" t="s">
        <v>327</v>
      </c>
      <c r="E981" t="str">
        <f>VLOOKUP(D981,Customers!A:H,7,0)</f>
        <v>Salaried</v>
      </c>
      <c r="F981" t="s">
        <v>726</v>
      </c>
      <c r="G981" t="s">
        <v>103</v>
      </c>
      <c r="H981" t="str">
        <f>IFERROR(VLOOKUP(Transactions!G981,Merchants!A:B,2,FALSE),"Not Found")</f>
        <v>Nova Pay</v>
      </c>
      <c r="I981" s="9">
        <v>5236.43</v>
      </c>
      <c r="J981" s="3">
        <v>10.47</v>
      </c>
      <c r="K981" t="s">
        <v>72</v>
      </c>
      <c r="L981" t="s">
        <v>59</v>
      </c>
      <c r="M981" t="s">
        <v>60</v>
      </c>
      <c r="N981" t="s">
        <v>67</v>
      </c>
      <c r="O981" t="s">
        <v>62</v>
      </c>
      <c r="P981" t="str">
        <f t="shared" si="31"/>
        <v>High Value</v>
      </c>
      <c r="Q981" t="str">
        <f>VLOOKUP(G981,Merchants!A:C,3,TRUE)</f>
        <v>Fashion</v>
      </c>
    </row>
    <row r="982" spans="1:17" x14ac:dyDescent="0.3">
      <c r="A982" t="s">
        <v>1521</v>
      </c>
      <c r="B982" s="2">
        <v>45876.466574074067</v>
      </c>
      <c r="C982" s="2" t="str">
        <f t="shared" si="30"/>
        <v>Aug-2025</v>
      </c>
      <c r="D982" t="s">
        <v>217</v>
      </c>
      <c r="E982" t="str">
        <f>VLOOKUP(D982,Customers!A:H,7,0)</f>
        <v>Self-employed</v>
      </c>
      <c r="F982" t="s">
        <v>200</v>
      </c>
      <c r="G982" t="s">
        <v>250</v>
      </c>
      <c r="H982" t="str">
        <f>IFERROR(VLOOKUP(Transactions!G982,Merchants!A:B,2,FALSE),"Not Found")</f>
        <v>Fresh Hub</v>
      </c>
      <c r="I982" s="9">
        <v>50456.639999999999</v>
      </c>
      <c r="J982" s="3">
        <v>252.28</v>
      </c>
      <c r="K982" t="s">
        <v>96</v>
      </c>
      <c r="L982" t="s">
        <v>59</v>
      </c>
      <c r="M982" t="s">
        <v>60</v>
      </c>
      <c r="N982" t="s">
        <v>67</v>
      </c>
      <c r="O982" t="s">
        <v>81</v>
      </c>
      <c r="P982" t="str">
        <f t="shared" si="31"/>
        <v>High Value</v>
      </c>
      <c r="Q982" t="str">
        <f>VLOOKUP(G982,Merchants!A:C,3,TRUE)</f>
        <v>Healthcare</v>
      </c>
    </row>
    <row r="983" spans="1:17" x14ac:dyDescent="0.3">
      <c r="A983" t="s">
        <v>1522</v>
      </c>
      <c r="B983" s="2">
        <v>45968.153969907413</v>
      </c>
      <c r="C983" s="2" t="str">
        <f t="shared" si="30"/>
        <v>Nov-2025</v>
      </c>
      <c r="D983" t="s">
        <v>761</v>
      </c>
      <c r="E983" t="str">
        <f>VLOOKUP(D983,Customers!A:H,7,0)</f>
        <v>Salaried</v>
      </c>
      <c r="F983" t="s">
        <v>405</v>
      </c>
      <c r="G983" t="s">
        <v>124</v>
      </c>
      <c r="H983" t="str">
        <f>IFERROR(VLOOKUP(Transactions!G983,Merchants!A:B,2,FALSE),"Not Found")</f>
        <v>Daily Services</v>
      </c>
      <c r="I983" s="9">
        <v>48159.92</v>
      </c>
      <c r="J983" s="3">
        <v>144.47999999999999</v>
      </c>
      <c r="K983" t="s">
        <v>133</v>
      </c>
      <c r="L983" t="s">
        <v>59</v>
      </c>
      <c r="M983" t="s">
        <v>74</v>
      </c>
      <c r="N983" t="s">
        <v>67</v>
      </c>
      <c r="O983" t="s">
        <v>75</v>
      </c>
      <c r="P983" t="str">
        <f t="shared" si="31"/>
        <v>High Value</v>
      </c>
      <c r="Q983" t="str">
        <f>VLOOKUP(G983,Merchants!A:C,3,TRUE)</f>
        <v>Food &amp; Dining</v>
      </c>
    </row>
    <row r="984" spans="1:17" x14ac:dyDescent="0.3">
      <c r="A984" t="s">
        <v>1523</v>
      </c>
      <c r="B984" s="2">
        <v>45945.378333333327</v>
      </c>
      <c r="C984" s="2" t="str">
        <f t="shared" si="30"/>
        <v>Oct-2025</v>
      </c>
      <c r="D984" t="s">
        <v>749</v>
      </c>
      <c r="E984" t="str">
        <f>VLOOKUP(D984,Customers!A:H,7,0)</f>
        <v>Self-employed</v>
      </c>
      <c r="F984" t="s">
        <v>832</v>
      </c>
      <c r="G984" t="s">
        <v>175</v>
      </c>
      <c r="H984" t="str">
        <f>IFERROR(VLOOKUP(Transactions!G984,Merchants!A:B,2,FALSE),"Not Found")</f>
        <v>Fresh Mart</v>
      </c>
      <c r="I984" s="9">
        <v>58569.87</v>
      </c>
      <c r="J984" s="3">
        <v>175.71</v>
      </c>
      <c r="K984" t="s">
        <v>90</v>
      </c>
      <c r="L984" t="s">
        <v>80</v>
      </c>
      <c r="M984" t="s">
        <v>74</v>
      </c>
      <c r="N984" t="s">
        <v>61</v>
      </c>
      <c r="O984" t="s">
        <v>75</v>
      </c>
      <c r="P984" t="str">
        <f t="shared" si="31"/>
        <v>High Value</v>
      </c>
      <c r="Q984" t="str">
        <f>VLOOKUP(G984,Merchants!A:C,3,TRUE)</f>
        <v>Electronics</v>
      </c>
    </row>
    <row r="985" spans="1:17" x14ac:dyDescent="0.3">
      <c r="A985" t="s">
        <v>1524</v>
      </c>
      <c r="B985" s="2">
        <v>46146.258587962962</v>
      </c>
      <c r="C985" s="2" t="str">
        <f t="shared" si="30"/>
        <v>May-2026</v>
      </c>
      <c r="D985" t="s">
        <v>113</v>
      </c>
      <c r="E985" t="str">
        <f>VLOOKUP(D985,Customers!A:H,7,0)</f>
        <v>Business Owner</v>
      </c>
      <c r="F985" t="s">
        <v>1254</v>
      </c>
      <c r="G985" t="s">
        <v>71</v>
      </c>
      <c r="H985" t="str">
        <f>IFERROR(VLOOKUP(Transactions!G985,Merchants!A:B,2,FALSE),"Not Found")</f>
        <v>Metro Pay</v>
      </c>
      <c r="I985" s="9">
        <v>46051.57</v>
      </c>
      <c r="J985" s="3">
        <v>230.26</v>
      </c>
      <c r="K985" t="s">
        <v>90</v>
      </c>
      <c r="L985" t="s">
        <v>59</v>
      </c>
      <c r="M985" t="s">
        <v>74</v>
      </c>
      <c r="N985" t="s">
        <v>67</v>
      </c>
      <c r="O985" t="s">
        <v>75</v>
      </c>
      <c r="P985" t="str">
        <f t="shared" si="31"/>
        <v>High Value</v>
      </c>
      <c r="Q985" t="str">
        <f>VLOOKUP(G985,Merchants!A:C,3,TRUE)</f>
        <v>Fashion</v>
      </c>
    </row>
    <row r="986" spans="1:17" x14ac:dyDescent="0.3">
      <c r="A986" t="s">
        <v>1525</v>
      </c>
      <c r="B986" s="2">
        <v>46238.521597222221</v>
      </c>
      <c r="C986" s="2" t="str">
        <f t="shared" si="30"/>
        <v>Aug-2026</v>
      </c>
      <c r="D986" t="s">
        <v>570</v>
      </c>
      <c r="E986" t="str">
        <f>VLOOKUP(D986,Customers!A:H,7,0)</f>
        <v>Business Owner</v>
      </c>
      <c r="F986" t="s">
        <v>240</v>
      </c>
      <c r="G986" t="s">
        <v>146</v>
      </c>
      <c r="H986" t="str">
        <f>IFERROR(VLOOKUP(Transactions!G986,Merchants!A:B,2,FALSE),"Not Found")</f>
        <v>Prime Mart</v>
      </c>
      <c r="I986" s="9">
        <v>53147.67</v>
      </c>
      <c r="J986" s="3">
        <v>265.74</v>
      </c>
      <c r="K986" t="s">
        <v>133</v>
      </c>
      <c r="L986" t="s">
        <v>157</v>
      </c>
      <c r="M986" t="s">
        <v>60</v>
      </c>
      <c r="N986" t="s">
        <v>61</v>
      </c>
      <c r="O986" t="s">
        <v>62</v>
      </c>
      <c r="P986" t="str">
        <f t="shared" si="31"/>
        <v>High Value</v>
      </c>
      <c r="Q986" t="str">
        <f>VLOOKUP(G986,Merchants!A:C,3,TRUE)</f>
        <v>Food &amp; Dining</v>
      </c>
    </row>
    <row r="987" spans="1:17" x14ac:dyDescent="0.3">
      <c r="A987" t="s">
        <v>1526</v>
      </c>
      <c r="B987" s="2">
        <v>45771.299050925933</v>
      </c>
      <c r="C987" s="2" t="str">
        <f t="shared" si="30"/>
        <v>Apr-2025</v>
      </c>
      <c r="D987" t="s">
        <v>220</v>
      </c>
      <c r="E987" t="str">
        <f>VLOOKUP(D987,Customers!A:H,7,0)</f>
        <v>Student</v>
      </c>
      <c r="F987" t="s">
        <v>1002</v>
      </c>
      <c r="G987" t="s">
        <v>318</v>
      </c>
      <c r="H987" t="str">
        <f>IFERROR(VLOOKUP(Transactions!G987,Merchants!A:B,2,FALSE),"Not Found")</f>
        <v>Urban Digital</v>
      </c>
      <c r="I987" s="9">
        <v>57698.35</v>
      </c>
      <c r="J987" s="3">
        <v>115.4</v>
      </c>
      <c r="K987" t="s">
        <v>58</v>
      </c>
      <c r="L987" t="s">
        <v>59</v>
      </c>
      <c r="M987" t="s">
        <v>74</v>
      </c>
      <c r="N987" t="s">
        <v>67</v>
      </c>
      <c r="O987" t="s">
        <v>81</v>
      </c>
      <c r="P987" t="str">
        <f t="shared" si="31"/>
        <v>High Value</v>
      </c>
      <c r="Q987" t="str">
        <f>VLOOKUP(G987,Merchants!A:C,3,TRUE)</f>
        <v>Utilities</v>
      </c>
    </row>
    <row r="988" spans="1:17" x14ac:dyDescent="0.3">
      <c r="A988" t="s">
        <v>1527</v>
      </c>
      <c r="B988" s="2">
        <v>45916.291296296287</v>
      </c>
      <c r="C988" s="2" t="str">
        <f t="shared" si="30"/>
        <v>Sep-2025</v>
      </c>
      <c r="D988" t="s">
        <v>69</v>
      </c>
      <c r="E988" t="str">
        <f>VLOOKUP(D988,Customers!A:H,7,0)</f>
        <v>Self-employed</v>
      </c>
      <c r="F988" t="s">
        <v>446</v>
      </c>
      <c r="G988" t="s">
        <v>95</v>
      </c>
      <c r="H988" t="str">
        <f>IFERROR(VLOOKUP(Transactions!G988,Merchants!A:B,2,FALSE),"Not Found")</f>
        <v>Quick Pay</v>
      </c>
      <c r="I988" s="9">
        <v>30854.03</v>
      </c>
      <c r="J988" s="3">
        <v>61.71</v>
      </c>
      <c r="K988" t="s">
        <v>58</v>
      </c>
      <c r="L988" t="s">
        <v>157</v>
      </c>
      <c r="M988" t="s">
        <v>111</v>
      </c>
      <c r="N988" t="s">
        <v>61</v>
      </c>
      <c r="O988" t="s">
        <v>81</v>
      </c>
      <c r="P988" t="str">
        <f t="shared" si="31"/>
        <v>High Value</v>
      </c>
      <c r="Q988" t="str">
        <f>VLOOKUP(G988,Merchants!A:C,3,TRUE)</f>
        <v>Healthcare</v>
      </c>
    </row>
    <row r="989" spans="1:17" x14ac:dyDescent="0.3">
      <c r="A989" t="s">
        <v>1528</v>
      </c>
      <c r="B989" s="2">
        <v>46117.656793981478</v>
      </c>
      <c r="C989" s="2" t="str">
        <f t="shared" si="30"/>
        <v>Apr-2026</v>
      </c>
      <c r="D989" t="s">
        <v>620</v>
      </c>
      <c r="E989" t="str">
        <f>VLOOKUP(D989,Customers!A:H,7,0)</f>
        <v>Salaried</v>
      </c>
      <c r="F989" t="s">
        <v>764</v>
      </c>
      <c r="G989" t="s">
        <v>201</v>
      </c>
      <c r="H989" t="str">
        <f>IFERROR(VLOOKUP(Transactions!G989,Merchants!A:B,2,FALSE),"Not Found")</f>
        <v>Urban Stores</v>
      </c>
      <c r="I989" s="9">
        <v>20317.32</v>
      </c>
      <c r="J989" s="3">
        <v>203.17</v>
      </c>
      <c r="K989" t="s">
        <v>133</v>
      </c>
      <c r="L989" t="s">
        <v>59</v>
      </c>
      <c r="M989" t="s">
        <v>86</v>
      </c>
      <c r="N989" t="s">
        <v>67</v>
      </c>
      <c r="O989" t="s">
        <v>91</v>
      </c>
      <c r="P989" t="str">
        <f t="shared" si="31"/>
        <v>High Value</v>
      </c>
      <c r="Q989" t="str">
        <f>VLOOKUP(G989,Merchants!A:C,3,TRUE)</f>
        <v>Entertainment</v>
      </c>
    </row>
    <row r="990" spans="1:17" x14ac:dyDescent="0.3">
      <c r="A990" t="s">
        <v>1529</v>
      </c>
      <c r="B990" s="2">
        <v>46245.029143518521</v>
      </c>
      <c r="C990" s="2" t="str">
        <f t="shared" si="30"/>
        <v>Aug-2026</v>
      </c>
      <c r="D990" t="s">
        <v>270</v>
      </c>
      <c r="E990" t="str">
        <f>VLOOKUP(D990,Customers!A:H,7,0)</f>
        <v>Business Owner</v>
      </c>
      <c r="F990" t="s">
        <v>730</v>
      </c>
      <c r="G990" t="s">
        <v>175</v>
      </c>
      <c r="H990" t="str">
        <f>IFERROR(VLOOKUP(Transactions!G990,Merchants!A:B,2,FALSE),"Not Found")</f>
        <v>Fresh Mart</v>
      </c>
      <c r="I990" s="9">
        <v>18232.36</v>
      </c>
      <c r="J990" s="3">
        <v>182.32</v>
      </c>
      <c r="K990" t="s">
        <v>72</v>
      </c>
      <c r="L990" t="s">
        <v>59</v>
      </c>
      <c r="M990" t="s">
        <v>74</v>
      </c>
      <c r="N990" t="s">
        <v>61</v>
      </c>
      <c r="O990" t="s">
        <v>81</v>
      </c>
      <c r="P990" t="str">
        <f t="shared" si="31"/>
        <v>High Value</v>
      </c>
      <c r="Q990" t="str">
        <f>VLOOKUP(G990,Merchants!A:C,3,TRUE)</f>
        <v>Electronics</v>
      </c>
    </row>
    <row r="991" spans="1:17" x14ac:dyDescent="0.3">
      <c r="A991" t="s">
        <v>1530</v>
      </c>
      <c r="B991" s="2">
        <v>46182.643993055557</v>
      </c>
      <c r="C991" s="2" t="str">
        <f t="shared" si="30"/>
        <v>Jun-2026</v>
      </c>
      <c r="D991" t="s">
        <v>781</v>
      </c>
      <c r="E991" t="str">
        <f>VLOOKUP(D991,Customers!A:H,7,0)</f>
        <v>Self-employed</v>
      </c>
      <c r="F991" t="s">
        <v>155</v>
      </c>
      <c r="G991" t="s">
        <v>225</v>
      </c>
      <c r="H991" t="str">
        <f>IFERROR(VLOOKUP(Transactions!G991,Merchants!A:B,2,FALSE),"Not Found")</f>
        <v>Quick Retail</v>
      </c>
      <c r="I991" s="9">
        <v>24490.98</v>
      </c>
      <c r="J991" s="3">
        <v>122.45</v>
      </c>
      <c r="K991" t="s">
        <v>96</v>
      </c>
      <c r="L991" t="s">
        <v>59</v>
      </c>
      <c r="M991" t="s">
        <v>60</v>
      </c>
      <c r="N991" t="s">
        <v>61</v>
      </c>
      <c r="O991" t="s">
        <v>91</v>
      </c>
      <c r="P991" t="str">
        <f t="shared" si="31"/>
        <v>High Value</v>
      </c>
      <c r="Q991" t="str">
        <f>VLOOKUP(G991,Merchants!A:C,3,TRUE)</f>
        <v>Grocery</v>
      </c>
    </row>
    <row r="992" spans="1:17" x14ac:dyDescent="0.3">
      <c r="A992" t="s">
        <v>1531</v>
      </c>
      <c r="B992" s="2">
        <v>46118.128634259258</v>
      </c>
      <c r="C992" s="2" t="str">
        <f t="shared" si="30"/>
        <v>Apr-2026</v>
      </c>
      <c r="D992" t="s">
        <v>466</v>
      </c>
      <c r="E992" t="str">
        <f>VLOOKUP(D992,Customers!A:H,7,0)</f>
        <v>Salaried</v>
      </c>
      <c r="F992" t="s">
        <v>1277</v>
      </c>
      <c r="G992" t="s">
        <v>146</v>
      </c>
      <c r="H992" t="str">
        <f>IFERROR(VLOOKUP(Transactions!G992,Merchants!A:B,2,FALSE),"Not Found")</f>
        <v>Prime Mart</v>
      </c>
      <c r="I992" s="9">
        <v>48347.96</v>
      </c>
      <c r="J992" s="3">
        <v>96.7</v>
      </c>
      <c r="K992" t="s">
        <v>58</v>
      </c>
      <c r="L992" t="s">
        <v>157</v>
      </c>
      <c r="M992" t="s">
        <v>111</v>
      </c>
      <c r="N992" t="s">
        <v>67</v>
      </c>
      <c r="O992" t="s">
        <v>62</v>
      </c>
      <c r="P992" t="str">
        <f t="shared" si="31"/>
        <v>High Value</v>
      </c>
      <c r="Q992" t="str">
        <f>VLOOKUP(G992,Merchants!A:C,3,TRUE)</f>
        <v>Food &amp; Dining</v>
      </c>
    </row>
    <row r="993" spans="1:17" x14ac:dyDescent="0.3">
      <c r="A993" t="s">
        <v>1532</v>
      </c>
      <c r="B993" s="2">
        <v>46040.098541666674</v>
      </c>
      <c r="C993" s="2" t="str">
        <f t="shared" si="30"/>
        <v>Jan-2026</v>
      </c>
      <c r="D993" t="s">
        <v>177</v>
      </c>
      <c r="E993" t="str">
        <f>VLOOKUP(D993,Customers!A:H,7,0)</f>
        <v>Self-employed</v>
      </c>
      <c r="F993" t="s">
        <v>106</v>
      </c>
      <c r="G993" t="s">
        <v>229</v>
      </c>
      <c r="H993" t="str">
        <f>IFERROR(VLOOKUP(Transactions!G993,Merchants!A:B,2,FALSE),"Not Found")</f>
        <v>Urban Services</v>
      </c>
      <c r="I993" s="9">
        <v>9324.9699999999993</v>
      </c>
      <c r="J993" s="3">
        <v>18.649999999999999</v>
      </c>
      <c r="K993" t="s">
        <v>72</v>
      </c>
      <c r="L993" t="s">
        <v>73</v>
      </c>
      <c r="M993" t="s">
        <v>86</v>
      </c>
      <c r="N993" t="s">
        <v>67</v>
      </c>
      <c r="O993" t="s">
        <v>75</v>
      </c>
      <c r="P993" t="str">
        <f t="shared" si="31"/>
        <v>High Value</v>
      </c>
      <c r="Q993" t="str">
        <f>VLOOKUP(G993,Merchants!A:C,3,TRUE)</f>
        <v>Fashion</v>
      </c>
    </row>
    <row r="994" spans="1:17" x14ac:dyDescent="0.3">
      <c r="A994" t="s">
        <v>1533</v>
      </c>
      <c r="B994" s="2">
        <v>45996.160543981481</v>
      </c>
      <c r="C994" s="2" t="str">
        <f t="shared" si="30"/>
        <v>Dec-2025</v>
      </c>
      <c r="D994" t="s">
        <v>281</v>
      </c>
      <c r="E994" t="str">
        <f>VLOOKUP(D994,Customers!A:H,7,0)</f>
        <v>Salaried</v>
      </c>
      <c r="F994" t="s">
        <v>372</v>
      </c>
      <c r="G994" t="s">
        <v>103</v>
      </c>
      <c r="H994" t="str">
        <f>IFERROR(VLOOKUP(Transactions!G994,Merchants!A:B,2,FALSE),"Not Found")</f>
        <v>Nova Pay</v>
      </c>
      <c r="I994" s="9">
        <v>36792.65</v>
      </c>
      <c r="J994" s="3">
        <v>110.38</v>
      </c>
      <c r="K994" t="s">
        <v>90</v>
      </c>
      <c r="L994" t="s">
        <v>59</v>
      </c>
      <c r="M994" t="s">
        <v>86</v>
      </c>
      <c r="N994" t="s">
        <v>67</v>
      </c>
      <c r="O994" t="s">
        <v>91</v>
      </c>
      <c r="P994" t="str">
        <f t="shared" si="31"/>
        <v>High Value</v>
      </c>
      <c r="Q994" t="str">
        <f>VLOOKUP(G994,Merchants!A:C,3,TRUE)</f>
        <v>Fashion</v>
      </c>
    </row>
    <row r="995" spans="1:17" x14ac:dyDescent="0.3">
      <c r="A995" t="s">
        <v>1534</v>
      </c>
      <c r="B995" s="2">
        <v>46101.353576388887</v>
      </c>
      <c r="C995" s="2" t="str">
        <f t="shared" si="30"/>
        <v>Mar-2026</v>
      </c>
      <c r="D995" t="s">
        <v>295</v>
      </c>
      <c r="E995" t="str">
        <f>VLOOKUP(D995,Customers!A:H,7,0)</f>
        <v>Student</v>
      </c>
      <c r="F995" t="s">
        <v>583</v>
      </c>
      <c r="G995" t="s">
        <v>233</v>
      </c>
      <c r="H995" t="str">
        <f>IFERROR(VLOOKUP(Transactions!G995,Merchants!A:B,2,FALSE),"Not Found")</f>
        <v>Urban Retail</v>
      </c>
      <c r="I995" s="9">
        <v>12692.12</v>
      </c>
      <c r="J995" s="3">
        <v>126.92</v>
      </c>
      <c r="K995" t="s">
        <v>90</v>
      </c>
      <c r="L995" t="s">
        <v>80</v>
      </c>
      <c r="M995" t="s">
        <v>74</v>
      </c>
      <c r="N995" t="s">
        <v>67</v>
      </c>
      <c r="O995" t="s">
        <v>75</v>
      </c>
      <c r="P995" t="str">
        <f t="shared" si="31"/>
        <v>High Value</v>
      </c>
      <c r="Q995" t="str">
        <f>VLOOKUP(G995,Merchants!A:C,3,TRUE)</f>
        <v>Utilities</v>
      </c>
    </row>
    <row r="996" spans="1:17" x14ac:dyDescent="0.3">
      <c r="A996" t="s">
        <v>1535</v>
      </c>
      <c r="B996" s="2">
        <v>46277.282256944447</v>
      </c>
      <c r="C996" s="2" t="str">
        <f t="shared" si="30"/>
        <v>Sep-2026</v>
      </c>
      <c r="D996" t="s">
        <v>749</v>
      </c>
      <c r="E996" t="str">
        <f>VLOOKUP(D996,Customers!A:H,7,0)</f>
        <v>Self-employed</v>
      </c>
      <c r="F996" t="s">
        <v>793</v>
      </c>
      <c r="G996" t="s">
        <v>150</v>
      </c>
      <c r="H996" t="str">
        <f>IFERROR(VLOOKUP(Transactions!G996,Merchants!A:B,2,FALSE),"Not Found")</f>
        <v>Nova Services</v>
      </c>
      <c r="I996" s="9">
        <v>28205.71</v>
      </c>
      <c r="J996" s="3">
        <v>56.41</v>
      </c>
      <c r="K996" t="s">
        <v>58</v>
      </c>
      <c r="L996" t="s">
        <v>80</v>
      </c>
      <c r="M996" t="s">
        <v>86</v>
      </c>
      <c r="N996" t="s">
        <v>67</v>
      </c>
      <c r="O996" t="s">
        <v>62</v>
      </c>
      <c r="P996" t="str">
        <f t="shared" si="31"/>
        <v>High Value</v>
      </c>
      <c r="Q996" t="str">
        <f>VLOOKUP(G996,Merchants!A:C,3,TRUE)</f>
        <v>Electronics</v>
      </c>
    </row>
    <row r="997" spans="1:17" x14ac:dyDescent="0.3">
      <c r="A997" t="s">
        <v>1536</v>
      </c>
      <c r="B997" s="2">
        <v>45927.218287037038</v>
      </c>
      <c r="C997" s="2" t="str">
        <f t="shared" si="30"/>
        <v>Sep-2025</v>
      </c>
      <c r="D997" t="s">
        <v>180</v>
      </c>
      <c r="E997" t="str">
        <f>VLOOKUP(D997,Customers!A:H,7,0)</f>
        <v>Student</v>
      </c>
      <c r="F997" t="s">
        <v>857</v>
      </c>
      <c r="G997" t="s">
        <v>107</v>
      </c>
      <c r="H997" t="str">
        <f>IFERROR(VLOOKUP(Transactions!G997,Merchants!A:B,2,FALSE),"Not Found")</f>
        <v>Blue Services</v>
      </c>
      <c r="I997" s="9">
        <v>52702.78</v>
      </c>
      <c r="J997" s="3">
        <v>158.11000000000001</v>
      </c>
      <c r="K997" t="s">
        <v>58</v>
      </c>
      <c r="L997" t="s">
        <v>59</v>
      </c>
      <c r="M997" t="s">
        <v>111</v>
      </c>
      <c r="N997" t="s">
        <v>67</v>
      </c>
      <c r="O997" t="s">
        <v>81</v>
      </c>
      <c r="P997" t="str">
        <f t="shared" si="31"/>
        <v>High Value</v>
      </c>
      <c r="Q997" t="str">
        <f>VLOOKUP(G997,Merchants!A:C,3,TRUE)</f>
        <v>Travel</v>
      </c>
    </row>
    <row r="998" spans="1:17" x14ac:dyDescent="0.3">
      <c r="A998" t="s">
        <v>1537</v>
      </c>
      <c r="B998" s="2">
        <v>45891.246400462973</v>
      </c>
      <c r="C998" s="2" t="str">
        <f t="shared" si="30"/>
        <v>Aug-2025</v>
      </c>
      <c r="D998" t="s">
        <v>817</v>
      </c>
      <c r="E998" t="str">
        <f>VLOOKUP(D998,Customers!A:H,7,0)</f>
        <v>Salaried</v>
      </c>
      <c r="F998" t="s">
        <v>604</v>
      </c>
      <c r="G998" t="s">
        <v>150</v>
      </c>
      <c r="H998" t="str">
        <f>IFERROR(VLOOKUP(Transactions!G998,Merchants!A:B,2,FALSE),"Not Found")</f>
        <v>Nova Services</v>
      </c>
      <c r="I998" s="9">
        <v>23740.61</v>
      </c>
      <c r="J998" s="3">
        <v>118.7</v>
      </c>
      <c r="K998" t="s">
        <v>72</v>
      </c>
      <c r="L998" t="s">
        <v>73</v>
      </c>
      <c r="M998" t="s">
        <v>111</v>
      </c>
      <c r="N998" t="s">
        <v>61</v>
      </c>
      <c r="O998" t="s">
        <v>81</v>
      </c>
      <c r="P998" t="str">
        <f t="shared" si="31"/>
        <v>High Value</v>
      </c>
      <c r="Q998" t="str">
        <f>VLOOKUP(G998,Merchants!A:C,3,TRUE)</f>
        <v>Electronics</v>
      </c>
    </row>
    <row r="999" spans="1:17" x14ac:dyDescent="0.3">
      <c r="A999" t="s">
        <v>1538</v>
      </c>
      <c r="B999" s="2">
        <v>46011.365254629629</v>
      </c>
      <c r="C999" s="2" t="str">
        <f t="shared" si="30"/>
        <v>Dec-2025</v>
      </c>
      <c r="D999" t="s">
        <v>481</v>
      </c>
      <c r="E999" t="str">
        <f>VLOOKUP(D999,Customers!A:H,7,0)</f>
        <v>Student</v>
      </c>
      <c r="F999" t="s">
        <v>388</v>
      </c>
      <c r="G999" t="s">
        <v>95</v>
      </c>
      <c r="H999" t="str">
        <f>IFERROR(VLOOKUP(Transactions!G999,Merchants!A:B,2,FALSE),"Not Found")</f>
        <v>Quick Pay</v>
      </c>
      <c r="I999" s="9">
        <v>31880</v>
      </c>
      <c r="J999" s="3">
        <v>159.4</v>
      </c>
      <c r="K999" t="s">
        <v>58</v>
      </c>
      <c r="L999" t="s">
        <v>80</v>
      </c>
      <c r="M999" t="s">
        <v>86</v>
      </c>
      <c r="N999" t="s">
        <v>67</v>
      </c>
      <c r="O999" t="s">
        <v>75</v>
      </c>
      <c r="P999" t="str">
        <f t="shared" si="31"/>
        <v>High Value</v>
      </c>
      <c r="Q999" t="str">
        <f>VLOOKUP(G999,Merchants!A:C,3,TRUE)</f>
        <v>Healthcare</v>
      </c>
    </row>
    <row r="1000" spans="1:17" x14ac:dyDescent="0.3">
      <c r="A1000" t="s">
        <v>1539</v>
      </c>
      <c r="B1000" s="2">
        <v>46010.091631944437</v>
      </c>
      <c r="C1000" s="2" t="str">
        <f t="shared" si="30"/>
        <v>Dec-2025</v>
      </c>
      <c r="D1000" t="s">
        <v>401</v>
      </c>
      <c r="E1000" t="str">
        <f>VLOOKUP(D1000,Customers!A:H,7,0)</f>
        <v>Business Owner</v>
      </c>
      <c r="F1000" t="s">
        <v>588</v>
      </c>
      <c r="G1000" t="s">
        <v>250</v>
      </c>
      <c r="H1000" t="str">
        <f>IFERROR(VLOOKUP(Transactions!G1000,Merchants!A:B,2,FALSE),"Not Found")</f>
        <v>Fresh Hub</v>
      </c>
      <c r="I1000" s="9">
        <v>37228.74</v>
      </c>
      <c r="J1000" s="3">
        <v>74.459999999999994</v>
      </c>
      <c r="K1000" t="s">
        <v>58</v>
      </c>
      <c r="L1000" t="s">
        <v>73</v>
      </c>
      <c r="M1000" t="s">
        <v>86</v>
      </c>
      <c r="N1000" t="s">
        <v>61</v>
      </c>
      <c r="O1000" t="s">
        <v>81</v>
      </c>
      <c r="P1000" t="str">
        <f t="shared" si="31"/>
        <v>High Value</v>
      </c>
      <c r="Q1000" t="str">
        <f>VLOOKUP(G1000,Merchants!A:C,3,TRUE)</f>
        <v>Healthcare</v>
      </c>
    </row>
    <row r="1001" spans="1:17" x14ac:dyDescent="0.3">
      <c r="A1001" t="s">
        <v>1540</v>
      </c>
      <c r="B1001" s="2">
        <v>46278.099930555552</v>
      </c>
      <c r="C1001" s="2" t="str">
        <f t="shared" si="30"/>
        <v>Sep-2026</v>
      </c>
      <c r="D1001" t="s">
        <v>530</v>
      </c>
      <c r="E1001" t="str">
        <f>VLOOKUP(D1001,Customers!A:H,7,0)</f>
        <v>Business Owner</v>
      </c>
      <c r="F1001" t="s">
        <v>362</v>
      </c>
      <c r="G1001" t="s">
        <v>277</v>
      </c>
      <c r="H1001" t="str">
        <f>IFERROR(VLOOKUP(Transactions!G1001,Merchants!A:B,2,FALSE),"Not Found")</f>
        <v>Daily Digital</v>
      </c>
      <c r="I1001" s="9">
        <v>34195.15</v>
      </c>
      <c r="J1001" s="3">
        <v>170.98</v>
      </c>
      <c r="K1001" t="s">
        <v>72</v>
      </c>
      <c r="L1001" t="s">
        <v>80</v>
      </c>
      <c r="M1001" t="s">
        <v>74</v>
      </c>
      <c r="N1001" t="s">
        <v>61</v>
      </c>
      <c r="O1001" t="s">
        <v>75</v>
      </c>
      <c r="P1001" t="str">
        <f t="shared" si="31"/>
        <v>High Value</v>
      </c>
      <c r="Q1001" t="str">
        <f>VLOOKUP(G1001,Merchants!A:C,3,TRUE)</f>
        <v>Grocery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1"/>
  <sheetViews>
    <sheetView workbookViewId="0">
      <pane ySplit="1" topLeftCell="A133" activePane="bottomLeft" state="frozen"/>
      <selection pane="bottomLeft" activeCell="B181" sqref="B2:B181"/>
    </sheetView>
  </sheetViews>
  <sheetFormatPr defaultRowHeight="14.4" x14ac:dyDescent="0.3"/>
  <cols>
    <col min="1" max="2" width="13" customWidth="1"/>
    <col min="3" max="3" width="16" customWidth="1"/>
    <col min="4" max="5" width="13" customWidth="1"/>
    <col min="6" max="6" width="21" customWidth="1"/>
    <col min="7" max="7" width="17" customWidth="1"/>
    <col min="8" max="8" width="15" customWidth="1"/>
    <col min="9" max="10" width="13" customWidth="1"/>
    <col min="11" max="11" width="21" customWidth="1"/>
    <col min="12" max="12" width="7.77734375" bestFit="1" customWidth="1"/>
  </cols>
  <sheetData>
    <row r="1" spans="1:12" ht="31.95" customHeight="1" x14ac:dyDescent="0.3">
      <c r="A1" s="1" t="s">
        <v>44</v>
      </c>
      <c r="B1" s="1" t="s">
        <v>2126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6" t="s">
        <v>2114</v>
      </c>
    </row>
    <row r="2" spans="1:12" x14ac:dyDescent="0.3">
      <c r="A2" t="s">
        <v>265</v>
      </c>
      <c r="B2" t="str">
        <f>IF(COUNTIF(A2:A181,A2)=1,"First","Duplicate")</f>
        <v>First</v>
      </c>
      <c r="C2" t="s">
        <v>1550</v>
      </c>
      <c r="D2" t="s">
        <v>1551</v>
      </c>
      <c r="E2" t="s">
        <v>1552</v>
      </c>
      <c r="F2" s="4">
        <v>33850</v>
      </c>
      <c r="G2" t="s">
        <v>1553</v>
      </c>
      <c r="H2" s="3">
        <v>284902</v>
      </c>
      <c r="I2" t="s">
        <v>1554</v>
      </c>
      <c r="J2" t="s">
        <v>1555</v>
      </c>
      <c r="K2" s="4">
        <v>44834</v>
      </c>
      <c r="L2" s="7">
        <f>DATE(2026,10,9)-K2</f>
        <v>1470</v>
      </c>
    </row>
    <row r="3" spans="1:12" x14ac:dyDescent="0.3">
      <c r="A3" t="s">
        <v>658</v>
      </c>
      <c r="B3" t="str">
        <f t="shared" ref="B3:B66" si="0">IF(COUNTIF(A3:A182,A3)=1,"First","Duplicate")</f>
        <v>First</v>
      </c>
      <c r="C3" t="s">
        <v>1556</v>
      </c>
      <c r="D3" t="s">
        <v>1557</v>
      </c>
      <c r="E3" t="s">
        <v>1552</v>
      </c>
      <c r="F3" s="4">
        <v>38663</v>
      </c>
      <c r="G3" t="s">
        <v>1558</v>
      </c>
      <c r="H3" s="3">
        <v>544647</v>
      </c>
      <c r="I3" t="s">
        <v>1559</v>
      </c>
      <c r="J3" t="s">
        <v>1560</v>
      </c>
      <c r="K3" s="4">
        <v>43961</v>
      </c>
      <c r="L3" s="7">
        <f t="shared" ref="L3:L66" si="1">DATE(2026,10,9)-K3</f>
        <v>2343</v>
      </c>
    </row>
    <row r="4" spans="1:12" x14ac:dyDescent="0.3">
      <c r="A4" t="s">
        <v>105</v>
      </c>
      <c r="B4" t="str">
        <f t="shared" si="0"/>
        <v>First</v>
      </c>
      <c r="C4" t="s">
        <v>1561</v>
      </c>
      <c r="D4" t="s">
        <v>1557</v>
      </c>
      <c r="E4" t="s">
        <v>1552</v>
      </c>
      <c r="F4" s="4">
        <v>25707</v>
      </c>
      <c r="G4" t="s">
        <v>1562</v>
      </c>
      <c r="H4" s="3">
        <v>2705049</v>
      </c>
      <c r="I4" t="s">
        <v>1563</v>
      </c>
      <c r="J4" t="s">
        <v>1560</v>
      </c>
      <c r="K4" s="4">
        <v>46129</v>
      </c>
      <c r="L4" s="7">
        <f t="shared" si="1"/>
        <v>175</v>
      </c>
    </row>
    <row r="5" spans="1:12" x14ac:dyDescent="0.3">
      <c r="A5" t="s">
        <v>338</v>
      </c>
      <c r="B5" t="str">
        <f t="shared" si="0"/>
        <v>First</v>
      </c>
      <c r="C5" t="s">
        <v>1564</v>
      </c>
      <c r="D5" t="s">
        <v>1565</v>
      </c>
      <c r="E5" t="s">
        <v>1552</v>
      </c>
      <c r="F5" s="4">
        <v>33953</v>
      </c>
      <c r="G5" t="s">
        <v>1562</v>
      </c>
      <c r="H5" s="3">
        <v>2651559</v>
      </c>
      <c r="I5" t="s">
        <v>1563</v>
      </c>
      <c r="J5" t="s">
        <v>1566</v>
      </c>
      <c r="K5" s="4">
        <v>43857</v>
      </c>
      <c r="L5" s="7">
        <f t="shared" si="1"/>
        <v>2447</v>
      </c>
    </row>
    <row r="6" spans="1:12" x14ac:dyDescent="0.3">
      <c r="A6" t="s">
        <v>343</v>
      </c>
      <c r="B6" t="str">
        <f t="shared" si="0"/>
        <v>First</v>
      </c>
      <c r="C6" t="s">
        <v>1567</v>
      </c>
      <c r="D6" t="s">
        <v>1568</v>
      </c>
      <c r="E6" t="s">
        <v>1569</v>
      </c>
      <c r="F6" s="4">
        <v>31893</v>
      </c>
      <c r="G6" t="s">
        <v>1562</v>
      </c>
      <c r="H6" s="3">
        <v>832128</v>
      </c>
      <c r="I6" t="s">
        <v>1559</v>
      </c>
      <c r="J6" t="s">
        <v>1560</v>
      </c>
      <c r="K6" s="4">
        <v>45209</v>
      </c>
      <c r="L6" s="7">
        <f t="shared" si="1"/>
        <v>1095</v>
      </c>
    </row>
    <row r="7" spans="1:12" x14ac:dyDescent="0.3">
      <c r="A7" t="s">
        <v>466</v>
      </c>
      <c r="B7" t="str">
        <f t="shared" si="0"/>
        <v>First</v>
      </c>
      <c r="C7" t="s">
        <v>1570</v>
      </c>
      <c r="D7" t="s">
        <v>1571</v>
      </c>
      <c r="E7" t="s">
        <v>1572</v>
      </c>
      <c r="F7" s="4">
        <v>33505</v>
      </c>
      <c r="G7" t="s">
        <v>1553</v>
      </c>
      <c r="H7" s="3">
        <v>1622654</v>
      </c>
      <c r="I7" t="s">
        <v>1573</v>
      </c>
      <c r="J7" t="s">
        <v>1566</v>
      </c>
      <c r="K7" s="4">
        <v>44008</v>
      </c>
      <c r="L7" s="7">
        <f t="shared" si="1"/>
        <v>2296</v>
      </c>
    </row>
    <row r="8" spans="1:12" x14ac:dyDescent="0.3">
      <c r="A8" t="s">
        <v>317</v>
      </c>
      <c r="B8" t="str">
        <f t="shared" si="0"/>
        <v>First</v>
      </c>
      <c r="C8" t="s">
        <v>1574</v>
      </c>
      <c r="D8" t="s">
        <v>1551</v>
      </c>
      <c r="E8" t="s">
        <v>1552</v>
      </c>
      <c r="F8" s="4">
        <v>34444</v>
      </c>
      <c r="G8" t="s">
        <v>1553</v>
      </c>
      <c r="H8" s="3">
        <v>2495426</v>
      </c>
      <c r="I8" t="s">
        <v>1563</v>
      </c>
      <c r="J8" t="s">
        <v>1560</v>
      </c>
      <c r="K8" s="4">
        <v>45312</v>
      </c>
      <c r="L8" s="7">
        <f t="shared" si="1"/>
        <v>992</v>
      </c>
    </row>
    <row r="9" spans="1:12" x14ac:dyDescent="0.3">
      <c r="A9" t="s">
        <v>203</v>
      </c>
      <c r="B9" t="str">
        <f t="shared" si="0"/>
        <v>First</v>
      </c>
      <c r="C9" t="s">
        <v>1575</v>
      </c>
      <c r="D9" t="s">
        <v>1576</v>
      </c>
      <c r="E9" t="s">
        <v>1572</v>
      </c>
      <c r="F9" s="4">
        <v>34320</v>
      </c>
      <c r="G9" t="s">
        <v>1553</v>
      </c>
      <c r="H9" s="3">
        <v>3422483</v>
      </c>
      <c r="I9" t="s">
        <v>1563</v>
      </c>
      <c r="J9" t="s">
        <v>1566</v>
      </c>
      <c r="K9" s="4">
        <v>44157</v>
      </c>
      <c r="L9" s="7">
        <f t="shared" si="1"/>
        <v>2147</v>
      </c>
    </row>
    <row r="10" spans="1:12" x14ac:dyDescent="0.3">
      <c r="A10" t="s">
        <v>664</v>
      </c>
      <c r="B10" t="str">
        <f t="shared" si="0"/>
        <v>First</v>
      </c>
      <c r="C10" t="s">
        <v>1577</v>
      </c>
      <c r="D10" t="s">
        <v>1568</v>
      </c>
      <c r="E10" t="s">
        <v>1569</v>
      </c>
      <c r="F10" s="4">
        <v>36792</v>
      </c>
      <c r="G10" t="s">
        <v>1558</v>
      </c>
      <c r="H10" s="3">
        <v>2081740</v>
      </c>
      <c r="I10" t="s">
        <v>1563</v>
      </c>
      <c r="J10" t="s">
        <v>1555</v>
      </c>
      <c r="K10" s="4">
        <v>44497</v>
      </c>
      <c r="L10" s="7">
        <f t="shared" si="1"/>
        <v>1807</v>
      </c>
    </row>
    <row r="11" spans="1:12" x14ac:dyDescent="0.3">
      <c r="A11" t="s">
        <v>154</v>
      </c>
      <c r="B11" t="str">
        <f t="shared" si="0"/>
        <v>First</v>
      </c>
      <c r="C11" t="s">
        <v>1578</v>
      </c>
      <c r="D11" t="s">
        <v>1568</v>
      </c>
      <c r="E11" t="s">
        <v>1569</v>
      </c>
      <c r="F11" s="4">
        <v>27177</v>
      </c>
      <c r="G11" t="s">
        <v>1558</v>
      </c>
      <c r="H11" s="3">
        <v>3123647</v>
      </c>
      <c r="I11" t="s">
        <v>1563</v>
      </c>
      <c r="J11" t="s">
        <v>1560</v>
      </c>
      <c r="K11" s="4">
        <v>44531</v>
      </c>
      <c r="L11" s="7">
        <f t="shared" si="1"/>
        <v>1773</v>
      </c>
    </row>
    <row r="12" spans="1:12" x14ac:dyDescent="0.3">
      <c r="A12" t="s">
        <v>616</v>
      </c>
      <c r="B12" t="str">
        <f t="shared" si="0"/>
        <v>First</v>
      </c>
      <c r="C12" t="s">
        <v>1579</v>
      </c>
      <c r="D12" t="s">
        <v>1565</v>
      </c>
      <c r="E12" t="s">
        <v>1552</v>
      </c>
      <c r="F12" s="4">
        <v>33683</v>
      </c>
      <c r="G12" t="s">
        <v>1580</v>
      </c>
      <c r="H12" s="3">
        <v>1771551</v>
      </c>
      <c r="I12" t="s">
        <v>1573</v>
      </c>
      <c r="J12" t="s">
        <v>1560</v>
      </c>
      <c r="K12" s="4">
        <v>46112</v>
      </c>
      <c r="L12" s="7">
        <f t="shared" si="1"/>
        <v>192</v>
      </c>
    </row>
    <row r="13" spans="1:12" x14ac:dyDescent="0.3">
      <c r="A13" t="s">
        <v>639</v>
      </c>
      <c r="B13" t="str">
        <f t="shared" si="0"/>
        <v>First</v>
      </c>
      <c r="C13" t="s">
        <v>1581</v>
      </c>
      <c r="D13" t="s">
        <v>1576</v>
      </c>
      <c r="E13" t="s">
        <v>1572</v>
      </c>
      <c r="F13" s="4">
        <v>35174</v>
      </c>
      <c r="G13" t="s">
        <v>1558</v>
      </c>
      <c r="H13" s="3">
        <v>314638</v>
      </c>
      <c r="I13" t="s">
        <v>1554</v>
      </c>
      <c r="J13" t="s">
        <v>1555</v>
      </c>
      <c r="K13" s="4">
        <v>45474</v>
      </c>
      <c r="L13" s="7">
        <f t="shared" si="1"/>
        <v>830</v>
      </c>
    </row>
    <row r="14" spans="1:12" x14ac:dyDescent="0.3">
      <c r="A14" t="s">
        <v>249</v>
      </c>
      <c r="B14" t="str">
        <f t="shared" si="0"/>
        <v>First</v>
      </c>
      <c r="C14" t="s">
        <v>1582</v>
      </c>
      <c r="D14" t="s">
        <v>1571</v>
      </c>
      <c r="E14" t="s">
        <v>1572</v>
      </c>
      <c r="F14" s="4">
        <v>41196</v>
      </c>
      <c r="G14" t="s">
        <v>1580</v>
      </c>
      <c r="H14" s="3">
        <v>1071820</v>
      </c>
      <c r="I14" t="s">
        <v>1573</v>
      </c>
      <c r="J14" t="s">
        <v>1560</v>
      </c>
      <c r="K14" s="4">
        <v>45451</v>
      </c>
      <c r="L14" s="7">
        <f t="shared" si="1"/>
        <v>853</v>
      </c>
    </row>
    <row r="15" spans="1:12" x14ac:dyDescent="0.3">
      <c r="A15" t="s">
        <v>612</v>
      </c>
      <c r="B15" t="str">
        <f t="shared" si="0"/>
        <v>First</v>
      </c>
      <c r="C15" t="s">
        <v>1583</v>
      </c>
      <c r="D15" t="s">
        <v>1576</v>
      </c>
      <c r="E15" t="s">
        <v>1572</v>
      </c>
      <c r="F15" s="4">
        <v>43232</v>
      </c>
      <c r="G15" t="s">
        <v>1562</v>
      </c>
      <c r="H15" s="3">
        <v>3304710</v>
      </c>
      <c r="I15" t="s">
        <v>1563</v>
      </c>
      <c r="J15" t="s">
        <v>1555</v>
      </c>
      <c r="K15" s="4">
        <v>46038</v>
      </c>
      <c r="L15" s="7">
        <f t="shared" si="1"/>
        <v>266</v>
      </c>
    </row>
    <row r="16" spans="1:12" x14ac:dyDescent="0.3">
      <c r="A16" t="s">
        <v>298</v>
      </c>
      <c r="B16" t="str">
        <f t="shared" si="0"/>
        <v>First</v>
      </c>
      <c r="C16" t="s">
        <v>1584</v>
      </c>
      <c r="D16" t="s">
        <v>1585</v>
      </c>
      <c r="E16" t="s">
        <v>1586</v>
      </c>
      <c r="F16" s="4">
        <v>32024</v>
      </c>
      <c r="G16" t="s">
        <v>1553</v>
      </c>
      <c r="H16" s="3">
        <v>1698323</v>
      </c>
      <c r="I16" t="s">
        <v>1573</v>
      </c>
      <c r="J16" t="s">
        <v>1560</v>
      </c>
      <c r="K16" s="4">
        <v>44397</v>
      </c>
      <c r="L16" s="7">
        <f t="shared" si="1"/>
        <v>1907</v>
      </c>
    </row>
    <row r="17" spans="1:12" x14ac:dyDescent="0.3">
      <c r="A17" t="s">
        <v>564</v>
      </c>
      <c r="B17" t="str">
        <f t="shared" si="0"/>
        <v>First</v>
      </c>
      <c r="C17" t="s">
        <v>1587</v>
      </c>
      <c r="D17" t="s">
        <v>1551</v>
      </c>
      <c r="E17" t="s">
        <v>1552</v>
      </c>
      <c r="F17" s="4">
        <v>30080</v>
      </c>
      <c r="G17" t="s">
        <v>1562</v>
      </c>
      <c r="H17" s="3">
        <v>821062</v>
      </c>
      <c r="I17" t="s">
        <v>1559</v>
      </c>
      <c r="J17" t="s">
        <v>1566</v>
      </c>
      <c r="K17" s="4">
        <v>45560</v>
      </c>
      <c r="L17" s="7">
        <f t="shared" si="1"/>
        <v>744</v>
      </c>
    </row>
    <row r="18" spans="1:12" x14ac:dyDescent="0.3">
      <c r="A18" t="s">
        <v>741</v>
      </c>
      <c r="B18" t="str">
        <f t="shared" si="0"/>
        <v>First</v>
      </c>
      <c r="C18" t="s">
        <v>1588</v>
      </c>
      <c r="D18" t="s">
        <v>1589</v>
      </c>
      <c r="E18" t="s">
        <v>1569</v>
      </c>
      <c r="F18" s="4">
        <v>42176</v>
      </c>
      <c r="G18" t="s">
        <v>1553</v>
      </c>
      <c r="H18" s="3">
        <v>2143143</v>
      </c>
      <c r="I18" t="s">
        <v>1563</v>
      </c>
      <c r="J18" t="s">
        <v>1555</v>
      </c>
      <c r="K18" s="4">
        <v>44860</v>
      </c>
      <c r="L18" s="7">
        <f t="shared" si="1"/>
        <v>1444</v>
      </c>
    </row>
    <row r="19" spans="1:12" x14ac:dyDescent="0.3">
      <c r="A19" t="s">
        <v>570</v>
      </c>
      <c r="B19" t="str">
        <f t="shared" si="0"/>
        <v>First</v>
      </c>
      <c r="C19" t="s">
        <v>1590</v>
      </c>
      <c r="D19" t="s">
        <v>1551</v>
      </c>
      <c r="E19" t="s">
        <v>1552</v>
      </c>
      <c r="F19" s="4">
        <v>42433</v>
      </c>
      <c r="G19" t="s">
        <v>1580</v>
      </c>
      <c r="H19" s="3">
        <v>3039300</v>
      </c>
      <c r="I19" t="s">
        <v>1563</v>
      </c>
      <c r="J19" t="s">
        <v>1566</v>
      </c>
      <c r="K19" s="4">
        <v>44923</v>
      </c>
      <c r="L19" s="7">
        <f t="shared" si="1"/>
        <v>1381</v>
      </c>
    </row>
    <row r="20" spans="1:12" x14ac:dyDescent="0.3">
      <c r="A20" t="s">
        <v>255</v>
      </c>
      <c r="B20" t="str">
        <f t="shared" si="0"/>
        <v>First</v>
      </c>
      <c r="C20" t="s">
        <v>1591</v>
      </c>
      <c r="D20" t="s">
        <v>1592</v>
      </c>
      <c r="E20" t="s">
        <v>1572</v>
      </c>
      <c r="F20" s="4">
        <v>24944</v>
      </c>
      <c r="G20" t="s">
        <v>1558</v>
      </c>
      <c r="H20" s="3">
        <v>2083055</v>
      </c>
      <c r="I20" t="s">
        <v>1563</v>
      </c>
      <c r="J20" t="s">
        <v>1555</v>
      </c>
      <c r="K20" s="4">
        <v>44909</v>
      </c>
      <c r="L20" s="7">
        <f t="shared" si="1"/>
        <v>1395</v>
      </c>
    </row>
    <row r="21" spans="1:12" x14ac:dyDescent="0.3">
      <c r="A21" t="s">
        <v>177</v>
      </c>
      <c r="B21" t="str">
        <f t="shared" si="0"/>
        <v>First</v>
      </c>
      <c r="C21" t="s">
        <v>1593</v>
      </c>
      <c r="D21" t="s">
        <v>1551</v>
      </c>
      <c r="E21" t="s">
        <v>1552</v>
      </c>
      <c r="F21" s="4">
        <v>34617</v>
      </c>
      <c r="G21" t="s">
        <v>1558</v>
      </c>
      <c r="H21" s="3">
        <v>2802699</v>
      </c>
      <c r="I21" t="s">
        <v>1563</v>
      </c>
      <c r="J21" t="s">
        <v>1566</v>
      </c>
      <c r="K21" s="4">
        <v>45910</v>
      </c>
      <c r="L21" s="7">
        <f t="shared" si="1"/>
        <v>394</v>
      </c>
    </row>
    <row r="22" spans="1:12" x14ac:dyDescent="0.3">
      <c r="A22" t="s">
        <v>536</v>
      </c>
      <c r="B22" t="str">
        <f t="shared" si="0"/>
        <v>First</v>
      </c>
      <c r="C22" t="s">
        <v>1594</v>
      </c>
      <c r="D22" t="s">
        <v>1592</v>
      </c>
      <c r="E22" t="s">
        <v>1572</v>
      </c>
      <c r="F22" s="4">
        <v>42216</v>
      </c>
      <c r="G22" t="s">
        <v>1562</v>
      </c>
      <c r="H22" s="3">
        <v>2442319</v>
      </c>
      <c r="I22" t="s">
        <v>1563</v>
      </c>
      <c r="J22" t="s">
        <v>1560</v>
      </c>
      <c r="K22" s="4">
        <v>43833</v>
      </c>
      <c r="L22" s="7">
        <f t="shared" si="1"/>
        <v>2471</v>
      </c>
    </row>
    <row r="23" spans="1:12" x14ac:dyDescent="0.3">
      <c r="A23" t="s">
        <v>135</v>
      </c>
      <c r="B23" t="str">
        <f t="shared" si="0"/>
        <v>First</v>
      </c>
      <c r="C23" t="s">
        <v>1595</v>
      </c>
      <c r="D23" t="s">
        <v>1551</v>
      </c>
      <c r="E23" t="s">
        <v>1552</v>
      </c>
      <c r="F23" s="4">
        <v>34914</v>
      </c>
      <c r="G23" t="s">
        <v>1553</v>
      </c>
      <c r="H23" s="3">
        <v>1702451</v>
      </c>
      <c r="I23" t="s">
        <v>1573</v>
      </c>
      <c r="J23" t="s">
        <v>1560</v>
      </c>
      <c r="K23" s="4">
        <v>44811</v>
      </c>
      <c r="L23" s="7">
        <f t="shared" si="1"/>
        <v>1493</v>
      </c>
    </row>
    <row r="24" spans="1:12" x14ac:dyDescent="0.3">
      <c r="A24" t="s">
        <v>379</v>
      </c>
      <c r="B24" t="str">
        <f t="shared" si="0"/>
        <v>First</v>
      </c>
      <c r="C24" t="s">
        <v>1596</v>
      </c>
      <c r="D24" t="s">
        <v>1565</v>
      </c>
      <c r="E24" t="s">
        <v>1552</v>
      </c>
      <c r="F24" s="4">
        <v>42293</v>
      </c>
      <c r="G24" t="s">
        <v>1562</v>
      </c>
      <c r="H24" s="3">
        <v>470298</v>
      </c>
      <c r="I24" t="s">
        <v>1554</v>
      </c>
      <c r="J24" t="s">
        <v>1555</v>
      </c>
      <c r="K24" s="4">
        <v>44346</v>
      </c>
      <c r="L24" s="7">
        <f t="shared" si="1"/>
        <v>1958</v>
      </c>
    </row>
    <row r="25" spans="1:12" x14ac:dyDescent="0.3">
      <c r="A25" t="s">
        <v>98</v>
      </c>
      <c r="B25" t="str">
        <f t="shared" si="0"/>
        <v>First</v>
      </c>
      <c r="C25" t="s">
        <v>1597</v>
      </c>
      <c r="D25" t="s">
        <v>1592</v>
      </c>
      <c r="E25" t="s">
        <v>1572</v>
      </c>
      <c r="F25" s="4">
        <v>42128</v>
      </c>
      <c r="G25" t="s">
        <v>1558</v>
      </c>
      <c r="H25" s="3">
        <v>1291728</v>
      </c>
      <c r="I25" t="s">
        <v>1573</v>
      </c>
      <c r="J25" t="s">
        <v>1555</v>
      </c>
      <c r="K25" s="4">
        <v>45564</v>
      </c>
      <c r="L25" s="7">
        <f t="shared" si="1"/>
        <v>740</v>
      </c>
    </row>
    <row r="26" spans="1:12" x14ac:dyDescent="0.3">
      <c r="A26" t="s">
        <v>425</v>
      </c>
      <c r="B26" t="str">
        <f t="shared" si="0"/>
        <v>First</v>
      </c>
      <c r="C26" t="s">
        <v>1584</v>
      </c>
      <c r="D26" t="s">
        <v>1568</v>
      </c>
      <c r="E26" t="s">
        <v>1569</v>
      </c>
      <c r="F26" s="4">
        <v>37074</v>
      </c>
      <c r="G26" t="s">
        <v>1553</v>
      </c>
      <c r="H26" s="3">
        <v>1853494</v>
      </c>
      <c r="I26" t="s">
        <v>1573</v>
      </c>
      <c r="J26" t="s">
        <v>1560</v>
      </c>
      <c r="K26" s="4">
        <v>45625</v>
      </c>
      <c r="L26" s="7">
        <f t="shared" si="1"/>
        <v>679</v>
      </c>
    </row>
    <row r="27" spans="1:12" x14ac:dyDescent="0.3">
      <c r="A27" t="s">
        <v>824</v>
      </c>
      <c r="B27" t="str">
        <f t="shared" si="0"/>
        <v>First</v>
      </c>
      <c r="C27" t="s">
        <v>1598</v>
      </c>
      <c r="D27" t="s">
        <v>1576</v>
      </c>
      <c r="E27" t="s">
        <v>1572</v>
      </c>
      <c r="F27" s="4">
        <v>35916</v>
      </c>
      <c r="G27" t="s">
        <v>1558</v>
      </c>
      <c r="H27" s="3">
        <v>448544</v>
      </c>
      <c r="I27" t="s">
        <v>1554</v>
      </c>
      <c r="J27" t="s">
        <v>1555</v>
      </c>
      <c r="K27" s="4">
        <v>43917</v>
      </c>
      <c r="L27" s="7">
        <f t="shared" si="1"/>
        <v>2387</v>
      </c>
    </row>
    <row r="28" spans="1:12" x14ac:dyDescent="0.3">
      <c r="A28" t="s">
        <v>109</v>
      </c>
      <c r="B28" t="str">
        <f t="shared" si="0"/>
        <v>First</v>
      </c>
      <c r="C28" t="s">
        <v>1599</v>
      </c>
      <c r="D28" t="s">
        <v>1576</v>
      </c>
      <c r="E28" t="s">
        <v>1572</v>
      </c>
      <c r="F28" s="4">
        <v>27164</v>
      </c>
      <c r="G28" t="s">
        <v>1553</v>
      </c>
      <c r="H28" s="3">
        <v>210160</v>
      </c>
      <c r="I28" t="s">
        <v>1554</v>
      </c>
      <c r="J28" t="s">
        <v>1566</v>
      </c>
      <c r="K28" s="4">
        <v>44072</v>
      </c>
      <c r="L28" s="7">
        <f t="shared" si="1"/>
        <v>2232</v>
      </c>
    </row>
    <row r="29" spans="1:12" x14ac:dyDescent="0.3">
      <c r="A29" t="s">
        <v>287</v>
      </c>
      <c r="B29" t="str">
        <f t="shared" si="0"/>
        <v>First</v>
      </c>
      <c r="C29" t="s">
        <v>1600</v>
      </c>
      <c r="D29" t="s">
        <v>1551</v>
      </c>
      <c r="E29" t="s">
        <v>1552</v>
      </c>
      <c r="F29" s="4">
        <v>32636</v>
      </c>
      <c r="G29" t="s">
        <v>1558</v>
      </c>
      <c r="H29" s="3">
        <v>2336527</v>
      </c>
      <c r="I29" t="s">
        <v>1563</v>
      </c>
      <c r="J29" t="s">
        <v>1555</v>
      </c>
      <c r="K29" s="4">
        <v>44971</v>
      </c>
      <c r="L29" s="7">
        <f t="shared" si="1"/>
        <v>1333</v>
      </c>
    </row>
    <row r="30" spans="1:12" x14ac:dyDescent="0.3">
      <c r="A30" t="s">
        <v>231</v>
      </c>
      <c r="B30" t="str">
        <f t="shared" si="0"/>
        <v>First</v>
      </c>
      <c r="C30" t="s">
        <v>1601</v>
      </c>
      <c r="D30" t="s">
        <v>1589</v>
      </c>
      <c r="E30" t="s">
        <v>1569</v>
      </c>
      <c r="F30" s="4">
        <v>40326</v>
      </c>
      <c r="G30" t="s">
        <v>1562</v>
      </c>
      <c r="H30" s="3">
        <v>2596806</v>
      </c>
      <c r="I30" t="s">
        <v>1563</v>
      </c>
      <c r="J30" t="s">
        <v>1560</v>
      </c>
      <c r="K30" s="4">
        <v>44826</v>
      </c>
      <c r="L30" s="7">
        <f t="shared" si="1"/>
        <v>1478</v>
      </c>
    </row>
    <row r="31" spans="1:12" x14ac:dyDescent="0.3">
      <c r="A31" t="s">
        <v>419</v>
      </c>
      <c r="B31" t="str">
        <f t="shared" si="0"/>
        <v>First</v>
      </c>
      <c r="C31" t="s">
        <v>1602</v>
      </c>
      <c r="D31" t="s">
        <v>1551</v>
      </c>
      <c r="E31" t="s">
        <v>1552</v>
      </c>
      <c r="F31" s="4">
        <v>38962</v>
      </c>
      <c r="G31" t="s">
        <v>1562</v>
      </c>
      <c r="H31" s="3">
        <v>586557</v>
      </c>
      <c r="I31" t="s">
        <v>1559</v>
      </c>
      <c r="J31" t="s">
        <v>1555</v>
      </c>
      <c r="K31" s="4">
        <v>45282</v>
      </c>
      <c r="L31" s="7">
        <f t="shared" si="1"/>
        <v>1022</v>
      </c>
    </row>
    <row r="32" spans="1:12" x14ac:dyDescent="0.3">
      <c r="A32" t="s">
        <v>159</v>
      </c>
      <c r="B32" t="str">
        <f t="shared" si="0"/>
        <v>First</v>
      </c>
      <c r="C32" t="s">
        <v>1603</v>
      </c>
      <c r="D32" t="s">
        <v>1604</v>
      </c>
      <c r="E32" t="s">
        <v>1569</v>
      </c>
      <c r="F32" s="4">
        <v>28062</v>
      </c>
      <c r="G32" t="s">
        <v>1580</v>
      </c>
      <c r="H32" s="3">
        <v>3004295</v>
      </c>
      <c r="I32" t="s">
        <v>1563</v>
      </c>
      <c r="J32" t="s">
        <v>1560</v>
      </c>
      <c r="K32" s="4">
        <v>44079</v>
      </c>
      <c r="L32" s="7">
        <f t="shared" si="1"/>
        <v>2225</v>
      </c>
    </row>
    <row r="33" spans="1:12" x14ac:dyDescent="0.3">
      <c r="A33" t="s">
        <v>93</v>
      </c>
      <c r="B33" t="str">
        <f t="shared" si="0"/>
        <v>First</v>
      </c>
      <c r="C33" t="s">
        <v>1582</v>
      </c>
      <c r="D33" t="s">
        <v>1576</v>
      </c>
      <c r="E33" t="s">
        <v>1572</v>
      </c>
      <c r="F33" s="4">
        <v>31070</v>
      </c>
      <c r="G33" t="s">
        <v>1562</v>
      </c>
      <c r="H33" s="3">
        <v>983587</v>
      </c>
      <c r="I33" t="s">
        <v>1559</v>
      </c>
      <c r="J33" t="s">
        <v>1560</v>
      </c>
      <c r="K33" s="4">
        <v>46027</v>
      </c>
      <c r="L33" s="7">
        <f t="shared" si="1"/>
        <v>277</v>
      </c>
    </row>
    <row r="34" spans="1:12" x14ac:dyDescent="0.3">
      <c r="A34" t="s">
        <v>239</v>
      </c>
      <c r="B34" t="str">
        <f t="shared" si="0"/>
        <v>First</v>
      </c>
      <c r="C34" t="s">
        <v>1605</v>
      </c>
      <c r="D34" t="s">
        <v>1568</v>
      </c>
      <c r="E34" t="s">
        <v>1569</v>
      </c>
      <c r="F34" s="4">
        <v>33023</v>
      </c>
      <c r="G34" t="s">
        <v>1553</v>
      </c>
      <c r="H34" s="3">
        <v>2120402</v>
      </c>
      <c r="I34" t="s">
        <v>1563</v>
      </c>
      <c r="J34" t="s">
        <v>1560</v>
      </c>
      <c r="K34" s="4">
        <v>44139</v>
      </c>
      <c r="L34" s="7">
        <f t="shared" si="1"/>
        <v>2165</v>
      </c>
    </row>
    <row r="35" spans="1:12" x14ac:dyDescent="0.3">
      <c r="A35" t="s">
        <v>196</v>
      </c>
      <c r="B35" t="str">
        <f t="shared" si="0"/>
        <v>First</v>
      </c>
      <c r="C35" t="s">
        <v>1606</v>
      </c>
      <c r="D35" t="s">
        <v>1557</v>
      </c>
      <c r="E35" t="s">
        <v>1552</v>
      </c>
      <c r="F35" s="4">
        <v>27894</v>
      </c>
      <c r="G35" t="s">
        <v>1562</v>
      </c>
      <c r="H35" s="3">
        <v>241898</v>
      </c>
      <c r="I35" t="s">
        <v>1554</v>
      </c>
      <c r="J35" t="s">
        <v>1566</v>
      </c>
      <c r="K35" s="4">
        <v>44799</v>
      </c>
      <c r="L35" s="7">
        <f t="shared" si="1"/>
        <v>1505</v>
      </c>
    </row>
    <row r="36" spans="1:12" x14ac:dyDescent="0.3">
      <c r="A36" t="s">
        <v>64</v>
      </c>
      <c r="B36" t="str">
        <f t="shared" si="0"/>
        <v>First</v>
      </c>
      <c r="C36" t="s">
        <v>1607</v>
      </c>
      <c r="D36" t="s">
        <v>1576</v>
      </c>
      <c r="E36" t="s">
        <v>1572</v>
      </c>
      <c r="F36" s="4">
        <v>26759</v>
      </c>
      <c r="G36" t="s">
        <v>1562</v>
      </c>
      <c r="H36" s="3">
        <v>1862084</v>
      </c>
      <c r="I36" t="s">
        <v>1573</v>
      </c>
      <c r="J36" t="s">
        <v>1566</v>
      </c>
      <c r="K36" s="4">
        <v>44505</v>
      </c>
      <c r="L36" s="7">
        <f t="shared" si="1"/>
        <v>1799</v>
      </c>
    </row>
    <row r="37" spans="1:12" x14ac:dyDescent="0.3">
      <c r="A37" t="s">
        <v>953</v>
      </c>
      <c r="B37" t="str">
        <f t="shared" si="0"/>
        <v>First</v>
      </c>
      <c r="C37" t="s">
        <v>1608</v>
      </c>
      <c r="D37" t="s">
        <v>1565</v>
      </c>
      <c r="E37" t="s">
        <v>1552</v>
      </c>
      <c r="F37" s="4">
        <v>38699</v>
      </c>
      <c r="G37" t="s">
        <v>1558</v>
      </c>
      <c r="H37" s="3">
        <v>1376421</v>
      </c>
      <c r="I37" t="s">
        <v>1573</v>
      </c>
      <c r="J37" t="s">
        <v>1566</v>
      </c>
      <c r="K37" s="4">
        <v>46107</v>
      </c>
      <c r="L37" s="7">
        <f t="shared" si="1"/>
        <v>197</v>
      </c>
    </row>
    <row r="38" spans="1:12" x14ac:dyDescent="0.3">
      <c r="A38" t="s">
        <v>720</v>
      </c>
      <c r="B38" t="str">
        <f t="shared" si="0"/>
        <v>First</v>
      </c>
      <c r="C38" t="s">
        <v>1609</v>
      </c>
      <c r="D38" t="s">
        <v>1576</v>
      </c>
      <c r="E38" t="s">
        <v>1572</v>
      </c>
      <c r="F38" s="4">
        <v>43816</v>
      </c>
      <c r="G38" t="s">
        <v>1580</v>
      </c>
      <c r="H38" s="3">
        <v>425296</v>
      </c>
      <c r="I38" t="s">
        <v>1554</v>
      </c>
      <c r="J38" t="s">
        <v>1560</v>
      </c>
      <c r="K38" s="4">
        <v>46051</v>
      </c>
      <c r="L38" s="7">
        <f t="shared" si="1"/>
        <v>253</v>
      </c>
    </row>
    <row r="39" spans="1:12" x14ac:dyDescent="0.3">
      <c r="A39" t="s">
        <v>524</v>
      </c>
      <c r="B39" t="str">
        <f t="shared" si="0"/>
        <v>First</v>
      </c>
      <c r="C39" t="s">
        <v>1610</v>
      </c>
      <c r="D39" t="s">
        <v>1604</v>
      </c>
      <c r="E39" t="s">
        <v>1569</v>
      </c>
      <c r="F39" s="4">
        <v>40461</v>
      </c>
      <c r="G39" t="s">
        <v>1553</v>
      </c>
      <c r="H39" s="3">
        <v>2630218</v>
      </c>
      <c r="I39" t="s">
        <v>1563</v>
      </c>
      <c r="J39" t="s">
        <v>1555</v>
      </c>
      <c r="K39" s="4">
        <v>45890</v>
      </c>
      <c r="L39" s="7">
        <f t="shared" si="1"/>
        <v>414</v>
      </c>
    </row>
    <row r="40" spans="1:12" x14ac:dyDescent="0.3">
      <c r="A40" t="s">
        <v>272</v>
      </c>
      <c r="B40" t="str">
        <f t="shared" si="0"/>
        <v>First</v>
      </c>
      <c r="C40" t="s">
        <v>1611</v>
      </c>
      <c r="D40" t="s">
        <v>1551</v>
      </c>
      <c r="E40" t="s">
        <v>1552</v>
      </c>
      <c r="F40" s="4">
        <v>27083</v>
      </c>
      <c r="G40" t="s">
        <v>1558</v>
      </c>
      <c r="H40" s="3">
        <v>959406</v>
      </c>
      <c r="I40" t="s">
        <v>1559</v>
      </c>
      <c r="J40" t="s">
        <v>1566</v>
      </c>
      <c r="K40" s="4">
        <v>46268</v>
      </c>
      <c r="L40" s="7">
        <f t="shared" si="1"/>
        <v>36</v>
      </c>
    </row>
    <row r="41" spans="1:12" x14ac:dyDescent="0.3">
      <c r="A41" t="s">
        <v>184</v>
      </c>
      <c r="B41" t="str">
        <f t="shared" si="0"/>
        <v>First</v>
      </c>
      <c r="C41" t="s">
        <v>1612</v>
      </c>
      <c r="D41" t="s">
        <v>1551</v>
      </c>
      <c r="E41" t="s">
        <v>1552</v>
      </c>
      <c r="F41" s="4">
        <v>32905</v>
      </c>
      <c r="G41" t="s">
        <v>1553</v>
      </c>
      <c r="H41" s="3">
        <v>2569391</v>
      </c>
      <c r="I41" t="s">
        <v>1563</v>
      </c>
      <c r="J41" t="s">
        <v>1566</v>
      </c>
      <c r="K41" s="4">
        <v>46202</v>
      </c>
      <c r="L41" s="7">
        <f t="shared" si="1"/>
        <v>102</v>
      </c>
    </row>
    <row r="42" spans="1:12" x14ac:dyDescent="0.3">
      <c r="A42" t="s">
        <v>919</v>
      </c>
      <c r="B42" t="str">
        <f t="shared" si="0"/>
        <v>First</v>
      </c>
      <c r="C42" t="s">
        <v>1613</v>
      </c>
      <c r="D42" t="s">
        <v>1589</v>
      </c>
      <c r="E42" t="s">
        <v>1569</v>
      </c>
      <c r="F42" s="4">
        <v>41968</v>
      </c>
      <c r="G42" t="s">
        <v>1580</v>
      </c>
      <c r="H42" s="3">
        <v>2550733</v>
      </c>
      <c r="I42" t="s">
        <v>1563</v>
      </c>
      <c r="J42" t="s">
        <v>1560</v>
      </c>
      <c r="K42" s="4">
        <v>45126</v>
      </c>
      <c r="L42" s="7">
        <f t="shared" si="1"/>
        <v>1178</v>
      </c>
    </row>
    <row r="43" spans="1:12" x14ac:dyDescent="0.3">
      <c r="A43" t="s">
        <v>761</v>
      </c>
      <c r="B43" t="str">
        <f t="shared" si="0"/>
        <v>First</v>
      </c>
      <c r="C43" t="s">
        <v>1614</v>
      </c>
      <c r="D43" t="s">
        <v>1568</v>
      </c>
      <c r="E43" t="s">
        <v>1569</v>
      </c>
      <c r="F43" s="4">
        <v>29126</v>
      </c>
      <c r="G43" t="s">
        <v>1553</v>
      </c>
      <c r="H43" s="3">
        <v>1840046</v>
      </c>
      <c r="I43" t="s">
        <v>1573</v>
      </c>
      <c r="J43" t="s">
        <v>1560</v>
      </c>
      <c r="K43" s="4">
        <v>45059</v>
      </c>
      <c r="L43" s="7">
        <f t="shared" si="1"/>
        <v>1245</v>
      </c>
    </row>
    <row r="44" spans="1:12" x14ac:dyDescent="0.3">
      <c r="A44" t="s">
        <v>144</v>
      </c>
      <c r="B44" t="str">
        <f t="shared" si="0"/>
        <v>First</v>
      </c>
      <c r="C44" t="s">
        <v>1615</v>
      </c>
      <c r="D44" t="s">
        <v>1565</v>
      </c>
      <c r="E44" t="s">
        <v>1552</v>
      </c>
      <c r="F44" s="4">
        <v>43286</v>
      </c>
      <c r="G44" t="s">
        <v>1558</v>
      </c>
      <c r="H44" s="3">
        <v>2785330</v>
      </c>
      <c r="I44" t="s">
        <v>1563</v>
      </c>
      <c r="J44" t="s">
        <v>1555</v>
      </c>
      <c r="K44" s="4">
        <v>44240</v>
      </c>
      <c r="L44" s="7">
        <f t="shared" si="1"/>
        <v>2064</v>
      </c>
    </row>
    <row r="45" spans="1:12" x14ac:dyDescent="0.3">
      <c r="A45" t="s">
        <v>448</v>
      </c>
      <c r="B45" t="str">
        <f t="shared" si="0"/>
        <v>First</v>
      </c>
      <c r="C45" t="s">
        <v>1616</v>
      </c>
      <c r="D45" t="s">
        <v>1568</v>
      </c>
      <c r="E45" t="s">
        <v>1569</v>
      </c>
      <c r="F45" s="4">
        <v>36274</v>
      </c>
      <c r="G45" t="s">
        <v>1580</v>
      </c>
      <c r="H45" s="3">
        <v>735563</v>
      </c>
      <c r="I45" t="s">
        <v>1559</v>
      </c>
      <c r="J45" t="s">
        <v>1560</v>
      </c>
      <c r="K45" s="4">
        <v>44112</v>
      </c>
      <c r="L45" s="7">
        <f t="shared" si="1"/>
        <v>2192</v>
      </c>
    </row>
    <row r="46" spans="1:12" x14ac:dyDescent="0.3">
      <c r="A46" t="s">
        <v>289</v>
      </c>
      <c r="B46" t="str">
        <f t="shared" si="0"/>
        <v>First</v>
      </c>
      <c r="C46" t="s">
        <v>1617</v>
      </c>
      <c r="D46" t="s">
        <v>1565</v>
      </c>
      <c r="E46" t="s">
        <v>1552</v>
      </c>
      <c r="F46" s="4">
        <v>34750</v>
      </c>
      <c r="G46" t="s">
        <v>1580</v>
      </c>
      <c r="H46" s="3">
        <v>2458421</v>
      </c>
      <c r="I46" t="s">
        <v>1563</v>
      </c>
      <c r="J46" t="s">
        <v>1555</v>
      </c>
      <c r="K46" s="4">
        <v>45997</v>
      </c>
      <c r="L46" s="7">
        <f t="shared" si="1"/>
        <v>307</v>
      </c>
    </row>
    <row r="47" spans="1:12" x14ac:dyDescent="0.3">
      <c r="A47" t="s">
        <v>474</v>
      </c>
      <c r="B47" t="str">
        <f t="shared" si="0"/>
        <v>First</v>
      </c>
      <c r="C47" t="s">
        <v>1618</v>
      </c>
      <c r="D47" t="s">
        <v>1551</v>
      </c>
      <c r="E47" t="s">
        <v>1552</v>
      </c>
      <c r="F47" s="4">
        <v>33504</v>
      </c>
      <c r="G47" t="s">
        <v>1558</v>
      </c>
      <c r="H47" s="3">
        <v>743257</v>
      </c>
      <c r="I47" t="s">
        <v>1559</v>
      </c>
      <c r="J47" t="s">
        <v>1566</v>
      </c>
      <c r="K47" s="4">
        <v>44303</v>
      </c>
      <c r="L47" s="7">
        <f t="shared" si="1"/>
        <v>2001</v>
      </c>
    </row>
    <row r="48" spans="1:12" x14ac:dyDescent="0.3">
      <c r="A48" t="s">
        <v>556</v>
      </c>
      <c r="B48" t="str">
        <f t="shared" si="0"/>
        <v>First</v>
      </c>
      <c r="C48" t="s">
        <v>1619</v>
      </c>
      <c r="D48" t="s">
        <v>1568</v>
      </c>
      <c r="E48" t="s">
        <v>1569</v>
      </c>
      <c r="F48" s="4">
        <v>31739</v>
      </c>
      <c r="G48" t="s">
        <v>1580</v>
      </c>
      <c r="H48" s="3">
        <v>2716840</v>
      </c>
      <c r="I48" t="s">
        <v>1563</v>
      </c>
      <c r="J48" t="s">
        <v>1555</v>
      </c>
      <c r="K48" s="4">
        <v>45235</v>
      </c>
      <c r="L48" s="7">
        <f t="shared" si="1"/>
        <v>1069</v>
      </c>
    </row>
    <row r="49" spans="1:12" x14ac:dyDescent="0.3">
      <c r="A49" t="s">
        <v>1181</v>
      </c>
      <c r="B49" t="str">
        <f t="shared" si="0"/>
        <v>First</v>
      </c>
      <c r="C49" t="s">
        <v>1620</v>
      </c>
      <c r="D49" t="s">
        <v>1565</v>
      </c>
      <c r="E49" t="s">
        <v>1552</v>
      </c>
      <c r="F49" s="4">
        <v>26502</v>
      </c>
      <c r="G49" t="s">
        <v>1580</v>
      </c>
      <c r="H49" s="3">
        <v>1233278</v>
      </c>
      <c r="I49" t="s">
        <v>1573</v>
      </c>
      <c r="J49" t="s">
        <v>1560</v>
      </c>
      <c r="K49" s="4">
        <v>44209</v>
      </c>
      <c r="L49" s="7">
        <f t="shared" si="1"/>
        <v>2095</v>
      </c>
    </row>
    <row r="50" spans="1:12" x14ac:dyDescent="0.3">
      <c r="A50" t="s">
        <v>633</v>
      </c>
      <c r="B50" t="str">
        <f t="shared" si="0"/>
        <v>First</v>
      </c>
      <c r="C50" t="s">
        <v>1564</v>
      </c>
      <c r="D50" t="s">
        <v>1604</v>
      </c>
      <c r="E50" t="s">
        <v>1569</v>
      </c>
      <c r="F50" s="4">
        <v>29124</v>
      </c>
      <c r="G50" t="s">
        <v>1562</v>
      </c>
      <c r="H50" s="3">
        <v>1579037</v>
      </c>
      <c r="I50" t="s">
        <v>1573</v>
      </c>
      <c r="J50" t="s">
        <v>1555</v>
      </c>
      <c r="K50" s="4">
        <v>44903</v>
      </c>
      <c r="L50" s="7">
        <f t="shared" si="1"/>
        <v>1401</v>
      </c>
    </row>
    <row r="51" spans="1:12" x14ac:dyDescent="0.3">
      <c r="A51" t="s">
        <v>445</v>
      </c>
      <c r="B51" t="str">
        <f t="shared" si="0"/>
        <v>First</v>
      </c>
      <c r="C51" t="s">
        <v>1621</v>
      </c>
      <c r="D51" t="s">
        <v>1585</v>
      </c>
      <c r="E51" t="s">
        <v>1586</v>
      </c>
      <c r="F51" s="4">
        <v>25154</v>
      </c>
      <c r="G51" t="s">
        <v>1558</v>
      </c>
      <c r="H51" s="3">
        <v>2532613</v>
      </c>
      <c r="I51" t="s">
        <v>1563</v>
      </c>
      <c r="J51" t="s">
        <v>1555</v>
      </c>
      <c r="K51" s="4">
        <v>44289</v>
      </c>
      <c r="L51" s="7">
        <f t="shared" si="1"/>
        <v>2015</v>
      </c>
    </row>
    <row r="52" spans="1:12" x14ac:dyDescent="0.3">
      <c r="A52" t="s">
        <v>808</v>
      </c>
      <c r="B52" t="str">
        <f t="shared" si="0"/>
        <v>First</v>
      </c>
      <c r="C52" t="s">
        <v>1622</v>
      </c>
      <c r="D52" t="s">
        <v>1604</v>
      </c>
      <c r="E52" t="s">
        <v>1569</v>
      </c>
      <c r="F52" s="4">
        <v>42943</v>
      </c>
      <c r="G52" t="s">
        <v>1553</v>
      </c>
      <c r="H52" s="3">
        <v>1728604</v>
      </c>
      <c r="I52" t="s">
        <v>1573</v>
      </c>
      <c r="J52" t="s">
        <v>1566</v>
      </c>
      <c r="K52" s="4">
        <v>44437</v>
      </c>
      <c r="L52" s="7">
        <f t="shared" si="1"/>
        <v>1867</v>
      </c>
    </row>
    <row r="53" spans="1:12" x14ac:dyDescent="0.3">
      <c r="A53" t="s">
        <v>281</v>
      </c>
      <c r="B53" t="str">
        <f t="shared" si="0"/>
        <v>First</v>
      </c>
      <c r="C53" t="s">
        <v>1579</v>
      </c>
      <c r="D53" t="s">
        <v>1571</v>
      </c>
      <c r="E53" t="s">
        <v>1572</v>
      </c>
      <c r="F53" s="4">
        <v>36562</v>
      </c>
      <c r="G53" t="s">
        <v>1553</v>
      </c>
      <c r="H53" s="3">
        <v>347331</v>
      </c>
      <c r="I53" t="s">
        <v>1554</v>
      </c>
      <c r="J53" t="s">
        <v>1566</v>
      </c>
      <c r="K53" s="4">
        <v>44691</v>
      </c>
      <c r="L53" s="7">
        <f t="shared" si="1"/>
        <v>1613</v>
      </c>
    </row>
    <row r="54" spans="1:12" x14ac:dyDescent="0.3">
      <c r="A54" t="s">
        <v>55</v>
      </c>
      <c r="B54" t="str">
        <f t="shared" si="0"/>
        <v>First</v>
      </c>
      <c r="C54" t="s">
        <v>1623</v>
      </c>
      <c r="D54" t="s">
        <v>1557</v>
      </c>
      <c r="E54" t="s">
        <v>1552</v>
      </c>
      <c r="F54" s="4">
        <v>29902</v>
      </c>
      <c r="G54" t="s">
        <v>1558</v>
      </c>
      <c r="H54" s="3">
        <v>1884470</v>
      </c>
      <c r="I54" t="s">
        <v>1573</v>
      </c>
      <c r="J54" t="s">
        <v>1566</v>
      </c>
      <c r="K54" s="4">
        <v>44800</v>
      </c>
      <c r="L54" s="7">
        <f t="shared" si="1"/>
        <v>1504</v>
      </c>
    </row>
    <row r="55" spans="1:12" x14ac:dyDescent="0.3">
      <c r="A55" t="s">
        <v>609</v>
      </c>
      <c r="B55" t="str">
        <f t="shared" si="0"/>
        <v>First</v>
      </c>
      <c r="C55" t="s">
        <v>1624</v>
      </c>
      <c r="D55" t="s">
        <v>1604</v>
      </c>
      <c r="E55" t="s">
        <v>1569</v>
      </c>
      <c r="F55" s="4">
        <v>35723</v>
      </c>
      <c r="G55" t="s">
        <v>1558</v>
      </c>
      <c r="H55" s="3">
        <v>932293</v>
      </c>
      <c r="I55" t="s">
        <v>1559</v>
      </c>
      <c r="J55" t="s">
        <v>1555</v>
      </c>
      <c r="K55" s="4">
        <v>45517</v>
      </c>
      <c r="L55" s="7">
        <f t="shared" si="1"/>
        <v>787</v>
      </c>
    </row>
    <row r="56" spans="1:12" x14ac:dyDescent="0.3">
      <c r="A56" t="s">
        <v>491</v>
      </c>
      <c r="B56" t="str">
        <f t="shared" si="0"/>
        <v>First</v>
      </c>
      <c r="C56" t="s">
        <v>1625</v>
      </c>
      <c r="D56" t="s">
        <v>1551</v>
      </c>
      <c r="E56" t="s">
        <v>1552</v>
      </c>
      <c r="F56" s="4">
        <v>26106</v>
      </c>
      <c r="G56" t="s">
        <v>1562</v>
      </c>
      <c r="H56" s="3">
        <v>1784496</v>
      </c>
      <c r="I56" t="s">
        <v>1573</v>
      </c>
      <c r="J56" t="s">
        <v>1566</v>
      </c>
      <c r="K56" s="4">
        <v>45758</v>
      </c>
      <c r="L56" s="7">
        <f t="shared" si="1"/>
        <v>546</v>
      </c>
    </row>
    <row r="57" spans="1:12" x14ac:dyDescent="0.3">
      <c r="A57" t="s">
        <v>852</v>
      </c>
      <c r="B57" t="str">
        <f t="shared" si="0"/>
        <v>First</v>
      </c>
      <c r="C57" t="s">
        <v>1626</v>
      </c>
      <c r="D57" t="s">
        <v>1568</v>
      </c>
      <c r="E57" t="s">
        <v>1569</v>
      </c>
      <c r="F57" s="4">
        <v>32142</v>
      </c>
      <c r="G57" t="s">
        <v>1580</v>
      </c>
      <c r="H57" s="3">
        <v>1134604</v>
      </c>
      <c r="I57" t="s">
        <v>1573</v>
      </c>
      <c r="J57" t="s">
        <v>1566</v>
      </c>
      <c r="K57" s="4">
        <v>43927</v>
      </c>
      <c r="L57" s="7">
        <f t="shared" si="1"/>
        <v>2377</v>
      </c>
    </row>
    <row r="58" spans="1:12" x14ac:dyDescent="0.3">
      <c r="A58" t="s">
        <v>441</v>
      </c>
      <c r="B58" t="str">
        <f t="shared" si="0"/>
        <v>First</v>
      </c>
      <c r="C58" t="s">
        <v>1627</v>
      </c>
      <c r="D58" t="s">
        <v>1551</v>
      </c>
      <c r="E58" t="s">
        <v>1552</v>
      </c>
      <c r="F58" s="4">
        <v>33984</v>
      </c>
      <c r="G58" t="s">
        <v>1580</v>
      </c>
      <c r="H58" s="3">
        <v>3423567</v>
      </c>
      <c r="I58" t="s">
        <v>1563</v>
      </c>
      <c r="J58" t="s">
        <v>1560</v>
      </c>
      <c r="K58" s="4">
        <v>45269</v>
      </c>
      <c r="L58" s="7">
        <f t="shared" si="1"/>
        <v>1035</v>
      </c>
    </row>
    <row r="59" spans="1:12" x14ac:dyDescent="0.3">
      <c r="A59" t="s">
        <v>407</v>
      </c>
      <c r="B59" t="str">
        <f t="shared" si="0"/>
        <v>First</v>
      </c>
      <c r="C59" t="s">
        <v>1628</v>
      </c>
      <c r="D59" t="s">
        <v>1551</v>
      </c>
      <c r="E59" t="s">
        <v>1552</v>
      </c>
      <c r="F59" s="4">
        <v>30689</v>
      </c>
      <c r="G59" t="s">
        <v>1553</v>
      </c>
      <c r="H59" s="3">
        <v>1275615</v>
      </c>
      <c r="I59" t="s">
        <v>1573</v>
      </c>
      <c r="J59" t="s">
        <v>1555</v>
      </c>
      <c r="K59" s="4">
        <v>46209</v>
      </c>
      <c r="L59" s="7">
        <f t="shared" si="1"/>
        <v>95</v>
      </c>
    </row>
    <row r="60" spans="1:12" x14ac:dyDescent="0.3">
      <c r="A60" t="s">
        <v>152</v>
      </c>
      <c r="B60" t="str">
        <f t="shared" si="0"/>
        <v>First</v>
      </c>
      <c r="C60" t="s">
        <v>1629</v>
      </c>
      <c r="D60" t="s">
        <v>1585</v>
      </c>
      <c r="E60" t="s">
        <v>1586</v>
      </c>
      <c r="F60" s="4">
        <v>35116</v>
      </c>
      <c r="G60" t="s">
        <v>1553</v>
      </c>
      <c r="H60" s="3">
        <v>1629916</v>
      </c>
      <c r="I60" t="s">
        <v>1573</v>
      </c>
      <c r="J60" t="s">
        <v>1566</v>
      </c>
      <c r="K60" s="4">
        <v>45618</v>
      </c>
      <c r="L60" s="7">
        <f t="shared" si="1"/>
        <v>686</v>
      </c>
    </row>
    <row r="61" spans="1:12" x14ac:dyDescent="0.3">
      <c r="A61" t="s">
        <v>614</v>
      </c>
      <c r="B61" t="str">
        <f t="shared" si="0"/>
        <v>First</v>
      </c>
      <c r="C61" t="s">
        <v>1630</v>
      </c>
      <c r="D61" t="s">
        <v>1589</v>
      </c>
      <c r="E61" t="s">
        <v>1569</v>
      </c>
      <c r="F61" s="4">
        <v>33184</v>
      </c>
      <c r="G61" t="s">
        <v>1558</v>
      </c>
      <c r="H61" s="3">
        <v>977248</v>
      </c>
      <c r="I61" t="s">
        <v>1559</v>
      </c>
      <c r="J61" t="s">
        <v>1566</v>
      </c>
      <c r="K61" s="4">
        <v>44012</v>
      </c>
      <c r="L61" s="7">
        <f t="shared" si="1"/>
        <v>2292</v>
      </c>
    </row>
    <row r="62" spans="1:12" x14ac:dyDescent="0.3">
      <c r="A62" t="s">
        <v>618</v>
      </c>
      <c r="B62" t="str">
        <f t="shared" si="0"/>
        <v>First</v>
      </c>
      <c r="C62" t="s">
        <v>1618</v>
      </c>
      <c r="D62" t="s">
        <v>1585</v>
      </c>
      <c r="E62" t="s">
        <v>1586</v>
      </c>
      <c r="F62" s="4">
        <v>35657</v>
      </c>
      <c r="G62" t="s">
        <v>1580</v>
      </c>
      <c r="H62" s="3">
        <v>473491</v>
      </c>
      <c r="I62" t="s">
        <v>1554</v>
      </c>
      <c r="J62" t="s">
        <v>1555</v>
      </c>
      <c r="K62" s="4">
        <v>45116</v>
      </c>
      <c r="L62" s="7">
        <f t="shared" si="1"/>
        <v>1188</v>
      </c>
    </row>
    <row r="63" spans="1:12" x14ac:dyDescent="0.3">
      <c r="A63" t="s">
        <v>888</v>
      </c>
      <c r="B63" t="str">
        <f t="shared" si="0"/>
        <v>First</v>
      </c>
      <c r="C63" t="s">
        <v>1603</v>
      </c>
      <c r="D63" t="s">
        <v>1568</v>
      </c>
      <c r="E63" t="s">
        <v>1569</v>
      </c>
      <c r="F63" s="4">
        <v>38220</v>
      </c>
      <c r="G63" t="s">
        <v>1580</v>
      </c>
      <c r="H63" s="3">
        <v>2977151</v>
      </c>
      <c r="I63" t="s">
        <v>1563</v>
      </c>
      <c r="J63" t="s">
        <v>1555</v>
      </c>
      <c r="K63" s="4">
        <v>45167</v>
      </c>
      <c r="L63" s="7">
        <f t="shared" si="1"/>
        <v>1137</v>
      </c>
    </row>
    <row r="64" spans="1:12" x14ac:dyDescent="0.3">
      <c r="A64" t="s">
        <v>646</v>
      </c>
      <c r="B64" t="str">
        <f t="shared" si="0"/>
        <v>First</v>
      </c>
      <c r="C64" t="s">
        <v>1631</v>
      </c>
      <c r="D64" t="s">
        <v>1592</v>
      </c>
      <c r="E64" t="s">
        <v>1572</v>
      </c>
      <c r="F64" s="4">
        <v>38615</v>
      </c>
      <c r="G64" t="s">
        <v>1580</v>
      </c>
      <c r="H64" s="3">
        <v>984635</v>
      </c>
      <c r="I64" t="s">
        <v>1559</v>
      </c>
      <c r="J64" t="s">
        <v>1566</v>
      </c>
      <c r="K64" s="4">
        <v>45383</v>
      </c>
      <c r="L64" s="7">
        <f t="shared" si="1"/>
        <v>921</v>
      </c>
    </row>
    <row r="65" spans="1:12" x14ac:dyDescent="0.3">
      <c r="A65" t="s">
        <v>1103</v>
      </c>
      <c r="B65" t="str">
        <f t="shared" si="0"/>
        <v>First</v>
      </c>
      <c r="C65" t="s">
        <v>1626</v>
      </c>
      <c r="D65" t="s">
        <v>1557</v>
      </c>
      <c r="E65" t="s">
        <v>1552</v>
      </c>
      <c r="F65" s="4">
        <v>34795</v>
      </c>
      <c r="G65" t="s">
        <v>1580</v>
      </c>
      <c r="H65" s="3">
        <v>181702</v>
      </c>
      <c r="I65" t="s">
        <v>1554</v>
      </c>
      <c r="J65" t="s">
        <v>1566</v>
      </c>
      <c r="K65" s="4">
        <v>45006</v>
      </c>
      <c r="L65" s="7">
        <f t="shared" si="1"/>
        <v>1298</v>
      </c>
    </row>
    <row r="66" spans="1:12" x14ac:dyDescent="0.3">
      <c r="A66" t="s">
        <v>309</v>
      </c>
      <c r="B66" t="str">
        <f t="shared" si="0"/>
        <v>First</v>
      </c>
      <c r="C66" t="s">
        <v>1601</v>
      </c>
      <c r="D66" t="s">
        <v>1565</v>
      </c>
      <c r="E66" t="s">
        <v>1552</v>
      </c>
      <c r="F66" s="4">
        <v>31840</v>
      </c>
      <c r="G66" t="s">
        <v>1558</v>
      </c>
      <c r="H66" s="3">
        <v>2034552</v>
      </c>
      <c r="I66" t="s">
        <v>1563</v>
      </c>
      <c r="J66" t="s">
        <v>1555</v>
      </c>
      <c r="K66" s="4">
        <v>45924</v>
      </c>
      <c r="L66" s="7">
        <f t="shared" si="1"/>
        <v>380</v>
      </c>
    </row>
    <row r="67" spans="1:12" x14ac:dyDescent="0.3">
      <c r="A67" t="s">
        <v>356</v>
      </c>
      <c r="B67" t="str">
        <f t="shared" ref="B67:B130" si="2">IF(COUNTIF(A67:A246,A67)=1,"First","Duplicate")</f>
        <v>First</v>
      </c>
      <c r="C67" t="s">
        <v>1632</v>
      </c>
      <c r="D67" t="s">
        <v>1551</v>
      </c>
      <c r="E67" t="s">
        <v>1552</v>
      </c>
      <c r="F67" s="4">
        <v>41728</v>
      </c>
      <c r="G67" t="s">
        <v>1558</v>
      </c>
      <c r="H67" s="3">
        <v>1370286</v>
      </c>
      <c r="I67" t="s">
        <v>1573</v>
      </c>
      <c r="J67" t="s">
        <v>1555</v>
      </c>
      <c r="K67" s="4">
        <v>45203</v>
      </c>
      <c r="L67" s="7">
        <f t="shared" ref="L67:L130" si="3">DATE(2026,10,9)-K67</f>
        <v>1101</v>
      </c>
    </row>
    <row r="68" spans="1:12" x14ac:dyDescent="0.3">
      <c r="A68" t="s">
        <v>781</v>
      </c>
      <c r="B68" t="str">
        <f t="shared" si="2"/>
        <v>First</v>
      </c>
      <c r="C68" t="s">
        <v>1633</v>
      </c>
      <c r="D68" t="s">
        <v>1568</v>
      </c>
      <c r="E68" t="s">
        <v>1569</v>
      </c>
      <c r="F68" s="4">
        <v>31363</v>
      </c>
      <c r="G68" t="s">
        <v>1558</v>
      </c>
      <c r="H68" s="3">
        <v>1122211</v>
      </c>
      <c r="I68" t="s">
        <v>1573</v>
      </c>
      <c r="J68" t="s">
        <v>1566</v>
      </c>
      <c r="K68" s="4">
        <v>44434</v>
      </c>
      <c r="L68" s="7">
        <f t="shared" si="3"/>
        <v>1870</v>
      </c>
    </row>
    <row r="69" spans="1:12" x14ac:dyDescent="0.3">
      <c r="A69" t="s">
        <v>352</v>
      </c>
      <c r="B69" t="str">
        <f t="shared" si="2"/>
        <v>First</v>
      </c>
      <c r="C69" t="s">
        <v>1634</v>
      </c>
      <c r="D69" t="s">
        <v>1589</v>
      </c>
      <c r="E69" t="s">
        <v>1569</v>
      </c>
      <c r="F69" s="4">
        <v>27224</v>
      </c>
      <c r="G69" t="s">
        <v>1558</v>
      </c>
      <c r="H69" s="3">
        <v>3403277</v>
      </c>
      <c r="I69" t="s">
        <v>1563</v>
      </c>
      <c r="J69" t="s">
        <v>1555</v>
      </c>
      <c r="K69" s="4">
        <v>45696</v>
      </c>
      <c r="L69" s="7">
        <f t="shared" si="3"/>
        <v>608</v>
      </c>
    </row>
    <row r="70" spans="1:12" x14ac:dyDescent="0.3">
      <c r="A70" t="s">
        <v>307</v>
      </c>
      <c r="B70" t="str">
        <f t="shared" si="2"/>
        <v>First</v>
      </c>
      <c r="C70" t="s">
        <v>1596</v>
      </c>
      <c r="D70" t="s">
        <v>1585</v>
      </c>
      <c r="E70" t="s">
        <v>1586</v>
      </c>
      <c r="F70" s="4">
        <v>37933</v>
      </c>
      <c r="G70" t="s">
        <v>1553</v>
      </c>
      <c r="H70" s="3">
        <v>2253568</v>
      </c>
      <c r="I70" t="s">
        <v>1563</v>
      </c>
      <c r="J70" t="s">
        <v>1560</v>
      </c>
      <c r="K70" s="4">
        <v>44830</v>
      </c>
      <c r="L70" s="7">
        <f t="shared" si="3"/>
        <v>1474</v>
      </c>
    </row>
    <row r="71" spans="1:12" x14ac:dyDescent="0.3">
      <c r="A71" t="s">
        <v>364</v>
      </c>
      <c r="B71" t="str">
        <f t="shared" si="2"/>
        <v>First</v>
      </c>
      <c r="C71" t="s">
        <v>1635</v>
      </c>
      <c r="D71" t="s">
        <v>1585</v>
      </c>
      <c r="E71" t="s">
        <v>1586</v>
      </c>
      <c r="F71" s="4">
        <v>30601</v>
      </c>
      <c r="G71" t="s">
        <v>1558</v>
      </c>
      <c r="H71" s="3">
        <v>1097886</v>
      </c>
      <c r="I71" t="s">
        <v>1573</v>
      </c>
      <c r="J71" t="s">
        <v>1560</v>
      </c>
      <c r="K71" s="4">
        <v>45952</v>
      </c>
      <c r="L71" s="7">
        <f t="shared" si="3"/>
        <v>352</v>
      </c>
    </row>
    <row r="72" spans="1:12" x14ac:dyDescent="0.3">
      <c r="A72" t="s">
        <v>314</v>
      </c>
      <c r="B72" t="str">
        <f t="shared" si="2"/>
        <v>First</v>
      </c>
      <c r="C72" t="s">
        <v>1636</v>
      </c>
      <c r="D72" t="s">
        <v>1565</v>
      </c>
      <c r="E72" t="s">
        <v>1552</v>
      </c>
      <c r="F72" s="4">
        <v>40063</v>
      </c>
      <c r="G72" t="s">
        <v>1580</v>
      </c>
      <c r="H72" s="3">
        <v>739264</v>
      </c>
      <c r="I72" t="s">
        <v>1559</v>
      </c>
      <c r="J72" t="s">
        <v>1566</v>
      </c>
      <c r="K72" s="4">
        <v>46006</v>
      </c>
      <c r="L72" s="7">
        <f t="shared" si="3"/>
        <v>298</v>
      </c>
    </row>
    <row r="73" spans="1:12" x14ac:dyDescent="0.3">
      <c r="A73" t="s">
        <v>173</v>
      </c>
      <c r="B73" t="str">
        <f t="shared" si="2"/>
        <v>First</v>
      </c>
      <c r="C73" t="s">
        <v>1637</v>
      </c>
      <c r="D73" t="s">
        <v>1589</v>
      </c>
      <c r="E73" t="s">
        <v>1569</v>
      </c>
      <c r="F73" s="4">
        <v>41378</v>
      </c>
      <c r="G73" t="s">
        <v>1558</v>
      </c>
      <c r="H73" s="3">
        <v>3196853</v>
      </c>
      <c r="I73" t="s">
        <v>1563</v>
      </c>
      <c r="J73" t="s">
        <v>1555</v>
      </c>
      <c r="K73" s="4">
        <v>45578</v>
      </c>
      <c r="L73" s="7">
        <f t="shared" si="3"/>
        <v>726</v>
      </c>
    </row>
    <row r="74" spans="1:12" x14ac:dyDescent="0.3">
      <c r="A74" t="s">
        <v>481</v>
      </c>
      <c r="B74" t="str">
        <f t="shared" si="2"/>
        <v>First</v>
      </c>
      <c r="C74" t="s">
        <v>1638</v>
      </c>
      <c r="D74" t="s">
        <v>1565</v>
      </c>
      <c r="E74" t="s">
        <v>1552</v>
      </c>
      <c r="F74" s="4">
        <v>33331</v>
      </c>
      <c r="G74" t="s">
        <v>1562</v>
      </c>
      <c r="H74" s="3">
        <v>2067729</v>
      </c>
      <c r="I74" t="s">
        <v>1563</v>
      </c>
      <c r="J74" t="s">
        <v>1555</v>
      </c>
      <c r="K74" s="4">
        <v>44843</v>
      </c>
      <c r="L74" s="7">
        <f t="shared" si="3"/>
        <v>1461</v>
      </c>
    </row>
    <row r="75" spans="1:12" x14ac:dyDescent="0.3">
      <c r="A75" t="s">
        <v>642</v>
      </c>
      <c r="B75" t="str">
        <f t="shared" si="2"/>
        <v>First</v>
      </c>
      <c r="C75" t="s">
        <v>1639</v>
      </c>
      <c r="D75" t="s">
        <v>1576</v>
      </c>
      <c r="E75" t="s">
        <v>1572</v>
      </c>
      <c r="F75" s="4">
        <v>39251</v>
      </c>
      <c r="G75" t="s">
        <v>1580</v>
      </c>
      <c r="H75" s="3">
        <v>1331745</v>
      </c>
      <c r="I75" t="s">
        <v>1573</v>
      </c>
      <c r="J75" t="s">
        <v>1566</v>
      </c>
      <c r="K75" s="4">
        <v>44148</v>
      </c>
      <c r="L75" s="7">
        <f t="shared" si="3"/>
        <v>2156</v>
      </c>
    </row>
    <row r="76" spans="1:12" x14ac:dyDescent="0.3">
      <c r="A76" t="s">
        <v>599</v>
      </c>
      <c r="B76" t="str">
        <f t="shared" si="2"/>
        <v>First</v>
      </c>
      <c r="C76" t="s">
        <v>1640</v>
      </c>
      <c r="D76" t="s">
        <v>1571</v>
      </c>
      <c r="E76" t="s">
        <v>1572</v>
      </c>
      <c r="F76" s="4">
        <v>27478</v>
      </c>
      <c r="G76" t="s">
        <v>1562</v>
      </c>
      <c r="H76" s="3">
        <v>2445562</v>
      </c>
      <c r="I76" t="s">
        <v>1563</v>
      </c>
      <c r="J76" t="s">
        <v>1555</v>
      </c>
      <c r="K76" s="4">
        <v>44397</v>
      </c>
      <c r="L76" s="7">
        <f t="shared" si="3"/>
        <v>1907</v>
      </c>
    </row>
    <row r="77" spans="1:12" x14ac:dyDescent="0.3">
      <c r="A77" t="s">
        <v>1058</v>
      </c>
      <c r="B77" t="str">
        <f t="shared" si="2"/>
        <v>First</v>
      </c>
      <c r="C77" t="s">
        <v>1602</v>
      </c>
      <c r="D77" t="s">
        <v>1592</v>
      </c>
      <c r="E77" t="s">
        <v>1572</v>
      </c>
      <c r="F77" s="4">
        <v>31848</v>
      </c>
      <c r="G77" t="s">
        <v>1580</v>
      </c>
      <c r="H77" s="3">
        <v>3142936</v>
      </c>
      <c r="I77" t="s">
        <v>1563</v>
      </c>
      <c r="J77" t="s">
        <v>1555</v>
      </c>
      <c r="K77" s="4">
        <v>44094</v>
      </c>
      <c r="L77" s="7">
        <f t="shared" si="3"/>
        <v>2210</v>
      </c>
    </row>
    <row r="78" spans="1:12" x14ac:dyDescent="0.3">
      <c r="A78" t="s">
        <v>728</v>
      </c>
      <c r="B78" t="str">
        <f t="shared" si="2"/>
        <v>First</v>
      </c>
      <c r="C78" t="s">
        <v>1602</v>
      </c>
      <c r="D78" t="s">
        <v>1565</v>
      </c>
      <c r="E78" t="s">
        <v>1552</v>
      </c>
      <c r="F78" s="4">
        <v>26878</v>
      </c>
      <c r="G78" t="s">
        <v>1553</v>
      </c>
      <c r="H78" s="3">
        <v>1923883</v>
      </c>
      <c r="I78" t="s">
        <v>1573</v>
      </c>
      <c r="J78" t="s">
        <v>1555</v>
      </c>
      <c r="K78" s="4">
        <v>44678</v>
      </c>
      <c r="L78" s="7">
        <f t="shared" si="3"/>
        <v>1626</v>
      </c>
    </row>
    <row r="79" spans="1:12" x14ac:dyDescent="0.3">
      <c r="A79" t="s">
        <v>948</v>
      </c>
      <c r="B79" t="str">
        <f t="shared" si="2"/>
        <v>First</v>
      </c>
      <c r="C79" t="s">
        <v>1641</v>
      </c>
      <c r="D79" t="s">
        <v>1585</v>
      </c>
      <c r="E79" t="s">
        <v>1586</v>
      </c>
      <c r="F79" s="4">
        <v>25031</v>
      </c>
      <c r="G79" t="s">
        <v>1562</v>
      </c>
      <c r="H79" s="3">
        <v>2180598</v>
      </c>
      <c r="I79" t="s">
        <v>1563</v>
      </c>
      <c r="J79" t="s">
        <v>1566</v>
      </c>
      <c r="K79" s="4">
        <v>45271</v>
      </c>
      <c r="L79" s="7">
        <f t="shared" si="3"/>
        <v>1033</v>
      </c>
    </row>
    <row r="80" spans="1:12" x14ac:dyDescent="0.3">
      <c r="A80" t="s">
        <v>187</v>
      </c>
      <c r="B80" t="str">
        <f t="shared" si="2"/>
        <v>First</v>
      </c>
      <c r="C80" t="s">
        <v>1600</v>
      </c>
      <c r="D80" t="s">
        <v>1557</v>
      </c>
      <c r="E80" t="s">
        <v>1552</v>
      </c>
      <c r="F80" s="4">
        <v>42733</v>
      </c>
      <c r="G80" t="s">
        <v>1580</v>
      </c>
      <c r="H80" s="3">
        <v>3315307</v>
      </c>
      <c r="I80" t="s">
        <v>1563</v>
      </c>
      <c r="J80" t="s">
        <v>1566</v>
      </c>
      <c r="K80" s="4">
        <v>44734</v>
      </c>
      <c r="L80" s="7">
        <f t="shared" si="3"/>
        <v>1570</v>
      </c>
    </row>
    <row r="81" spans="1:12" x14ac:dyDescent="0.3">
      <c r="A81" t="s">
        <v>138</v>
      </c>
      <c r="B81" t="str">
        <f t="shared" si="2"/>
        <v>First</v>
      </c>
      <c r="C81" t="s">
        <v>1603</v>
      </c>
      <c r="D81" t="s">
        <v>1565</v>
      </c>
      <c r="E81" t="s">
        <v>1552</v>
      </c>
      <c r="F81" s="4">
        <v>37580</v>
      </c>
      <c r="G81" t="s">
        <v>1558</v>
      </c>
      <c r="H81" s="3">
        <v>301738</v>
      </c>
      <c r="I81" t="s">
        <v>1554</v>
      </c>
      <c r="J81" t="s">
        <v>1566</v>
      </c>
      <c r="K81" s="4">
        <v>45207</v>
      </c>
      <c r="L81" s="7">
        <f t="shared" si="3"/>
        <v>1097</v>
      </c>
    </row>
    <row r="82" spans="1:12" x14ac:dyDescent="0.3">
      <c r="A82" t="s">
        <v>714</v>
      </c>
      <c r="B82" t="str">
        <f t="shared" si="2"/>
        <v>First</v>
      </c>
      <c r="C82" t="s">
        <v>1642</v>
      </c>
      <c r="D82" t="s">
        <v>1592</v>
      </c>
      <c r="E82" t="s">
        <v>1572</v>
      </c>
      <c r="F82" s="4">
        <v>42340</v>
      </c>
      <c r="G82" t="s">
        <v>1553</v>
      </c>
      <c r="H82" s="3">
        <v>2789934</v>
      </c>
      <c r="I82" t="s">
        <v>1563</v>
      </c>
      <c r="J82" t="s">
        <v>1560</v>
      </c>
      <c r="K82" s="4">
        <v>43941</v>
      </c>
      <c r="L82" s="7">
        <f t="shared" si="3"/>
        <v>2363</v>
      </c>
    </row>
    <row r="83" spans="1:12" x14ac:dyDescent="0.3">
      <c r="A83" t="s">
        <v>625</v>
      </c>
      <c r="B83" t="str">
        <f t="shared" si="2"/>
        <v>First</v>
      </c>
      <c r="C83" t="s">
        <v>1643</v>
      </c>
      <c r="D83" t="s">
        <v>1585</v>
      </c>
      <c r="E83" t="s">
        <v>1586</v>
      </c>
      <c r="F83" s="4">
        <v>39966</v>
      </c>
      <c r="G83" t="s">
        <v>1562</v>
      </c>
      <c r="H83" s="3">
        <v>749164</v>
      </c>
      <c r="I83" t="s">
        <v>1559</v>
      </c>
      <c r="J83" t="s">
        <v>1566</v>
      </c>
      <c r="K83" s="4">
        <v>44575</v>
      </c>
      <c r="L83" s="7">
        <f t="shared" si="3"/>
        <v>1729</v>
      </c>
    </row>
    <row r="84" spans="1:12" x14ac:dyDescent="0.3">
      <c r="A84" t="s">
        <v>295</v>
      </c>
      <c r="B84" t="str">
        <f t="shared" si="2"/>
        <v>First</v>
      </c>
      <c r="C84" t="s">
        <v>1644</v>
      </c>
      <c r="D84" t="s">
        <v>1576</v>
      </c>
      <c r="E84" t="s">
        <v>1572</v>
      </c>
      <c r="F84" s="4">
        <v>35548</v>
      </c>
      <c r="G84" t="s">
        <v>1562</v>
      </c>
      <c r="H84" s="3">
        <v>2087147</v>
      </c>
      <c r="I84" t="s">
        <v>1563</v>
      </c>
      <c r="J84" t="s">
        <v>1566</v>
      </c>
      <c r="K84" s="4">
        <v>45213</v>
      </c>
      <c r="L84" s="7">
        <f t="shared" si="3"/>
        <v>1091</v>
      </c>
    </row>
    <row r="85" spans="1:12" x14ac:dyDescent="0.3">
      <c r="A85" t="s">
        <v>162</v>
      </c>
      <c r="B85" t="str">
        <f t="shared" si="2"/>
        <v>First</v>
      </c>
      <c r="C85" t="s">
        <v>1645</v>
      </c>
      <c r="D85" t="s">
        <v>1551</v>
      </c>
      <c r="E85" t="s">
        <v>1552</v>
      </c>
      <c r="F85" s="4">
        <v>25473</v>
      </c>
      <c r="G85" t="s">
        <v>1558</v>
      </c>
      <c r="H85" s="3">
        <v>2152609</v>
      </c>
      <c r="I85" t="s">
        <v>1563</v>
      </c>
      <c r="J85" t="s">
        <v>1555</v>
      </c>
      <c r="K85" s="4">
        <v>46040</v>
      </c>
      <c r="L85" s="7">
        <f t="shared" si="3"/>
        <v>264</v>
      </c>
    </row>
    <row r="86" spans="1:12" x14ac:dyDescent="0.3">
      <c r="A86" t="s">
        <v>327</v>
      </c>
      <c r="B86" t="str">
        <f t="shared" si="2"/>
        <v>First</v>
      </c>
      <c r="C86" t="s">
        <v>1625</v>
      </c>
      <c r="D86" t="s">
        <v>1551</v>
      </c>
      <c r="E86" t="s">
        <v>1552</v>
      </c>
      <c r="F86" s="4">
        <v>26157</v>
      </c>
      <c r="G86" t="s">
        <v>1553</v>
      </c>
      <c r="H86" s="3">
        <v>3456728</v>
      </c>
      <c r="I86" t="s">
        <v>1563</v>
      </c>
      <c r="J86" t="s">
        <v>1555</v>
      </c>
      <c r="K86" s="4">
        <v>43958</v>
      </c>
      <c r="L86" s="7">
        <f t="shared" si="3"/>
        <v>2346</v>
      </c>
    </row>
    <row r="87" spans="1:12" x14ac:dyDescent="0.3">
      <c r="A87" t="s">
        <v>170</v>
      </c>
      <c r="B87" t="str">
        <f t="shared" si="2"/>
        <v>First</v>
      </c>
      <c r="C87" t="s">
        <v>1646</v>
      </c>
      <c r="D87" t="s">
        <v>1592</v>
      </c>
      <c r="E87" t="s">
        <v>1572</v>
      </c>
      <c r="F87" s="4">
        <v>28974</v>
      </c>
      <c r="G87" t="s">
        <v>1558</v>
      </c>
      <c r="H87" s="3">
        <v>1180530</v>
      </c>
      <c r="I87" t="s">
        <v>1573</v>
      </c>
      <c r="J87" t="s">
        <v>1566</v>
      </c>
      <c r="K87" s="4">
        <v>45770</v>
      </c>
      <c r="L87" s="7">
        <f t="shared" si="3"/>
        <v>534</v>
      </c>
    </row>
    <row r="88" spans="1:12" x14ac:dyDescent="0.3">
      <c r="A88" t="s">
        <v>88</v>
      </c>
      <c r="B88" t="str">
        <f t="shared" si="2"/>
        <v>First</v>
      </c>
      <c r="C88" t="s">
        <v>1647</v>
      </c>
      <c r="D88" t="s">
        <v>1568</v>
      </c>
      <c r="E88" t="s">
        <v>1569</v>
      </c>
      <c r="F88" s="4">
        <v>36925</v>
      </c>
      <c r="G88" t="s">
        <v>1553</v>
      </c>
      <c r="H88" s="3">
        <v>3396603</v>
      </c>
      <c r="I88" t="s">
        <v>1563</v>
      </c>
      <c r="J88" t="s">
        <v>1560</v>
      </c>
      <c r="K88" s="4">
        <v>44518</v>
      </c>
      <c r="L88" s="7">
        <f t="shared" si="3"/>
        <v>1786</v>
      </c>
    </row>
    <row r="89" spans="1:12" x14ac:dyDescent="0.3">
      <c r="A89" t="s">
        <v>320</v>
      </c>
      <c r="B89" t="str">
        <f t="shared" si="2"/>
        <v>First</v>
      </c>
      <c r="C89" t="s">
        <v>1648</v>
      </c>
      <c r="D89" t="s">
        <v>1568</v>
      </c>
      <c r="E89" t="s">
        <v>1569</v>
      </c>
      <c r="F89" s="4">
        <v>43800</v>
      </c>
      <c r="G89" t="s">
        <v>1562</v>
      </c>
      <c r="H89" s="3">
        <v>633399</v>
      </c>
      <c r="I89" t="s">
        <v>1559</v>
      </c>
      <c r="J89" t="s">
        <v>1566</v>
      </c>
      <c r="K89" s="4">
        <v>43936</v>
      </c>
      <c r="L89" s="7">
        <f t="shared" si="3"/>
        <v>2368</v>
      </c>
    </row>
    <row r="90" spans="1:12" x14ac:dyDescent="0.3">
      <c r="A90" t="s">
        <v>501</v>
      </c>
      <c r="B90" t="str">
        <f t="shared" si="2"/>
        <v>First</v>
      </c>
      <c r="C90" t="s">
        <v>1649</v>
      </c>
      <c r="D90" t="s">
        <v>1576</v>
      </c>
      <c r="E90" t="s">
        <v>1572</v>
      </c>
      <c r="F90" s="4">
        <v>32795</v>
      </c>
      <c r="G90" t="s">
        <v>1553</v>
      </c>
      <c r="H90" s="3">
        <v>498752</v>
      </c>
      <c r="I90" t="s">
        <v>1554</v>
      </c>
      <c r="J90" t="s">
        <v>1555</v>
      </c>
      <c r="K90" s="4">
        <v>44248</v>
      </c>
      <c r="L90" s="7">
        <f t="shared" si="3"/>
        <v>2056</v>
      </c>
    </row>
    <row r="91" spans="1:12" x14ac:dyDescent="0.3">
      <c r="A91" t="s">
        <v>116</v>
      </c>
      <c r="B91" t="str">
        <f t="shared" si="2"/>
        <v>First</v>
      </c>
      <c r="C91" t="s">
        <v>1650</v>
      </c>
      <c r="D91" t="s">
        <v>1604</v>
      </c>
      <c r="E91" t="s">
        <v>1569</v>
      </c>
      <c r="F91" s="4">
        <v>42294</v>
      </c>
      <c r="G91" t="s">
        <v>1580</v>
      </c>
      <c r="H91" s="3">
        <v>1636278</v>
      </c>
      <c r="I91" t="s">
        <v>1573</v>
      </c>
      <c r="J91" t="s">
        <v>1560</v>
      </c>
      <c r="K91" s="4">
        <v>45585</v>
      </c>
      <c r="L91" s="7">
        <f t="shared" si="3"/>
        <v>719</v>
      </c>
    </row>
    <row r="92" spans="1:12" x14ac:dyDescent="0.3">
      <c r="A92" t="s">
        <v>220</v>
      </c>
      <c r="B92" t="str">
        <f t="shared" si="2"/>
        <v>First</v>
      </c>
      <c r="C92" t="s">
        <v>1651</v>
      </c>
      <c r="D92" t="s">
        <v>1585</v>
      </c>
      <c r="E92" t="s">
        <v>1586</v>
      </c>
      <c r="F92" s="4">
        <v>28296</v>
      </c>
      <c r="G92" t="s">
        <v>1562</v>
      </c>
      <c r="H92" s="3">
        <v>2236054</v>
      </c>
      <c r="I92" t="s">
        <v>1563</v>
      </c>
      <c r="J92" t="s">
        <v>1555</v>
      </c>
      <c r="K92" s="4">
        <v>45606</v>
      </c>
      <c r="L92" s="7">
        <f t="shared" si="3"/>
        <v>698</v>
      </c>
    </row>
    <row r="93" spans="1:12" x14ac:dyDescent="0.3">
      <c r="A93" t="s">
        <v>914</v>
      </c>
      <c r="B93" t="str">
        <f t="shared" si="2"/>
        <v>First</v>
      </c>
      <c r="C93" t="s">
        <v>1652</v>
      </c>
      <c r="D93" t="s">
        <v>1592</v>
      </c>
      <c r="E93" t="s">
        <v>1572</v>
      </c>
      <c r="F93" s="4">
        <v>30609</v>
      </c>
      <c r="G93" t="s">
        <v>1562</v>
      </c>
      <c r="H93" s="3">
        <v>2006565</v>
      </c>
      <c r="I93" t="s">
        <v>1563</v>
      </c>
      <c r="J93" t="s">
        <v>1566</v>
      </c>
      <c r="K93" s="4">
        <v>45968</v>
      </c>
      <c r="L93" s="7">
        <f t="shared" si="3"/>
        <v>336</v>
      </c>
    </row>
    <row r="94" spans="1:12" x14ac:dyDescent="0.3">
      <c r="A94" t="s">
        <v>359</v>
      </c>
      <c r="B94" t="str">
        <f t="shared" si="2"/>
        <v>First</v>
      </c>
      <c r="C94" t="s">
        <v>1575</v>
      </c>
      <c r="D94" t="s">
        <v>1585</v>
      </c>
      <c r="E94" t="s">
        <v>1586</v>
      </c>
      <c r="F94" s="4">
        <v>33632</v>
      </c>
      <c r="G94" t="s">
        <v>1553</v>
      </c>
      <c r="H94" s="3">
        <v>3246146</v>
      </c>
      <c r="I94" t="s">
        <v>1563</v>
      </c>
      <c r="J94" t="s">
        <v>1566</v>
      </c>
      <c r="K94" s="4">
        <v>45151</v>
      </c>
      <c r="L94" s="7">
        <f t="shared" si="3"/>
        <v>1153</v>
      </c>
    </row>
    <row r="95" spans="1:12" x14ac:dyDescent="0.3">
      <c r="A95" t="s">
        <v>126</v>
      </c>
      <c r="B95" t="str">
        <f t="shared" si="2"/>
        <v>First</v>
      </c>
      <c r="C95" t="s">
        <v>1653</v>
      </c>
      <c r="D95" t="s">
        <v>1565</v>
      </c>
      <c r="E95" t="s">
        <v>1552</v>
      </c>
      <c r="F95" s="4">
        <v>40065</v>
      </c>
      <c r="G95" t="s">
        <v>1562</v>
      </c>
      <c r="H95" s="3">
        <v>1202837</v>
      </c>
      <c r="I95" t="s">
        <v>1573</v>
      </c>
      <c r="J95" t="s">
        <v>1566</v>
      </c>
      <c r="K95" s="4">
        <v>46165</v>
      </c>
      <c r="L95" s="7">
        <f t="shared" si="3"/>
        <v>139</v>
      </c>
    </row>
    <row r="96" spans="1:12" x14ac:dyDescent="0.3">
      <c r="A96" t="s">
        <v>1170</v>
      </c>
      <c r="B96" t="str">
        <f t="shared" si="2"/>
        <v>First</v>
      </c>
      <c r="C96" t="s">
        <v>1600</v>
      </c>
      <c r="D96" t="s">
        <v>1604</v>
      </c>
      <c r="E96" t="s">
        <v>1569</v>
      </c>
      <c r="F96" s="4">
        <v>35488</v>
      </c>
      <c r="G96" t="s">
        <v>1580</v>
      </c>
      <c r="H96" s="3">
        <v>2253271</v>
      </c>
      <c r="I96" t="s">
        <v>1563</v>
      </c>
      <c r="J96" t="s">
        <v>1566</v>
      </c>
      <c r="K96" s="4">
        <v>44575</v>
      </c>
      <c r="L96" s="7">
        <f t="shared" si="3"/>
        <v>1729</v>
      </c>
    </row>
    <row r="97" spans="1:12" x14ac:dyDescent="0.3">
      <c r="A97" t="s">
        <v>292</v>
      </c>
      <c r="B97" t="str">
        <f t="shared" si="2"/>
        <v>First</v>
      </c>
      <c r="C97" t="s">
        <v>1654</v>
      </c>
      <c r="D97" t="s">
        <v>1571</v>
      </c>
      <c r="E97" t="s">
        <v>1572</v>
      </c>
      <c r="F97" s="4">
        <v>33890</v>
      </c>
      <c r="G97" t="s">
        <v>1558</v>
      </c>
      <c r="H97" s="3">
        <v>1352972</v>
      </c>
      <c r="I97" t="s">
        <v>1573</v>
      </c>
      <c r="J97" t="s">
        <v>1560</v>
      </c>
      <c r="K97" s="4">
        <v>46107</v>
      </c>
      <c r="L97" s="7">
        <f t="shared" si="3"/>
        <v>197</v>
      </c>
    </row>
    <row r="98" spans="1:12" x14ac:dyDescent="0.3">
      <c r="A98" t="s">
        <v>968</v>
      </c>
      <c r="B98" t="str">
        <f t="shared" si="2"/>
        <v>First</v>
      </c>
      <c r="C98" t="s">
        <v>1655</v>
      </c>
      <c r="D98" t="s">
        <v>1576</v>
      </c>
      <c r="E98" t="s">
        <v>1572</v>
      </c>
      <c r="F98" s="4">
        <v>38155</v>
      </c>
      <c r="G98" t="s">
        <v>1558</v>
      </c>
      <c r="H98" s="3">
        <v>3200212</v>
      </c>
      <c r="I98" t="s">
        <v>1563</v>
      </c>
      <c r="J98" t="s">
        <v>1555</v>
      </c>
      <c r="K98" s="4">
        <v>45832</v>
      </c>
      <c r="L98" s="7">
        <f t="shared" si="3"/>
        <v>472</v>
      </c>
    </row>
    <row r="99" spans="1:12" x14ac:dyDescent="0.3">
      <c r="A99" t="s">
        <v>270</v>
      </c>
      <c r="B99" t="str">
        <f t="shared" si="2"/>
        <v>First</v>
      </c>
      <c r="C99" t="s">
        <v>1556</v>
      </c>
      <c r="D99" t="s">
        <v>1565</v>
      </c>
      <c r="E99" t="s">
        <v>1552</v>
      </c>
      <c r="F99" s="4">
        <v>40921</v>
      </c>
      <c r="G99" t="s">
        <v>1580</v>
      </c>
      <c r="H99" s="3">
        <v>2889113</v>
      </c>
      <c r="I99" t="s">
        <v>1563</v>
      </c>
      <c r="J99" t="s">
        <v>1560</v>
      </c>
      <c r="K99" s="4">
        <v>45666</v>
      </c>
      <c r="L99" s="7">
        <f t="shared" si="3"/>
        <v>638</v>
      </c>
    </row>
    <row r="100" spans="1:12" x14ac:dyDescent="0.3">
      <c r="A100" t="s">
        <v>708</v>
      </c>
      <c r="B100" t="str">
        <f t="shared" si="2"/>
        <v>First</v>
      </c>
      <c r="C100" t="s">
        <v>1656</v>
      </c>
      <c r="D100" t="s">
        <v>1585</v>
      </c>
      <c r="E100" t="s">
        <v>1586</v>
      </c>
      <c r="F100" s="4">
        <v>32810</v>
      </c>
      <c r="G100" t="s">
        <v>1562</v>
      </c>
      <c r="H100" s="3">
        <v>3081565</v>
      </c>
      <c r="I100" t="s">
        <v>1563</v>
      </c>
      <c r="J100" t="s">
        <v>1555</v>
      </c>
      <c r="K100" s="4">
        <v>45085</v>
      </c>
      <c r="L100" s="7">
        <f t="shared" si="3"/>
        <v>1219</v>
      </c>
    </row>
    <row r="101" spans="1:12" x14ac:dyDescent="0.3">
      <c r="A101" t="s">
        <v>213</v>
      </c>
      <c r="B101" t="str">
        <f t="shared" si="2"/>
        <v>First</v>
      </c>
      <c r="C101" t="s">
        <v>1657</v>
      </c>
      <c r="D101" t="s">
        <v>1557</v>
      </c>
      <c r="E101" t="s">
        <v>1552</v>
      </c>
      <c r="F101" s="4">
        <v>38780</v>
      </c>
      <c r="G101" t="s">
        <v>1562</v>
      </c>
      <c r="H101" s="3">
        <v>1621823</v>
      </c>
      <c r="I101" t="s">
        <v>1573</v>
      </c>
      <c r="J101" t="s">
        <v>1566</v>
      </c>
      <c r="K101" s="4">
        <v>46085</v>
      </c>
      <c r="L101" s="7">
        <f t="shared" si="3"/>
        <v>219</v>
      </c>
    </row>
    <row r="102" spans="1:12" x14ac:dyDescent="0.3">
      <c r="A102" t="s">
        <v>771</v>
      </c>
      <c r="B102" t="str">
        <f t="shared" si="2"/>
        <v>First</v>
      </c>
      <c r="C102" t="s">
        <v>1658</v>
      </c>
      <c r="D102" t="s">
        <v>1568</v>
      </c>
      <c r="E102" t="s">
        <v>1569</v>
      </c>
      <c r="F102" s="4">
        <v>32392</v>
      </c>
      <c r="G102" t="s">
        <v>1553</v>
      </c>
      <c r="H102" s="3">
        <v>1234463</v>
      </c>
      <c r="I102" t="s">
        <v>1573</v>
      </c>
      <c r="J102" t="s">
        <v>1555</v>
      </c>
      <c r="K102" s="4">
        <v>44325</v>
      </c>
      <c r="L102" s="7">
        <f t="shared" si="3"/>
        <v>1979</v>
      </c>
    </row>
    <row r="103" spans="1:12" x14ac:dyDescent="0.3">
      <c r="A103" t="s">
        <v>130</v>
      </c>
      <c r="B103" t="str">
        <f t="shared" si="2"/>
        <v>First</v>
      </c>
      <c r="C103" t="s">
        <v>1561</v>
      </c>
      <c r="D103" t="s">
        <v>1557</v>
      </c>
      <c r="E103" t="s">
        <v>1552</v>
      </c>
      <c r="F103" s="4">
        <v>30904</v>
      </c>
      <c r="G103" t="s">
        <v>1562</v>
      </c>
      <c r="H103" s="3">
        <v>3376854</v>
      </c>
      <c r="I103" t="s">
        <v>1563</v>
      </c>
      <c r="J103" t="s">
        <v>1566</v>
      </c>
      <c r="K103" s="4">
        <v>44615</v>
      </c>
      <c r="L103" s="7">
        <f t="shared" si="3"/>
        <v>1689</v>
      </c>
    </row>
    <row r="104" spans="1:12" x14ac:dyDescent="0.3">
      <c r="A104" t="s">
        <v>521</v>
      </c>
      <c r="B104" t="str">
        <f t="shared" si="2"/>
        <v>First</v>
      </c>
      <c r="C104" t="s">
        <v>1659</v>
      </c>
      <c r="D104" t="s">
        <v>1589</v>
      </c>
      <c r="E104" t="s">
        <v>1569</v>
      </c>
      <c r="F104" s="4">
        <v>42029</v>
      </c>
      <c r="G104" t="s">
        <v>1558</v>
      </c>
      <c r="H104" s="3">
        <v>3368543</v>
      </c>
      <c r="I104" t="s">
        <v>1563</v>
      </c>
      <c r="J104" t="s">
        <v>1566</v>
      </c>
      <c r="K104" s="4">
        <v>46275</v>
      </c>
      <c r="L104" s="7">
        <f t="shared" si="3"/>
        <v>29</v>
      </c>
    </row>
    <row r="105" spans="1:12" x14ac:dyDescent="0.3">
      <c r="A105" t="s">
        <v>732</v>
      </c>
      <c r="B105" t="str">
        <f t="shared" si="2"/>
        <v>First</v>
      </c>
      <c r="C105" t="s">
        <v>1660</v>
      </c>
      <c r="D105" t="s">
        <v>1576</v>
      </c>
      <c r="E105" t="s">
        <v>1572</v>
      </c>
      <c r="F105" s="4">
        <v>30717</v>
      </c>
      <c r="G105" t="s">
        <v>1558</v>
      </c>
      <c r="H105" s="3">
        <v>1693644</v>
      </c>
      <c r="I105" t="s">
        <v>1573</v>
      </c>
      <c r="J105" t="s">
        <v>1566</v>
      </c>
      <c r="K105" s="4">
        <v>45069</v>
      </c>
      <c r="L105" s="7">
        <f t="shared" si="3"/>
        <v>1235</v>
      </c>
    </row>
    <row r="106" spans="1:12" x14ac:dyDescent="0.3">
      <c r="A106" t="s">
        <v>1087</v>
      </c>
      <c r="B106" t="str">
        <f t="shared" si="2"/>
        <v>First</v>
      </c>
      <c r="C106" t="s">
        <v>1596</v>
      </c>
      <c r="D106" t="s">
        <v>1604</v>
      </c>
      <c r="E106" t="s">
        <v>1569</v>
      </c>
      <c r="F106" s="4">
        <v>42970</v>
      </c>
      <c r="G106" t="s">
        <v>1562</v>
      </c>
      <c r="H106" s="3">
        <v>408698</v>
      </c>
      <c r="I106" t="s">
        <v>1554</v>
      </c>
      <c r="J106" t="s">
        <v>1560</v>
      </c>
      <c r="K106" s="4">
        <v>45027</v>
      </c>
      <c r="L106" s="7">
        <f t="shared" si="3"/>
        <v>1277</v>
      </c>
    </row>
    <row r="107" spans="1:12" x14ac:dyDescent="0.3">
      <c r="A107" t="s">
        <v>547</v>
      </c>
      <c r="B107" t="str">
        <f t="shared" si="2"/>
        <v>First</v>
      </c>
      <c r="C107" t="s">
        <v>1661</v>
      </c>
      <c r="D107" t="s">
        <v>1604</v>
      </c>
      <c r="E107" t="s">
        <v>1569</v>
      </c>
      <c r="F107" s="4">
        <v>34155</v>
      </c>
      <c r="G107" t="s">
        <v>1580</v>
      </c>
      <c r="H107" s="3">
        <v>2587799</v>
      </c>
      <c r="I107" t="s">
        <v>1563</v>
      </c>
      <c r="J107" t="s">
        <v>1560</v>
      </c>
      <c r="K107" s="4">
        <v>45753</v>
      </c>
      <c r="L107" s="7">
        <f t="shared" si="3"/>
        <v>551</v>
      </c>
    </row>
    <row r="108" spans="1:12" x14ac:dyDescent="0.3">
      <c r="A108" t="s">
        <v>368</v>
      </c>
      <c r="B108" t="str">
        <f t="shared" si="2"/>
        <v>First</v>
      </c>
      <c r="C108" t="s">
        <v>1662</v>
      </c>
      <c r="D108" t="s">
        <v>1604</v>
      </c>
      <c r="E108" t="s">
        <v>1569</v>
      </c>
      <c r="F108" s="4">
        <v>40492</v>
      </c>
      <c r="G108" t="s">
        <v>1562</v>
      </c>
      <c r="H108" s="3">
        <v>1238971</v>
      </c>
      <c r="I108" t="s">
        <v>1573</v>
      </c>
      <c r="J108" t="s">
        <v>1560</v>
      </c>
      <c r="K108" s="4">
        <v>44298</v>
      </c>
      <c r="L108" s="7">
        <f t="shared" si="3"/>
        <v>2006</v>
      </c>
    </row>
    <row r="109" spans="1:12" x14ac:dyDescent="0.3">
      <c r="A109" t="s">
        <v>210</v>
      </c>
      <c r="B109" t="str">
        <f t="shared" si="2"/>
        <v>First</v>
      </c>
      <c r="C109" t="s">
        <v>1663</v>
      </c>
      <c r="D109" t="s">
        <v>1589</v>
      </c>
      <c r="E109" t="s">
        <v>1569</v>
      </c>
      <c r="F109" s="4">
        <v>26594</v>
      </c>
      <c r="G109" t="s">
        <v>1580</v>
      </c>
      <c r="H109" s="3">
        <v>2820086</v>
      </c>
      <c r="I109" t="s">
        <v>1563</v>
      </c>
      <c r="J109" t="s">
        <v>1560</v>
      </c>
      <c r="K109" s="4">
        <v>44452</v>
      </c>
      <c r="L109" s="7">
        <f t="shared" si="3"/>
        <v>1852</v>
      </c>
    </row>
    <row r="110" spans="1:12" x14ac:dyDescent="0.3">
      <c r="A110" t="s">
        <v>1074</v>
      </c>
      <c r="B110" t="str">
        <f t="shared" si="2"/>
        <v>First</v>
      </c>
      <c r="C110" t="s">
        <v>1647</v>
      </c>
      <c r="D110" t="s">
        <v>1576</v>
      </c>
      <c r="E110" t="s">
        <v>1572</v>
      </c>
      <c r="F110" s="4">
        <v>43124</v>
      </c>
      <c r="G110" t="s">
        <v>1558</v>
      </c>
      <c r="H110" s="3">
        <v>676821</v>
      </c>
      <c r="I110" t="s">
        <v>1559</v>
      </c>
      <c r="J110" t="s">
        <v>1555</v>
      </c>
      <c r="K110" s="4">
        <v>45535</v>
      </c>
      <c r="L110" s="7">
        <f t="shared" si="3"/>
        <v>769</v>
      </c>
    </row>
    <row r="111" spans="1:12" x14ac:dyDescent="0.3">
      <c r="A111" t="s">
        <v>102</v>
      </c>
      <c r="B111" t="str">
        <f t="shared" si="2"/>
        <v>First</v>
      </c>
      <c r="C111" t="s">
        <v>1664</v>
      </c>
      <c r="D111" t="s">
        <v>1585</v>
      </c>
      <c r="E111" t="s">
        <v>1586</v>
      </c>
      <c r="F111" s="4">
        <v>39345</v>
      </c>
      <c r="G111" t="s">
        <v>1580</v>
      </c>
      <c r="H111" s="3">
        <v>2069594</v>
      </c>
      <c r="I111" t="s">
        <v>1563</v>
      </c>
      <c r="J111" t="s">
        <v>1555</v>
      </c>
      <c r="K111" s="4">
        <v>45048</v>
      </c>
      <c r="L111" s="7">
        <f t="shared" si="3"/>
        <v>1256</v>
      </c>
    </row>
    <row r="112" spans="1:12" x14ac:dyDescent="0.3">
      <c r="A112" t="s">
        <v>258</v>
      </c>
      <c r="B112" t="str">
        <f t="shared" si="2"/>
        <v>First</v>
      </c>
      <c r="C112" t="s">
        <v>1665</v>
      </c>
      <c r="D112" t="s">
        <v>1589</v>
      </c>
      <c r="E112" t="s">
        <v>1569</v>
      </c>
      <c r="F112" s="4">
        <v>28089</v>
      </c>
      <c r="G112" t="s">
        <v>1553</v>
      </c>
      <c r="H112" s="3">
        <v>432624</v>
      </c>
      <c r="I112" t="s">
        <v>1554</v>
      </c>
      <c r="J112" t="s">
        <v>1560</v>
      </c>
      <c r="K112" s="4">
        <v>44682</v>
      </c>
      <c r="L112" s="7">
        <f t="shared" si="3"/>
        <v>1622</v>
      </c>
    </row>
    <row r="113" spans="1:12" x14ac:dyDescent="0.3">
      <c r="A113" t="s">
        <v>235</v>
      </c>
      <c r="B113" t="str">
        <f t="shared" si="2"/>
        <v>First</v>
      </c>
      <c r="C113" t="s">
        <v>1666</v>
      </c>
      <c r="D113" t="s">
        <v>1576</v>
      </c>
      <c r="E113" t="s">
        <v>1572</v>
      </c>
      <c r="F113" s="4">
        <v>42925</v>
      </c>
      <c r="G113" t="s">
        <v>1562</v>
      </c>
      <c r="H113" s="3">
        <v>909026</v>
      </c>
      <c r="I113" t="s">
        <v>1559</v>
      </c>
      <c r="J113" t="s">
        <v>1566</v>
      </c>
      <c r="K113" s="4">
        <v>44138</v>
      </c>
      <c r="L113" s="7">
        <f t="shared" si="3"/>
        <v>2166</v>
      </c>
    </row>
    <row r="114" spans="1:12" x14ac:dyDescent="0.3">
      <c r="A114" t="s">
        <v>113</v>
      </c>
      <c r="B114" t="str">
        <f t="shared" si="2"/>
        <v>First</v>
      </c>
      <c r="C114" t="s">
        <v>1624</v>
      </c>
      <c r="D114" t="s">
        <v>1589</v>
      </c>
      <c r="E114" t="s">
        <v>1569</v>
      </c>
      <c r="F114" s="4">
        <v>34381</v>
      </c>
      <c r="G114" t="s">
        <v>1580</v>
      </c>
      <c r="H114" s="3">
        <v>2150955</v>
      </c>
      <c r="I114" t="s">
        <v>1563</v>
      </c>
      <c r="J114" t="s">
        <v>1555</v>
      </c>
      <c r="K114" s="4">
        <v>43964</v>
      </c>
      <c r="L114" s="7">
        <f t="shared" si="3"/>
        <v>2340</v>
      </c>
    </row>
    <row r="115" spans="1:12" x14ac:dyDescent="0.3">
      <c r="A115" t="s">
        <v>749</v>
      </c>
      <c r="B115" t="str">
        <f t="shared" si="2"/>
        <v>First</v>
      </c>
      <c r="C115" t="s">
        <v>1667</v>
      </c>
      <c r="D115" t="s">
        <v>1565</v>
      </c>
      <c r="E115" t="s">
        <v>1552</v>
      </c>
      <c r="F115" s="4">
        <v>32486</v>
      </c>
      <c r="G115" t="s">
        <v>1558</v>
      </c>
      <c r="H115" s="3">
        <v>478549</v>
      </c>
      <c r="I115" t="s">
        <v>1554</v>
      </c>
      <c r="J115" t="s">
        <v>1566</v>
      </c>
      <c r="K115" s="4">
        <v>44914</v>
      </c>
      <c r="L115" s="7">
        <f t="shared" si="3"/>
        <v>1390</v>
      </c>
    </row>
    <row r="116" spans="1:12" x14ac:dyDescent="0.3">
      <c r="A116" t="s">
        <v>590</v>
      </c>
      <c r="B116" t="str">
        <f t="shared" si="2"/>
        <v>First</v>
      </c>
      <c r="C116" t="s">
        <v>1668</v>
      </c>
      <c r="D116" t="s">
        <v>1551</v>
      </c>
      <c r="E116" t="s">
        <v>1552</v>
      </c>
      <c r="F116" s="4">
        <v>32204</v>
      </c>
      <c r="G116" t="s">
        <v>1558</v>
      </c>
      <c r="H116" s="3">
        <v>2464060</v>
      </c>
      <c r="I116" t="s">
        <v>1563</v>
      </c>
      <c r="J116" t="s">
        <v>1560</v>
      </c>
      <c r="K116" s="4">
        <v>44441</v>
      </c>
      <c r="L116" s="7">
        <f t="shared" si="3"/>
        <v>1863</v>
      </c>
    </row>
    <row r="117" spans="1:12" x14ac:dyDescent="0.3">
      <c r="A117" t="s">
        <v>530</v>
      </c>
      <c r="B117" t="str">
        <f t="shared" si="2"/>
        <v>First</v>
      </c>
      <c r="C117" t="s">
        <v>1669</v>
      </c>
      <c r="D117" t="s">
        <v>1604</v>
      </c>
      <c r="E117" t="s">
        <v>1569</v>
      </c>
      <c r="F117" s="4">
        <v>34917</v>
      </c>
      <c r="G117" t="s">
        <v>1580</v>
      </c>
      <c r="H117" s="3">
        <v>875930</v>
      </c>
      <c r="I117" t="s">
        <v>1559</v>
      </c>
      <c r="J117" t="s">
        <v>1566</v>
      </c>
      <c r="K117" s="4">
        <v>46268</v>
      </c>
      <c r="L117" s="7">
        <f t="shared" si="3"/>
        <v>36</v>
      </c>
    </row>
    <row r="118" spans="1:12" x14ac:dyDescent="0.3">
      <c r="A118" t="s">
        <v>736</v>
      </c>
      <c r="B118" t="str">
        <f t="shared" si="2"/>
        <v>First</v>
      </c>
      <c r="C118" t="s">
        <v>1670</v>
      </c>
      <c r="D118" t="s">
        <v>1551</v>
      </c>
      <c r="E118" t="s">
        <v>1552</v>
      </c>
      <c r="F118" s="4">
        <v>34802</v>
      </c>
      <c r="G118" t="s">
        <v>1562</v>
      </c>
      <c r="H118" s="3">
        <v>2145861</v>
      </c>
      <c r="I118" t="s">
        <v>1563</v>
      </c>
      <c r="J118" t="s">
        <v>1566</v>
      </c>
      <c r="K118" s="4">
        <v>45479</v>
      </c>
      <c r="L118" s="7">
        <f t="shared" si="3"/>
        <v>825</v>
      </c>
    </row>
    <row r="119" spans="1:12" x14ac:dyDescent="0.3">
      <c r="A119" t="s">
        <v>83</v>
      </c>
      <c r="B119" t="str">
        <f t="shared" si="2"/>
        <v>First</v>
      </c>
      <c r="C119" t="s">
        <v>1671</v>
      </c>
      <c r="D119" t="s">
        <v>1551</v>
      </c>
      <c r="E119" t="s">
        <v>1552</v>
      </c>
      <c r="F119" s="4">
        <v>26144</v>
      </c>
      <c r="G119" t="s">
        <v>1580</v>
      </c>
      <c r="H119" s="3">
        <v>2688347</v>
      </c>
      <c r="I119" t="s">
        <v>1563</v>
      </c>
      <c r="J119" t="s">
        <v>1560</v>
      </c>
      <c r="K119" s="4">
        <v>45600</v>
      </c>
      <c r="L119" s="7">
        <f t="shared" si="3"/>
        <v>704</v>
      </c>
    </row>
    <row r="120" spans="1:12" x14ac:dyDescent="0.3">
      <c r="A120" t="s">
        <v>166</v>
      </c>
      <c r="B120" t="str">
        <f t="shared" si="2"/>
        <v>First</v>
      </c>
      <c r="C120" t="s">
        <v>1672</v>
      </c>
      <c r="D120" t="s">
        <v>1551</v>
      </c>
      <c r="E120" t="s">
        <v>1552</v>
      </c>
      <c r="F120" s="4">
        <v>43686</v>
      </c>
      <c r="G120" t="s">
        <v>1580</v>
      </c>
      <c r="H120" s="3">
        <v>1140178</v>
      </c>
      <c r="I120" t="s">
        <v>1573</v>
      </c>
      <c r="J120" t="s">
        <v>1555</v>
      </c>
      <c r="K120" s="4">
        <v>46235</v>
      </c>
      <c r="L120" s="7">
        <f t="shared" si="3"/>
        <v>69</v>
      </c>
    </row>
    <row r="121" spans="1:12" x14ac:dyDescent="0.3">
      <c r="A121" t="s">
        <v>411</v>
      </c>
      <c r="B121" t="str">
        <f t="shared" si="2"/>
        <v>First</v>
      </c>
      <c r="C121" t="s">
        <v>1673</v>
      </c>
      <c r="D121" t="s">
        <v>1604</v>
      </c>
      <c r="E121" t="s">
        <v>1569</v>
      </c>
      <c r="F121" s="4">
        <v>30578</v>
      </c>
      <c r="G121" t="s">
        <v>1562</v>
      </c>
      <c r="H121" s="3">
        <v>3380711</v>
      </c>
      <c r="I121" t="s">
        <v>1563</v>
      </c>
      <c r="J121" t="s">
        <v>1566</v>
      </c>
      <c r="K121" s="4">
        <v>45758</v>
      </c>
      <c r="L121" s="7">
        <f t="shared" si="3"/>
        <v>546</v>
      </c>
    </row>
    <row r="122" spans="1:12" x14ac:dyDescent="0.3">
      <c r="A122" t="s">
        <v>324</v>
      </c>
      <c r="B122" t="str">
        <f t="shared" si="2"/>
        <v>First</v>
      </c>
      <c r="C122" t="s">
        <v>1674</v>
      </c>
      <c r="D122" t="s">
        <v>1592</v>
      </c>
      <c r="E122" t="s">
        <v>1572</v>
      </c>
      <c r="F122" s="4">
        <v>39121</v>
      </c>
      <c r="G122" t="s">
        <v>1580</v>
      </c>
      <c r="H122" s="3">
        <v>2635050</v>
      </c>
      <c r="I122" t="s">
        <v>1563</v>
      </c>
      <c r="J122" t="s">
        <v>1566</v>
      </c>
      <c r="K122" s="4">
        <v>45845</v>
      </c>
      <c r="L122" s="7">
        <f t="shared" si="3"/>
        <v>459</v>
      </c>
    </row>
    <row r="123" spans="1:12" x14ac:dyDescent="0.3">
      <c r="A123" t="s">
        <v>268</v>
      </c>
      <c r="B123" t="str">
        <f t="shared" si="2"/>
        <v>First</v>
      </c>
      <c r="C123" t="s">
        <v>1675</v>
      </c>
      <c r="D123" t="s">
        <v>1571</v>
      </c>
      <c r="E123" t="s">
        <v>1572</v>
      </c>
      <c r="F123" s="4">
        <v>28265</v>
      </c>
      <c r="G123" t="s">
        <v>1562</v>
      </c>
      <c r="H123" s="3">
        <v>1526615</v>
      </c>
      <c r="I123" t="s">
        <v>1573</v>
      </c>
      <c r="J123" t="s">
        <v>1566</v>
      </c>
      <c r="K123" s="4">
        <v>44489</v>
      </c>
      <c r="L123" s="7">
        <f t="shared" si="3"/>
        <v>1815</v>
      </c>
    </row>
    <row r="124" spans="1:12" x14ac:dyDescent="0.3">
      <c r="A124" t="s">
        <v>515</v>
      </c>
      <c r="B124" t="str">
        <f t="shared" si="2"/>
        <v>First</v>
      </c>
      <c r="C124" t="s">
        <v>1676</v>
      </c>
      <c r="D124" t="s">
        <v>1585</v>
      </c>
      <c r="E124" t="s">
        <v>1586</v>
      </c>
      <c r="F124" s="4">
        <v>42863</v>
      </c>
      <c r="G124" t="s">
        <v>1580</v>
      </c>
      <c r="H124" s="3">
        <v>3369767</v>
      </c>
      <c r="I124" t="s">
        <v>1563</v>
      </c>
      <c r="J124" t="s">
        <v>1566</v>
      </c>
      <c r="K124" s="4">
        <v>43981</v>
      </c>
      <c r="L124" s="7">
        <f t="shared" si="3"/>
        <v>2323</v>
      </c>
    </row>
    <row r="125" spans="1:12" x14ac:dyDescent="0.3">
      <c r="A125" t="s">
        <v>371</v>
      </c>
      <c r="B125" t="str">
        <f t="shared" si="2"/>
        <v>First</v>
      </c>
      <c r="C125" t="s">
        <v>1617</v>
      </c>
      <c r="D125" t="s">
        <v>1571</v>
      </c>
      <c r="E125" t="s">
        <v>1572</v>
      </c>
      <c r="F125" s="4">
        <v>38082</v>
      </c>
      <c r="G125" t="s">
        <v>1562</v>
      </c>
      <c r="H125" s="3">
        <v>666210</v>
      </c>
      <c r="I125" t="s">
        <v>1559</v>
      </c>
      <c r="J125" t="s">
        <v>1566</v>
      </c>
      <c r="K125" s="4">
        <v>45938</v>
      </c>
      <c r="L125" s="7">
        <f t="shared" si="3"/>
        <v>366</v>
      </c>
    </row>
    <row r="126" spans="1:12" x14ac:dyDescent="0.3">
      <c r="A126" t="s">
        <v>527</v>
      </c>
      <c r="B126" t="str">
        <f t="shared" si="2"/>
        <v>First</v>
      </c>
      <c r="C126" t="s">
        <v>1677</v>
      </c>
      <c r="D126" t="s">
        <v>1604</v>
      </c>
      <c r="E126" t="s">
        <v>1569</v>
      </c>
      <c r="F126" s="4">
        <v>41826</v>
      </c>
      <c r="G126" t="s">
        <v>1562</v>
      </c>
      <c r="H126" s="3">
        <v>966778</v>
      </c>
      <c r="I126" t="s">
        <v>1559</v>
      </c>
      <c r="J126" t="s">
        <v>1555</v>
      </c>
      <c r="K126" s="4">
        <v>45312</v>
      </c>
      <c r="L126" s="7">
        <f t="shared" si="3"/>
        <v>992</v>
      </c>
    </row>
    <row r="127" spans="1:12" x14ac:dyDescent="0.3">
      <c r="A127" t="s">
        <v>69</v>
      </c>
      <c r="B127" t="str">
        <f t="shared" si="2"/>
        <v>First</v>
      </c>
      <c r="C127" t="s">
        <v>1670</v>
      </c>
      <c r="D127" t="s">
        <v>1565</v>
      </c>
      <c r="E127" t="s">
        <v>1552</v>
      </c>
      <c r="F127" s="4">
        <v>26529</v>
      </c>
      <c r="G127" t="s">
        <v>1558</v>
      </c>
      <c r="H127" s="3">
        <v>3367631</v>
      </c>
      <c r="I127" t="s">
        <v>1563</v>
      </c>
      <c r="J127" t="s">
        <v>1566</v>
      </c>
      <c r="K127" s="4">
        <v>44664</v>
      </c>
      <c r="L127" s="7">
        <f t="shared" si="3"/>
        <v>1640</v>
      </c>
    </row>
    <row r="128" spans="1:12" x14ac:dyDescent="0.3">
      <c r="A128" t="s">
        <v>122</v>
      </c>
      <c r="B128" t="str">
        <f t="shared" si="2"/>
        <v>First</v>
      </c>
      <c r="C128" t="s">
        <v>1617</v>
      </c>
      <c r="D128" t="s">
        <v>1565</v>
      </c>
      <c r="E128" t="s">
        <v>1552</v>
      </c>
      <c r="F128" s="4">
        <v>40721</v>
      </c>
      <c r="G128" t="s">
        <v>1558</v>
      </c>
      <c r="H128" s="3">
        <v>3108672</v>
      </c>
      <c r="I128" t="s">
        <v>1563</v>
      </c>
      <c r="J128" t="s">
        <v>1555</v>
      </c>
      <c r="K128" s="4">
        <v>44328</v>
      </c>
      <c r="L128" s="7">
        <f t="shared" si="3"/>
        <v>1976</v>
      </c>
    </row>
    <row r="129" spans="1:12" x14ac:dyDescent="0.3">
      <c r="A129" t="s">
        <v>148</v>
      </c>
      <c r="B129" t="str">
        <f t="shared" si="2"/>
        <v>First</v>
      </c>
      <c r="C129" t="s">
        <v>1678</v>
      </c>
      <c r="D129" t="s">
        <v>1592</v>
      </c>
      <c r="E129" t="s">
        <v>1572</v>
      </c>
      <c r="F129" s="4">
        <v>42887</v>
      </c>
      <c r="G129" t="s">
        <v>1553</v>
      </c>
      <c r="H129" s="3">
        <v>1483380</v>
      </c>
      <c r="I129" t="s">
        <v>1573</v>
      </c>
      <c r="J129" t="s">
        <v>1560</v>
      </c>
      <c r="K129" s="4">
        <v>43887</v>
      </c>
      <c r="L129" s="7">
        <f t="shared" si="3"/>
        <v>2417</v>
      </c>
    </row>
    <row r="130" spans="1:12" x14ac:dyDescent="0.3">
      <c r="A130" t="s">
        <v>895</v>
      </c>
      <c r="B130" t="str">
        <f t="shared" si="2"/>
        <v>First</v>
      </c>
      <c r="C130" t="s">
        <v>1679</v>
      </c>
      <c r="D130" t="s">
        <v>1551</v>
      </c>
      <c r="E130" t="s">
        <v>1552</v>
      </c>
      <c r="F130" s="4">
        <v>28687</v>
      </c>
      <c r="G130" t="s">
        <v>1580</v>
      </c>
      <c r="H130" s="3">
        <v>2115452</v>
      </c>
      <c r="I130" t="s">
        <v>1563</v>
      </c>
      <c r="J130" t="s">
        <v>1555</v>
      </c>
      <c r="K130" s="4">
        <v>44461</v>
      </c>
      <c r="L130" s="7">
        <f t="shared" si="3"/>
        <v>1843</v>
      </c>
    </row>
    <row r="131" spans="1:12" x14ac:dyDescent="0.3">
      <c r="A131" t="s">
        <v>392</v>
      </c>
      <c r="B131" t="str">
        <f t="shared" ref="B131:B181" si="4">IF(COUNTIF(A131:A310,A131)=1,"First","Duplicate")</f>
        <v>First</v>
      </c>
      <c r="C131" t="s">
        <v>1680</v>
      </c>
      <c r="D131" t="s">
        <v>1568</v>
      </c>
      <c r="E131" t="s">
        <v>1569</v>
      </c>
      <c r="F131" s="4">
        <v>40648</v>
      </c>
      <c r="G131" t="s">
        <v>1558</v>
      </c>
      <c r="H131" s="3">
        <v>1922692</v>
      </c>
      <c r="I131" t="s">
        <v>1573</v>
      </c>
      <c r="J131" t="s">
        <v>1566</v>
      </c>
      <c r="K131" s="4">
        <v>45765</v>
      </c>
      <c r="L131" s="7">
        <f t="shared" ref="L131:L181" si="5">DATE(2026,10,9)-K131</f>
        <v>539</v>
      </c>
    </row>
    <row r="132" spans="1:12" x14ac:dyDescent="0.3">
      <c r="A132" t="s">
        <v>822</v>
      </c>
      <c r="B132" t="str">
        <f t="shared" si="4"/>
        <v>First</v>
      </c>
      <c r="C132" t="s">
        <v>1681</v>
      </c>
      <c r="D132" t="s">
        <v>1576</v>
      </c>
      <c r="E132" t="s">
        <v>1572</v>
      </c>
      <c r="F132" s="4">
        <v>41492</v>
      </c>
      <c r="G132" t="s">
        <v>1562</v>
      </c>
      <c r="H132" s="3">
        <v>2693971</v>
      </c>
      <c r="I132" t="s">
        <v>1563</v>
      </c>
      <c r="J132" t="s">
        <v>1566</v>
      </c>
      <c r="K132" s="4">
        <v>44390</v>
      </c>
      <c r="L132" s="7">
        <f t="shared" si="5"/>
        <v>1914</v>
      </c>
    </row>
    <row r="133" spans="1:12" x14ac:dyDescent="0.3">
      <c r="A133" t="s">
        <v>77</v>
      </c>
      <c r="B133" t="str">
        <f t="shared" si="4"/>
        <v>First</v>
      </c>
      <c r="C133" t="s">
        <v>1649</v>
      </c>
      <c r="D133" t="s">
        <v>1557</v>
      </c>
      <c r="E133" t="s">
        <v>1552</v>
      </c>
      <c r="F133" s="4">
        <v>24922</v>
      </c>
      <c r="G133" t="s">
        <v>1562</v>
      </c>
      <c r="H133" s="3">
        <v>1300603</v>
      </c>
      <c r="I133" t="s">
        <v>1573</v>
      </c>
      <c r="J133" t="s">
        <v>1560</v>
      </c>
      <c r="K133" s="4">
        <v>44989</v>
      </c>
      <c r="L133" s="7">
        <f t="shared" si="5"/>
        <v>1315</v>
      </c>
    </row>
    <row r="134" spans="1:12" x14ac:dyDescent="0.3">
      <c r="A134" t="s">
        <v>461</v>
      </c>
      <c r="B134" t="str">
        <f t="shared" si="4"/>
        <v>First</v>
      </c>
      <c r="C134" t="s">
        <v>1682</v>
      </c>
      <c r="D134" t="s">
        <v>1565</v>
      </c>
      <c r="E134" t="s">
        <v>1552</v>
      </c>
      <c r="F134" s="4">
        <v>40708</v>
      </c>
      <c r="G134" t="s">
        <v>1562</v>
      </c>
      <c r="H134" s="3">
        <v>2438970</v>
      </c>
      <c r="I134" t="s">
        <v>1563</v>
      </c>
      <c r="J134" t="s">
        <v>1566</v>
      </c>
      <c r="K134" s="4">
        <v>45244</v>
      </c>
      <c r="L134" s="7">
        <f t="shared" si="5"/>
        <v>1060</v>
      </c>
    </row>
    <row r="135" spans="1:12" x14ac:dyDescent="0.3">
      <c r="A135" t="s">
        <v>284</v>
      </c>
      <c r="B135" t="str">
        <f t="shared" si="4"/>
        <v>First</v>
      </c>
      <c r="C135" t="s">
        <v>1683</v>
      </c>
      <c r="D135" t="s">
        <v>1571</v>
      </c>
      <c r="E135" t="s">
        <v>1572</v>
      </c>
      <c r="F135" s="4">
        <v>32663</v>
      </c>
      <c r="G135" t="s">
        <v>1562</v>
      </c>
      <c r="H135" s="3">
        <v>971265</v>
      </c>
      <c r="I135" t="s">
        <v>1559</v>
      </c>
      <c r="J135" t="s">
        <v>1560</v>
      </c>
      <c r="K135" s="4">
        <v>46173</v>
      </c>
      <c r="L135" s="7">
        <f t="shared" si="5"/>
        <v>131</v>
      </c>
    </row>
    <row r="136" spans="1:12" x14ac:dyDescent="0.3">
      <c r="A136" t="s">
        <v>227</v>
      </c>
      <c r="B136" t="str">
        <f t="shared" si="4"/>
        <v>First</v>
      </c>
      <c r="C136" t="s">
        <v>1684</v>
      </c>
      <c r="D136" t="s">
        <v>1571</v>
      </c>
      <c r="E136" t="s">
        <v>1572</v>
      </c>
      <c r="F136" s="4">
        <v>40336</v>
      </c>
      <c r="G136" t="s">
        <v>1558</v>
      </c>
      <c r="H136" s="3">
        <v>3303519</v>
      </c>
      <c r="I136" t="s">
        <v>1563</v>
      </c>
      <c r="J136" t="s">
        <v>1566</v>
      </c>
      <c r="K136" s="4">
        <v>45392</v>
      </c>
      <c r="L136" s="7">
        <f t="shared" si="5"/>
        <v>912</v>
      </c>
    </row>
    <row r="137" spans="1:12" x14ac:dyDescent="0.3">
      <c r="A137" t="s">
        <v>1342</v>
      </c>
      <c r="B137" t="str">
        <f t="shared" si="4"/>
        <v>First</v>
      </c>
      <c r="C137" t="s">
        <v>1685</v>
      </c>
      <c r="D137" t="s">
        <v>1604</v>
      </c>
      <c r="E137" t="s">
        <v>1569</v>
      </c>
      <c r="F137" s="4">
        <v>41297</v>
      </c>
      <c r="G137" t="s">
        <v>1553</v>
      </c>
      <c r="H137" s="3">
        <v>709515</v>
      </c>
      <c r="I137" t="s">
        <v>1559</v>
      </c>
      <c r="J137" t="s">
        <v>1566</v>
      </c>
      <c r="K137" s="4">
        <v>46248</v>
      </c>
      <c r="L137" s="7">
        <f t="shared" si="5"/>
        <v>56</v>
      </c>
    </row>
    <row r="138" spans="1:12" x14ac:dyDescent="0.3">
      <c r="A138" t="s">
        <v>680</v>
      </c>
      <c r="B138" t="str">
        <f t="shared" si="4"/>
        <v>First</v>
      </c>
      <c r="C138" t="s">
        <v>1686</v>
      </c>
      <c r="D138" t="s">
        <v>1551</v>
      </c>
      <c r="E138" t="s">
        <v>1552</v>
      </c>
      <c r="F138" s="4">
        <v>39810</v>
      </c>
      <c r="G138" t="s">
        <v>1558</v>
      </c>
      <c r="H138" s="3">
        <v>2385998</v>
      </c>
      <c r="I138" t="s">
        <v>1563</v>
      </c>
      <c r="J138" t="s">
        <v>1560</v>
      </c>
      <c r="K138" s="4">
        <v>43893</v>
      </c>
      <c r="L138" s="7">
        <f t="shared" si="5"/>
        <v>2411</v>
      </c>
    </row>
    <row r="139" spans="1:12" x14ac:dyDescent="0.3">
      <c r="A139" t="s">
        <v>275</v>
      </c>
      <c r="B139" t="str">
        <f t="shared" si="4"/>
        <v>First</v>
      </c>
      <c r="C139" t="s">
        <v>1687</v>
      </c>
      <c r="D139" t="s">
        <v>1565</v>
      </c>
      <c r="E139" t="s">
        <v>1552</v>
      </c>
      <c r="F139" s="4">
        <v>33522</v>
      </c>
      <c r="G139" t="s">
        <v>1562</v>
      </c>
      <c r="H139" s="3">
        <v>3457954</v>
      </c>
      <c r="I139" t="s">
        <v>1563</v>
      </c>
      <c r="J139" t="s">
        <v>1555</v>
      </c>
      <c r="K139" s="4">
        <v>45217</v>
      </c>
      <c r="L139" s="7">
        <f t="shared" si="5"/>
        <v>1087</v>
      </c>
    </row>
    <row r="140" spans="1:12" x14ac:dyDescent="0.3">
      <c r="A140" t="s">
        <v>568</v>
      </c>
      <c r="B140" t="str">
        <f t="shared" si="4"/>
        <v>First</v>
      </c>
      <c r="C140" t="s">
        <v>1688</v>
      </c>
      <c r="D140" t="s">
        <v>1551</v>
      </c>
      <c r="E140" t="s">
        <v>1552</v>
      </c>
      <c r="F140" s="4">
        <v>42323</v>
      </c>
      <c r="G140" t="s">
        <v>1562</v>
      </c>
      <c r="H140" s="3">
        <v>1558103</v>
      </c>
      <c r="I140" t="s">
        <v>1573</v>
      </c>
      <c r="J140" t="s">
        <v>1555</v>
      </c>
      <c r="K140" s="4">
        <v>45387</v>
      </c>
      <c r="L140" s="7">
        <f t="shared" si="5"/>
        <v>917</v>
      </c>
    </row>
    <row r="141" spans="1:12" x14ac:dyDescent="0.3">
      <c r="A141" t="s">
        <v>437</v>
      </c>
      <c r="B141" t="str">
        <f t="shared" si="4"/>
        <v>First</v>
      </c>
      <c r="C141" t="s">
        <v>1639</v>
      </c>
      <c r="D141" t="s">
        <v>1604</v>
      </c>
      <c r="E141" t="s">
        <v>1569</v>
      </c>
      <c r="F141" s="4">
        <v>27080</v>
      </c>
      <c r="G141" t="s">
        <v>1553</v>
      </c>
      <c r="H141" s="3">
        <v>2769812</v>
      </c>
      <c r="I141" t="s">
        <v>1563</v>
      </c>
      <c r="J141" t="s">
        <v>1566</v>
      </c>
      <c r="K141" s="4">
        <v>44792</v>
      </c>
      <c r="L141" s="7">
        <f t="shared" si="5"/>
        <v>1512</v>
      </c>
    </row>
    <row r="142" spans="1:12" x14ac:dyDescent="0.3">
      <c r="A142" t="s">
        <v>585</v>
      </c>
      <c r="B142" t="str">
        <f t="shared" si="4"/>
        <v>First</v>
      </c>
      <c r="C142" t="s">
        <v>1564</v>
      </c>
      <c r="D142" t="s">
        <v>1551</v>
      </c>
      <c r="E142" t="s">
        <v>1552</v>
      </c>
      <c r="F142" s="4">
        <v>28131</v>
      </c>
      <c r="G142" t="s">
        <v>1580</v>
      </c>
      <c r="H142" s="3">
        <v>3369221</v>
      </c>
      <c r="I142" t="s">
        <v>1563</v>
      </c>
      <c r="J142" t="s">
        <v>1560</v>
      </c>
      <c r="K142" s="4">
        <v>45648</v>
      </c>
      <c r="L142" s="7">
        <f t="shared" si="5"/>
        <v>656</v>
      </c>
    </row>
    <row r="143" spans="1:12" x14ac:dyDescent="0.3">
      <c r="A143" t="s">
        <v>390</v>
      </c>
      <c r="B143" t="str">
        <f t="shared" si="4"/>
        <v>First</v>
      </c>
      <c r="C143" t="s">
        <v>1577</v>
      </c>
      <c r="D143" t="s">
        <v>1604</v>
      </c>
      <c r="E143" t="s">
        <v>1569</v>
      </c>
      <c r="F143" s="4">
        <v>26676</v>
      </c>
      <c r="G143" t="s">
        <v>1562</v>
      </c>
      <c r="H143" s="3">
        <v>1540525</v>
      </c>
      <c r="I143" t="s">
        <v>1573</v>
      </c>
      <c r="J143" t="s">
        <v>1560</v>
      </c>
      <c r="K143" s="4">
        <v>45032</v>
      </c>
      <c r="L143" s="7">
        <f t="shared" si="5"/>
        <v>1272</v>
      </c>
    </row>
    <row r="144" spans="1:12" x14ac:dyDescent="0.3">
      <c r="A144" t="s">
        <v>194</v>
      </c>
      <c r="B144" t="str">
        <f t="shared" si="4"/>
        <v>First</v>
      </c>
      <c r="C144" t="s">
        <v>1689</v>
      </c>
      <c r="D144" t="s">
        <v>1576</v>
      </c>
      <c r="E144" t="s">
        <v>1572</v>
      </c>
      <c r="F144" s="4">
        <v>38340</v>
      </c>
      <c r="G144" t="s">
        <v>1558</v>
      </c>
      <c r="H144" s="3">
        <v>2407873</v>
      </c>
      <c r="I144" t="s">
        <v>1563</v>
      </c>
      <c r="J144" t="s">
        <v>1560</v>
      </c>
      <c r="K144" s="4">
        <v>46149</v>
      </c>
      <c r="L144" s="7">
        <f t="shared" si="5"/>
        <v>155</v>
      </c>
    </row>
    <row r="145" spans="1:12" x14ac:dyDescent="0.3">
      <c r="A145" t="s">
        <v>503</v>
      </c>
      <c r="B145" t="str">
        <f t="shared" si="4"/>
        <v>First</v>
      </c>
      <c r="C145" t="s">
        <v>1690</v>
      </c>
      <c r="D145" t="s">
        <v>1589</v>
      </c>
      <c r="E145" t="s">
        <v>1569</v>
      </c>
      <c r="F145" s="4">
        <v>32729</v>
      </c>
      <c r="G145" t="s">
        <v>1558</v>
      </c>
      <c r="H145" s="3">
        <v>1784507</v>
      </c>
      <c r="I145" t="s">
        <v>1573</v>
      </c>
      <c r="J145" t="s">
        <v>1566</v>
      </c>
      <c r="K145" s="4">
        <v>45869</v>
      </c>
      <c r="L145" s="7">
        <f t="shared" si="5"/>
        <v>435</v>
      </c>
    </row>
    <row r="146" spans="1:12" x14ac:dyDescent="0.3">
      <c r="A146" t="s">
        <v>223</v>
      </c>
      <c r="B146" t="str">
        <f t="shared" si="4"/>
        <v>First</v>
      </c>
      <c r="C146" t="s">
        <v>1691</v>
      </c>
      <c r="D146" t="s">
        <v>1568</v>
      </c>
      <c r="E146" t="s">
        <v>1569</v>
      </c>
      <c r="F146" s="4">
        <v>33204</v>
      </c>
      <c r="G146" t="s">
        <v>1580</v>
      </c>
      <c r="H146" s="3">
        <v>2107578</v>
      </c>
      <c r="I146" t="s">
        <v>1563</v>
      </c>
      <c r="J146" t="s">
        <v>1555</v>
      </c>
      <c r="K146" s="4">
        <v>43869</v>
      </c>
      <c r="L146" s="7">
        <f t="shared" si="5"/>
        <v>2435</v>
      </c>
    </row>
    <row r="147" spans="1:12" x14ac:dyDescent="0.3">
      <c r="A147" t="s">
        <v>582</v>
      </c>
      <c r="B147" t="str">
        <f t="shared" si="4"/>
        <v>First</v>
      </c>
      <c r="C147" t="s">
        <v>1692</v>
      </c>
      <c r="D147" t="s">
        <v>1557</v>
      </c>
      <c r="E147" t="s">
        <v>1552</v>
      </c>
      <c r="F147" s="4">
        <v>27258</v>
      </c>
      <c r="G147" t="s">
        <v>1580</v>
      </c>
      <c r="H147" s="3">
        <v>842597</v>
      </c>
      <c r="I147" t="s">
        <v>1559</v>
      </c>
      <c r="J147" t="s">
        <v>1555</v>
      </c>
      <c r="K147" s="4">
        <v>45640</v>
      </c>
      <c r="L147" s="7">
        <f t="shared" si="5"/>
        <v>664</v>
      </c>
    </row>
    <row r="148" spans="1:12" x14ac:dyDescent="0.3">
      <c r="A148" t="s">
        <v>1693</v>
      </c>
      <c r="B148" t="str">
        <f t="shared" si="4"/>
        <v>First</v>
      </c>
      <c r="C148" t="s">
        <v>1639</v>
      </c>
      <c r="D148" t="s">
        <v>1585</v>
      </c>
      <c r="E148" t="s">
        <v>1586</v>
      </c>
      <c r="F148" s="4">
        <v>33033</v>
      </c>
      <c r="G148" t="s">
        <v>1562</v>
      </c>
      <c r="H148" s="3">
        <v>3075384</v>
      </c>
      <c r="I148" t="s">
        <v>1563</v>
      </c>
      <c r="J148" t="s">
        <v>1566</v>
      </c>
      <c r="K148" s="4">
        <v>45702</v>
      </c>
      <c r="L148" s="7">
        <f t="shared" si="5"/>
        <v>602</v>
      </c>
    </row>
    <row r="149" spans="1:12" x14ac:dyDescent="0.3">
      <c r="A149" t="s">
        <v>252</v>
      </c>
      <c r="B149" t="str">
        <f t="shared" si="4"/>
        <v>First</v>
      </c>
      <c r="C149" t="s">
        <v>1692</v>
      </c>
      <c r="D149" t="s">
        <v>1551</v>
      </c>
      <c r="E149" t="s">
        <v>1552</v>
      </c>
      <c r="F149" s="4">
        <v>37334</v>
      </c>
      <c r="G149" t="s">
        <v>1580</v>
      </c>
      <c r="H149" s="3">
        <v>1174912</v>
      </c>
      <c r="I149" t="s">
        <v>1573</v>
      </c>
      <c r="J149" t="s">
        <v>1555</v>
      </c>
      <c r="K149" s="4">
        <v>46173</v>
      </c>
      <c r="L149" s="7">
        <f t="shared" si="5"/>
        <v>131</v>
      </c>
    </row>
    <row r="150" spans="1:12" x14ac:dyDescent="0.3">
      <c r="A150" t="s">
        <v>811</v>
      </c>
      <c r="B150" t="str">
        <f t="shared" si="4"/>
        <v>First</v>
      </c>
      <c r="C150" t="s">
        <v>1694</v>
      </c>
      <c r="D150" t="s">
        <v>1568</v>
      </c>
      <c r="E150" t="s">
        <v>1569</v>
      </c>
      <c r="F150" s="4">
        <v>37807</v>
      </c>
      <c r="G150" t="s">
        <v>1553</v>
      </c>
      <c r="H150" s="3">
        <v>272021</v>
      </c>
      <c r="I150" t="s">
        <v>1554</v>
      </c>
      <c r="J150" t="s">
        <v>1555</v>
      </c>
      <c r="K150" s="4">
        <v>44955</v>
      </c>
      <c r="L150" s="7">
        <f t="shared" si="5"/>
        <v>1349</v>
      </c>
    </row>
    <row r="151" spans="1:12" x14ac:dyDescent="0.3">
      <c r="A151" t="s">
        <v>217</v>
      </c>
      <c r="B151" t="str">
        <f t="shared" si="4"/>
        <v>First</v>
      </c>
      <c r="C151" t="s">
        <v>1579</v>
      </c>
      <c r="D151" t="s">
        <v>1565</v>
      </c>
      <c r="E151" t="s">
        <v>1552</v>
      </c>
      <c r="F151" s="4">
        <v>32378</v>
      </c>
      <c r="G151" t="s">
        <v>1558</v>
      </c>
      <c r="H151" s="3">
        <v>1380385</v>
      </c>
      <c r="I151" t="s">
        <v>1573</v>
      </c>
      <c r="J151" t="s">
        <v>1555</v>
      </c>
      <c r="K151" s="4">
        <v>45274</v>
      </c>
      <c r="L151" s="7">
        <f t="shared" si="5"/>
        <v>1030</v>
      </c>
    </row>
    <row r="152" spans="1:12" x14ac:dyDescent="0.3">
      <c r="A152" t="s">
        <v>897</v>
      </c>
      <c r="B152" t="str">
        <f t="shared" si="4"/>
        <v>First</v>
      </c>
      <c r="C152" t="s">
        <v>1643</v>
      </c>
      <c r="D152" t="s">
        <v>1568</v>
      </c>
      <c r="E152" t="s">
        <v>1569</v>
      </c>
      <c r="F152" s="4">
        <v>29319</v>
      </c>
      <c r="G152" t="s">
        <v>1562</v>
      </c>
      <c r="H152" s="3">
        <v>3022750</v>
      </c>
      <c r="I152" t="s">
        <v>1563</v>
      </c>
      <c r="J152" t="s">
        <v>1560</v>
      </c>
      <c r="K152" s="4">
        <v>44228</v>
      </c>
      <c r="L152" s="7">
        <f t="shared" si="5"/>
        <v>2076</v>
      </c>
    </row>
    <row r="153" spans="1:12" x14ac:dyDescent="0.3">
      <c r="A153" t="s">
        <v>776</v>
      </c>
      <c r="B153" t="str">
        <f t="shared" si="4"/>
        <v>First</v>
      </c>
      <c r="C153" t="s">
        <v>1695</v>
      </c>
      <c r="D153" t="s">
        <v>1589</v>
      </c>
      <c r="E153" t="s">
        <v>1569</v>
      </c>
      <c r="F153" s="4">
        <v>29144</v>
      </c>
      <c r="G153" t="s">
        <v>1562</v>
      </c>
      <c r="H153" s="3">
        <v>1710338</v>
      </c>
      <c r="I153" t="s">
        <v>1573</v>
      </c>
      <c r="J153" t="s">
        <v>1560</v>
      </c>
      <c r="K153" s="4">
        <v>44200</v>
      </c>
      <c r="L153" s="7">
        <f t="shared" si="5"/>
        <v>2104</v>
      </c>
    </row>
    <row r="154" spans="1:12" x14ac:dyDescent="0.3">
      <c r="A154" t="s">
        <v>804</v>
      </c>
      <c r="B154" t="str">
        <f t="shared" si="4"/>
        <v>First</v>
      </c>
      <c r="C154" t="s">
        <v>1696</v>
      </c>
      <c r="D154" t="s">
        <v>1576</v>
      </c>
      <c r="E154" t="s">
        <v>1572</v>
      </c>
      <c r="F154" s="4">
        <v>42513</v>
      </c>
      <c r="G154" t="s">
        <v>1580</v>
      </c>
      <c r="H154" s="3">
        <v>734318</v>
      </c>
      <c r="I154" t="s">
        <v>1559</v>
      </c>
      <c r="J154" t="s">
        <v>1560</v>
      </c>
      <c r="K154" s="4">
        <v>45329</v>
      </c>
      <c r="L154" s="7">
        <f t="shared" si="5"/>
        <v>975</v>
      </c>
    </row>
    <row r="155" spans="1:12" x14ac:dyDescent="0.3">
      <c r="A155" t="s">
        <v>817</v>
      </c>
      <c r="B155" t="str">
        <f t="shared" si="4"/>
        <v>First</v>
      </c>
      <c r="C155" t="s">
        <v>1697</v>
      </c>
      <c r="D155" t="s">
        <v>1568</v>
      </c>
      <c r="E155" t="s">
        <v>1569</v>
      </c>
      <c r="F155" s="4">
        <v>34509</v>
      </c>
      <c r="G155" t="s">
        <v>1553</v>
      </c>
      <c r="H155" s="3">
        <v>2201016</v>
      </c>
      <c r="I155" t="s">
        <v>1563</v>
      </c>
      <c r="J155" t="s">
        <v>1560</v>
      </c>
      <c r="K155" s="4">
        <v>45218</v>
      </c>
      <c r="L155" s="7">
        <f t="shared" si="5"/>
        <v>1086</v>
      </c>
    </row>
    <row r="156" spans="1:12" x14ac:dyDescent="0.3">
      <c r="A156" t="s">
        <v>395</v>
      </c>
      <c r="B156" t="str">
        <f t="shared" si="4"/>
        <v>First</v>
      </c>
      <c r="C156" t="s">
        <v>1650</v>
      </c>
      <c r="D156" t="s">
        <v>1576</v>
      </c>
      <c r="E156" t="s">
        <v>1572</v>
      </c>
      <c r="F156" s="4">
        <v>37860</v>
      </c>
      <c r="G156" t="s">
        <v>1562</v>
      </c>
      <c r="H156" s="3">
        <v>3016707</v>
      </c>
      <c r="I156" t="s">
        <v>1563</v>
      </c>
      <c r="J156" t="s">
        <v>1560</v>
      </c>
      <c r="K156" s="4">
        <v>46113</v>
      </c>
      <c r="L156" s="7">
        <f t="shared" si="5"/>
        <v>191</v>
      </c>
    </row>
    <row r="157" spans="1:12" x14ac:dyDescent="0.3">
      <c r="A157" t="s">
        <v>435</v>
      </c>
      <c r="B157" t="str">
        <f t="shared" si="4"/>
        <v>First</v>
      </c>
      <c r="C157" t="s">
        <v>1651</v>
      </c>
      <c r="D157" t="s">
        <v>1568</v>
      </c>
      <c r="E157" t="s">
        <v>1569</v>
      </c>
      <c r="F157" s="4">
        <v>28887</v>
      </c>
      <c r="G157" t="s">
        <v>1580</v>
      </c>
      <c r="H157" s="3">
        <v>2430547</v>
      </c>
      <c r="I157" t="s">
        <v>1563</v>
      </c>
      <c r="J157" t="s">
        <v>1555</v>
      </c>
      <c r="K157" s="4">
        <v>45693</v>
      </c>
      <c r="L157" s="7">
        <f t="shared" si="5"/>
        <v>611</v>
      </c>
    </row>
    <row r="158" spans="1:12" x14ac:dyDescent="0.3">
      <c r="A158" t="s">
        <v>574</v>
      </c>
      <c r="B158" t="str">
        <f t="shared" si="4"/>
        <v>First</v>
      </c>
      <c r="C158" t="s">
        <v>1680</v>
      </c>
      <c r="D158" t="s">
        <v>1585</v>
      </c>
      <c r="E158" t="s">
        <v>1586</v>
      </c>
      <c r="F158" s="4">
        <v>37010</v>
      </c>
      <c r="G158" t="s">
        <v>1553</v>
      </c>
      <c r="H158" s="3">
        <v>2858269</v>
      </c>
      <c r="I158" t="s">
        <v>1563</v>
      </c>
      <c r="J158" t="s">
        <v>1555</v>
      </c>
      <c r="K158" s="4">
        <v>44274</v>
      </c>
      <c r="L158" s="7">
        <f t="shared" si="5"/>
        <v>2030</v>
      </c>
    </row>
    <row r="159" spans="1:12" x14ac:dyDescent="0.3">
      <c r="A159" t="s">
        <v>206</v>
      </c>
      <c r="B159" t="str">
        <f t="shared" si="4"/>
        <v>First</v>
      </c>
      <c r="C159" t="s">
        <v>1691</v>
      </c>
      <c r="D159" t="s">
        <v>1557</v>
      </c>
      <c r="E159" t="s">
        <v>1552</v>
      </c>
      <c r="F159" s="4">
        <v>32091</v>
      </c>
      <c r="G159" t="s">
        <v>1580</v>
      </c>
      <c r="H159" s="3">
        <v>1555758</v>
      </c>
      <c r="I159" t="s">
        <v>1573</v>
      </c>
      <c r="J159" t="s">
        <v>1555</v>
      </c>
      <c r="K159" s="4">
        <v>44089</v>
      </c>
      <c r="L159" s="7">
        <f t="shared" si="5"/>
        <v>2215</v>
      </c>
    </row>
    <row r="160" spans="1:12" x14ac:dyDescent="0.3">
      <c r="A160" t="s">
        <v>867</v>
      </c>
      <c r="B160" t="str">
        <f t="shared" si="4"/>
        <v>First</v>
      </c>
      <c r="C160" t="s">
        <v>1643</v>
      </c>
      <c r="D160" t="s">
        <v>1585</v>
      </c>
      <c r="E160" t="s">
        <v>1586</v>
      </c>
      <c r="F160" s="4">
        <v>29418</v>
      </c>
      <c r="G160" t="s">
        <v>1562</v>
      </c>
      <c r="H160" s="3">
        <v>669374</v>
      </c>
      <c r="I160" t="s">
        <v>1559</v>
      </c>
      <c r="J160" t="s">
        <v>1560</v>
      </c>
      <c r="K160" s="4">
        <v>44016</v>
      </c>
      <c r="L160" s="7">
        <f t="shared" si="5"/>
        <v>2288</v>
      </c>
    </row>
    <row r="161" spans="1:12" x14ac:dyDescent="0.3">
      <c r="A161" t="s">
        <v>350</v>
      </c>
      <c r="B161" t="str">
        <f t="shared" si="4"/>
        <v>First</v>
      </c>
      <c r="C161" t="s">
        <v>1698</v>
      </c>
      <c r="D161" t="s">
        <v>1551</v>
      </c>
      <c r="E161" t="s">
        <v>1552</v>
      </c>
      <c r="F161" s="4">
        <v>42452</v>
      </c>
      <c r="G161" t="s">
        <v>1580</v>
      </c>
      <c r="H161" s="3">
        <v>1164822</v>
      </c>
      <c r="I161" t="s">
        <v>1573</v>
      </c>
      <c r="J161" t="s">
        <v>1555</v>
      </c>
      <c r="K161" s="4">
        <v>44386</v>
      </c>
      <c r="L161" s="7">
        <f t="shared" si="5"/>
        <v>1918</v>
      </c>
    </row>
    <row r="162" spans="1:12" x14ac:dyDescent="0.3">
      <c r="A162" t="s">
        <v>1126</v>
      </c>
      <c r="B162" t="str">
        <f t="shared" si="4"/>
        <v>First</v>
      </c>
      <c r="C162" t="s">
        <v>1699</v>
      </c>
      <c r="D162" t="s">
        <v>1557</v>
      </c>
      <c r="E162" t="s">
        <v>1552</v>
      </c>
      <c r="F162" s="4">
        <v>29901</v>
      </c>
      <c r="G162" t="s">
        <v>1562</v>
      </c>
      <c r="H162" s="3">
        <v>1937945</v>
      </c>
      <c r="I162" t="s">
        <v>1573</v>
      </c>
      <c r="J162" t="s">
        <v>1555</v>
      </c>
      <c r="K162" s="4">
        <v>45530</v>
      </c>
      <c r="L162" s="7">
        <f t="shared" si="5"/>
        <v>774</v>
      </c>
    </row>
    <row r="163" spans="1:12" x14ac:dyDescent="0.3">
      <c r="A163" t="s">
        <v>1094</v>
      </c>
      <c r="B163" t="str">
        <f t="shared" si="4"/>
        <v>First</v>
      </c>
      <c r="C163" t="s">
        <v>1700</v>
      </c>
      <c r="D163" t="s">
        <v>1585</v>
      </c>
      <c r="E163" t="s">
        <v>1586</v>
      </c>
      <c r="F163" s="4">
        <v>25910</v>
      </c>
      <c r="G163" t="s">
        <v>1562</v>
      </c>
      <c r="H163" s="3">
        <v>1353315</v>
      </c>
      <c r="I163" t="s">
        <v>1573</v>
      </c>
      <c r="J163" t="s">
        <v>1560</v>
      </c>
      <c r="K163" s="4">
        <v>45348</v>
      </c>
      <c r="L163" s="7">
        <f t="shared" si="5"/>
        <v>956</v>
      </c>
    </row>
    <row r="164" spans="1:12" x14ac:dyDescent="0.3">
      <c r="A164" t="s">
        <v>333</v>
      </c>
      <c r="B164" t="str">
        <f t="shared" si="4"/>
        <v>First</v>
      </c>
      <c r="C164" t="s">
        <v>1701</v>
      </c>
      <c r="D164" t="s">
        <v>1571</v>
      </c>
      <c r="E164" t="s">
        <v>1572</v>
      </c>
      <c r="F164" s="4">
        <v>36874</v>
      </c>
      <c r="G164" t="s">
        <v>1562</v>
      </c>
      <c r="H164" s="3">
        <v>596723</v>
      </c>
      <c r="I164" t="s">
        <v>1559</v>
      </c>
      <c r="J164" t="s">
        <v>1566</v>
      </c>
      <c r="K164" s="4">
        <v>46061</v>
      </c>
      <c r="L164" s="7">
        <f t="shared" si="5"/>
        <v>243</v>
      </c>
    </row>
    <row r="165" spans="1:12" x14ac:dyDescent="0.3">
      <c r="A165" t="s">
        <v>242</v>
      </c>
      <c r="B165" t="str">
        <f t="shared" si="4"/>
        <v>First</v>
      </c>
      <c r="C165" t="s">
        <v>1619</v>
      </c>
      <c r="D165" t="s">
        <v>1576</v>
      </c>
      <c r="E165" t="s">
        <v>1572</v>
      </c>
      <c r="F165" s="4">
        <v>39738</v>
      </c>
      <c r="G165" t="s">
        <v>1553</v>
      </c>
      <c r="H165" s="3">
        <v>692374</v>
      </c>
      <c r="I165" t="s">
        <v>1559</v>
      </c>
      <c r="J165" t="s">
        <v>1560</v>
      </c>
      <c r="K165" s="4">
        <v>44206</v>
      </c>
      <c r="L165" s="7">
        <f t="shared" si="5"/>
        <v>2098</v>
      </c>
    </row>
    <row r="166" spans="1:12" x14ac:dyDescent="0.3">
      <c r="A166" t="s">
        <v>847</v>
      </c>
      <c r="B166" t="str">
        <f t="shared" si="4"/>
        <v>First</v>
      </c>
      <c r="C166" t="s">
        <v>1702</v>
      </c>
      <c r="D166" t="s">
        <v>1571</v>
      </c>
      <c r="E166" t="s">
        <v>1572</v>
      </c>
      <c r="F166" s="4">
        <v>28964</v>
      </c>
      <c r="G166" t="s">
        <v>1558</v>
      </c>
      <c r="H166" s="3">
        <v>1201601</v>
      </c>
      <c r="I166" t="s">
        <v>1573</v>
      </c>
      <c r="J166" t="s">
        <v>1555</v>
      </c>
      <c r="K166" s="4">
        <v>46143</v>
      </c>
      <c r="L166" s="7">
        <f t="shared" si="5"/>
        <v>161</v>
      </c>
    </row>
    <row r="167" spans="1:12" x14ac:dyDescent="0.3">
      <c r="A167" t="s">
        <v>428</v>
      </c>
      <c r="B167" t="str">
        <f t="shared" si="4"/>
        <v>First</v>
      </c>
      <c r="C167" t="s">
        <v>1612</v>
      </c>
      <c r="D167" t="s">
        <v>1576</v>
      </c>
      <c r="E167" t="s">
        <v>1572</v>
      </c>
      <c r="F167" s="4">
        <v>35604</v>
      </c>
      <c r="G167" t="s">
        <v>1580</v>
      </c>
      <c r="H167" s="3">
        <v>1157267</v>
      </c>
      <c r="I167" t="s">
        <v>1573</v>
      </c>
      <c r="J167" t="s">
        <v>1560</v>
      </c>
      <c r="K167" s="4">
        <v>44435</v>
      </c>
      <c r="L167" s="7">
        <f t="shared" si="5"/>
        <v>1869</v>
      </c>
    </row>
    <row r="168" spans="1:12" x14ac:dyDescent="0.3">
      <c r="A168" t="s">
        <v>398</v>
      </c>
      <c r="B168" t="str">
        <f t="shared" si="4"/>
        <v>First</v>
      </c>
      <c r="C168" t="s">
        <v>1703</v>
      </c>
      <c r="D168" t="s">
        <v>1592</v>
      </c>
      <c r="E168" t="s">
        <v>1572</v>
      </c>
      <c r="F168" s="4">
        <v>33051</v>
      </c>
      <c r="G168" t="s">
        <v>1553</v>
      </c>
      <c r="H168" s="3">
        <v>2445827</v>
      </c>
      <c r="I168" t="s">
        <v>1563</v>
      </c>
      <c r="J168" t="s">
        <v>1560</v>
      </c>
      <c r="K168" s="4">
        <v>44545</v>
      </c>
      <c r="L168" s="7">
        <f t="shared" si="5"/>
        <v>1759</v>
      </c>
    </row>
    <row r="169" spans="1:12" x14ac:dyDescent="0.3">
      <c r="A169" t="s">
        <v>484</v>
      </c>
      <c r="B169" t="str">
        <f t="shared" si="4"/>
        <v>First</v>
      </c>
      <c r="C169" t="s">
        <v>1704</v>
      </c>
      <c r="D169" t="s">
        <v>1604</v>
      </c>
      <c r="E169" t="s">
        <v>1569</v>
      </c>
      <c r="F169" s="4">
        <v>32634</v>
      </c>
      <c r="G169" t="s">
        <v>1558</v>
      </c>
      <c r="H169" s="3">
        <v>1682577</v>
      </c>
      <c r="I169" t="s">
        <v>1573</v>
      </c>
      <c r="J169" t="s">
        <v>1566</v>
      </c>
      <c r="K169" s="4">
        <v>46242</v>
      </c>
      <c r="L169" s="7">
        <f t="shared" si="5"/>
        <v>62</v>
      </c>
    </row>
    <row r="170" spans="1:12" x14ac:dyDescent="0.3">
      <c r="A170" t="s">
        <v>620</v>
      </c>
      <c r="B170" t="str">
        <f t="shared" si="4"/>
        <v>First</v>
      </c>
      <c r="C170" t="s">
        <v>1618</v>
      </c>
      <c r="D170" t="s">
        <v>1604</v>
      </c>
      <c r="E170" t="s">
        <v>1569</v>
      </c>
      <c r="F170" s="4">
        <v>38632</v>
      </c>
      <c r="G170" t="s">
        <v>1553</v>
      </c>
      <c r="H170" s="3">
        <v>711663</v>
      </c>
      <c r="I170" t="s">
        <v>1559</v>
      </c>
      <c r="J170" t="s">
        <v>1566</v>
      </c>
      <c r="K170" s="4">
        <v>45985</v>
      </c>
      <c r="L170" s="7">
        <f t="shared" si="5"/>
        <v>319</v>
      </c>
    </row>
    <row r="171" spans="1:12" x14ac:dyDescent="0.3">
      <c r="A171" t="s">
        <v>261</v>
      </c>
      <c r="B171" t="str">
        <f t="shared" si="4"/>
        <v>First</v>
      </c>
      <c r="C171" t="s">
        <v>1705</v>
      </c>
      <c r="D171" t="s">
        <v>1565</v>
      </c>
      <c r="E171" t="s">
        <v>1552</v>
      </c>
      <c r="F171" s="4">
        <v>36701</v>
      </c>
      <c r="G171" t="s">
        <v>1562</v>
      </c>
      <c r="H171" s="3">
        <v>3443239</v>
      </c>
      <c r="I171" t="s">
        <v>1563</v>
      </c>
      <c r="J171" t="s">
        <v>1555</v>
      </c>
      <c r="K171" s="4">
        <v>45933</v>
      </c>
      <c r="L171" s="7">
        <f t="shared" si="5"/>
        <v>371</v>
      </c>
    </row>
    <row r="172" spans="1:12" x14ac:dyDescent="0.3">
      <c r="A172" t="s">
        <v>141</v>
      </c>
      <c r="B172" t="str">
        <f t="shared" si="4"/>
        <v>First</v>
      </c>
      <c r="C172" t="s">
        <v>1706</v>
      </c>
      <c r="D172" t="s">
        <v>1576</v>
      </c>
      <c r="E172" t="s">
        <v>1572</v>
      </c>
      <c r="F172" s="4">
        <v>26258</v>
      </c>
      <c r="G172" t="s">
        <v>1553</v>
      </c>
      <c r="H172" s="3">
        <v>2759945</v>
      </c>
      <c r="I172" t="s">
        <v>1563</v>
      </c>
      <c r="J172" t="s">
        <v>1560</v>
      </c>
      <c r="K172" s="4">
        <v>45966</v>
      </c>
      <c r="L172" s="7">
        <f t="shared" si="5"/>
        <v>338</v>
      </c>
    </row>
    <row r="173" spans="1:12" x14ac:dyDescent="0.3">
      <c r="A173" t="s">
        <v>246</v>
      </c>
      <c r="B173" t="str">
        <f t="shared" si="4"/>
        <v>First</v>
      </c>
      <c r="C173" t="s">
        <v>1707</v>
      </c>
      <c r="D173" t="s">
        <v>1565</v>
      </c>
      <c r="E173" t="s">
        <v>1552</v>
      </c>
      <c r="F173" s="4">
        <v>38806</v>
      </c>
      <c r="G173" t="s">
        <v>1562</v>
      </c>
      <c r="H173" s="3">
        <v>1864504</v>
      </c>
      <c r="I173" t="s">
        <v>1573</v>
      </c>
      <c r="J173" t="s">
        <v>1560</v>
      </c>
      <c r="K173" s="4">
        <v>44273</v>
      </c>
      <c r="L173" s="7">
        <f t="shared" si="5"/>
        <v>2031</v>
      </c>
    </row>
    <row r="174" spans="1:12" x14ac:dyDescent="0.3">
      <c r="A174" t="s">
        <v>401</v>
      </c>
      <c r="B174" t="str">
        <f t="shared" si="4"/>
        <v>First</v>
      </c>
      <c r="C174" t="s">
        <v>1708</v>
      </c>
      <c r="D174" t="s">
        <v>1551</v>
      </c>
      <c r="E174" t="s">
        <v>1552</v>
      </c>
      <c r="F174" s="4">
        <v>29698</v>
      </c>
      <c r="G174" t="s">
        <v>1580</v>
      </c>
      <c r="H174" s="3">
        <v>1531034</v>
      </c>
      <c r="I174" t="s">
        <v>1573</v>
      </c>
      <c r="J174" t="s">
        <v>1566</v>
      </c>
      <c r="K174" s="4">
        <v>44100</v>
      </c>
      <c r="L174" s="7">
        <f t="shared" si="5"/>
        <v>2204</v>
      </c>
    </row>
    <row r="175" spans="1:12" x14ac:dyDescent="0.3">
      <c r="A175" t="s">
        <v>477</v>
      </c>
      <c r="B175" t="str">
        <f t="shared" si="4"/>
        <v>First</v>
      </c>
      <c r="C175" t="s">
        <v>1709</v>
      </c>
      <c r="D175" t="s">
        <v>1589</v>
      </c>
      <c r="E175" t="s">
        <v>1569</v>
      </c>
      <c r="F175" s="4">
        <v>34501</v>
      </c>
      <c r="G175" t="s">
        <v>1562</v>
      </c>
      <c r="H175" s="3">
        <v>2405316</v>
      </c>
      <c r="I175" t="s">
        <v>1563</v>
      </c>
      <c r="J175" t="s">
        <v>1560</v>
      </c>
      <c r="K175" s="4">
        <v>45689</v>
      </c>
      <c r="L175" s="7">
        <f t="shared" si="5"/>
        <v>615</v>
      </c>
    </row>
    <row r="176" spans="1:12" x14ac:dyDescent="0.3">
      <c r="A176" t="s">
        <v>303</v>
      </c>
      <c r="B176" t="str">
        <f t="shared" si="4"/>
        <v>First</v>
      </c>
      <c r="C176" t="s">
        <v>1710</v>
      </c>
      <c r="D176" t="s">
        <v>1551</v>
      </c>
      <c r="E176" t="s">
        <v>1552</v>
      </c>
      <c r="F176" s="4">
        <v>42904</v>
      </c>
      <c r="G176" t="s">
        <v>1558</v>
      </c>
      <c r="H176" s="3">
        <v>2926065</v>
      </c>
      <c r="I176" t="s">
        <v>1563</v>
      </c>
      <c r="J176" t="s">
        <v>1566</v>
      </c>
      <c r="K176" s="4">
        <v>44711</v>
      </c>
      <c r="L176" s="7">
        <f t="shared" si="5"/>
        <v>1593</v>
      </c>
    </row>
    <row r="177" spans="1:12" x14ac:dyDescent="0.3">
      <c r="A177" t="s">
        <v>684</v>
      </c>
      <c r="B177" t="str">
        <f t="shared" si="4"/>
        <v>First</v>
      </c>
      <c r="C177" t="s">
        <v>1711</v>
      </c>
      <c r="D177" t="s">
        <v>1571</v>
      </c>
      <c r="E177" t="s">
        <v>1572</v>
      </c>
      <c r="F177" s="4">
        <v>37903</v>
      </c>
      <c r="G177" t="s">
        <v>1562</v>
      </c>
      <c r="H177" s="3">
        <v>2082112</v>
      </c>
      <c r="I177" t="s">
        <v>1563</v>
      </c>
      <c r="J177" t="s">
        <v>1566</v>
      </c>
      <c r="K177" s="4">
        <v>45534</v>
      </c>
      <c r="L177" s="7">
        <f t="shared" si="5"/>
        <v>770</v>
      </c>
    </row>
    <row r="178" spans="1:12" x14ac:dyDescent="0.3">
      <c r="A178" t="s">
        <v>119</v>
      </c>
      <c r="B178" t="str">
        <f t="shared" si="4"/>
        <v>First</v>
      </c>
      <c r="C178" t="s">
        <v>1712</v>
      </c>
      <c r="D178" t="s">
        <v>1568</v>
      </c>
      <c r="E178" t="s">
        <v>1569</v>
      </c>
      <c r="F178" s="4">
        <v>29839</v>
      </c>
      <c r="G178" t="s">
        <v>1553</v>
      </c>
      <c r="H178" s="3">
        <v>1749932</v>
      </c>
      <c r="I178" t="s">
        <v>1573</v>
      </c>
      <c r="J178" t="s">
        <v>1560</v>
      </c>
      <c r="K178" s="4">
        <v>45773</v>
      </c>
      <c r="L178" s="7">
        <f t="shared" si="5"/>
        <v>531</v>
      </c>
    </row>
    <row r="179" spans="1:12" x14ac:dyDescent="0.3">
      <c r="A179" t="s">
        <v>759</v>
      </c>
      <c r="B179" t="str">
        <f t="shared" si="4"/>
        <v>First</v>
      </c>
      <c r="C179" t="s">
        <v>1713</v>
      </c>
      <c r="D179" t="s">
        <v>1585</v>
      </c>
      <c r="E179" t="s">
        <v>1586</v>
      </c>
      <c r="F179" s="4">
        <v>37048</v>
      </c>
      <c r="G179" t="s">
        <v>1580</v>
      </c>
      <c r="H179" s="3">
        <v>585020</v>
      </c>
      <c r="I179" t="s">
        <v>1559</v>
      </c>
      <c r="J179" t="s">
        <v>1555</v>
      </c>
      <c r="K179" s="4">
        <v>44363</v>
      </c>
      <c r="L179" s="7">
        <f t="shared" si="5"/>
        <v>1941</v>
      </c>
    </row>
    <row r="180" spans="1:12" x14ac:dyDescent="0.3">
      <c r="A180" t="s">
        <v>1005</v>
      </c>
      <c r="B180" t="str">
        <f t="shared" si="4"/>
        <v>First</v>
      </c>
      <c r="C180" t="s">
        <v>1643</v>
      </c>
      <c r="D180" t="s">
        <v>1551</v>
      </c>
      <c r="E180" t="s">
        <v>1552</v>
      </c>
      <c r="F180" s="4">
        <v>36424</v>
      </c>
      <c r="G180" t="s">
        <v>1580</v>
      </c>
      <c r="H180" s="3">
        <v>1903056</v>
      </c>
      <c r="I180" t="s">
        <v>1573</v>
      </c>
      <c r="J180" t="s">
        <v>1566</v>
      </c>
      <c r="K180" s="4">
        <v>45563</v>
      </c>
      <c r="L180" s="7">
        <f t="shared" si="5"/>
        <v>741</v>
      </c>
    </row>
    <row r="181" spans="1:12" x14ac:dyDescent="0.3">
      <c r="A181" t="s">
        <v>180</v>
      </c>
      <c r="B181" t="str">
        <f t="shared" si="4"/>
        <v>First</v>
      </c>
      <c r="C181" t="s">
        <v>1596</v>
      </c>
      <c r="D181" t="s">
        <v>1551</v>
      </c>
      <c r="E181" t="s">
        <v>1552</v>
      </c>
      <c r="F181" s="4">
        <v>41464</v>
      </c>
      <c r="G181" t="s">
        <v>1562</v>
      </c>
      <c r="H181" s="3">
        <v>2603965</v>
      </c>
      <c r="I181" t="s">
        <v>1563</v>
      </c>
      <c r="J181" t="s">
        <v>1560</v>
      </c>
      <c r="K181" s="4">
        <v>44702</v>
      </c>
      <c r="L181" s="7">
        <f t="shared" si="5"/>
        <v>1602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13" customWidth="1"/>
    <col min="2" max="2" width="16" customWidth="1"/>
    <col min="3" max="3" width="19" customWidth="1"/>
    <col min="4" max="4" width="13" customWidth="1"/>
    <col min="5" max="5" width="17" customWidth="1"/>
  </cols>
  <sheetData>
    <row r="1" spans="1:5" ht="31.95" customHeight="1" x14ac:dyDescent="0.3">
      <c r="A1" s="1" t="s">
        <v>46</v>
      </c>
      <c r="B1" s="1" t="s">
        <v>1714</v>
      </c>
      <c r="C1" s="1" t="s">
        <v>1715</v>
      </c>
      <c r="D1" s="1" t="s">
        <v>1542</v>
      </c>
      <c r="E1" s="1" t="s">
        <v>1716</v>
      </c>
    </row>
    <row r="2" spans="1:5" x14ac:dyDescent="0.3">
      <c r="A2" t="s">
        <v>229</v>
      </c>
      <c r="B2" t="s">
        <v>1717</v>
      </c>
      <c r="C2" t="s">
        <v>1718</v>
      </c>
      <c r="D2" t="s">
        <v>1571</v>
      </c>
      <c r="E2" t="s">
        <v>1719</v>
      </c>
    </row>
    <row r="3" spans="1:5" x14ac:dyDescent="0.3">
      <c r="A3" t="s">
        <v>783</v>
      </c>
      <c r="B3" t="s">
        <v>1720</v>
      </c>
      <c r="C3" t="s">
        <v>1721</v>
      </c>
      <c r="D3" t="s">
        <v>1557</v>
      </c>
      <c r="E3" t="s">
        <v>1722</v>
      </c>
    </row>
    <row r="4" spans="1:5" x14ac:dyDescent="0.3">
      <c r="A4" t="s">
        <v>175</v>
      </c>
      <c r="B4" t="s">
        <v>1723</v>
      </c>
      <c r="C4" t="s">
        <v>1724</v>
      </c>
      <c r="D4" t="s">
        <v>1604</v>
      </c>
      <c r="E4" t="s">
        <v>1719</v>
      </c>
    </row>
    <row r="5" spans="1:5" x14ac:dyDescent="0.3">
      <c r="A5" t="s">
        <v>607</v>
      </c>
      <c r="B5" t="s">
        <v>1725</v>
      </c>
      <c r="C5" t="s">
        <v>1726</v>
      </c>
      <c r="D5" t="s">
        <v>1571</v>
      </c>
      <c r="E5" t="s">
        <v>1719</v>
      </c>
    </row>
    <row r="6" spans="1:5" x14ac:dyDescent="0.3">
      <c r="A6" t="s">
        <v>430</v>
      </c>
      <c r="B6" t="s">
        <v>1727</v>
      </c>
      <c r="C6" t="s">
        <v>1721</v>
      </c>
      <c r="D6" t="s">
        <v>1551</v>
      </c>
      <c r="E6" t="s">
        <v>1719</v>
      </c>
    </row>
    <row r="7" spans="1:5" x14ac:dyDescent="0.3">
      <c r="A7" t="s">
        <v>103</v>
      </c>
      <c r="B7" t="s">
        <v>1728</v>
      </c>
      <c r="C7" t="s">
        <v>1718</v>
      </c>
      <c r="D7" t="s">
        <v>1576</v>
      </c>
      <c r="E7" t="s">
        <v>1729</v>
      </c>
    </row>
    <row r="8" spans="1:5" x14ac:dyDescent="0.3">
      <c r="A8" t="s">
        <v>244</v>
      </c>
      <c r="B8" t="s">
        <v>1730</v>
      </c>
      <c r="C8" t="s">
        <v>1726</v>
      </c>
      <c r="D8" t="s">
        <v>1592</v>
      </c>
      <c r="E8" t="s">
        <v>1729</v>
      </c>
    </row>
    <row r="9" spans="1:5" x14ac:dyDescent="0.3">
      <c r="A9" t="s">
        <v>124</v>
      </c>
      <c r="B9" t="s">
        <v>1731</v>
      </c>
      <c r="C9" t="s">
        <v>1732</v>
      </c>
      <c r="D9" t="s">
        <v>1604</v>
      </c>
      <c r="E9" t="s">
        <v>1719</v>
      </c>
    </row>
    <row r="10" spans="1:5" x14ac:dyDescent="0.3">
      <c r="A10" t="s">
        <v>146</v>
      </c>
      <c r="B10" t="s">
        <v>1733</v>
      </c>
      <c r="C10" t="s">
        <v>1732</v>
      </c>
      <c r="D10" t="s">
        <v>1568</v>
      </c>
      <c r="E10" t="s">
        <v>1729</v>
      </c>
    </row>
    <row r="11" spans="1:5" x14ac:dyDescent="0.3">
      <c r="A11" t="s">
        <v>413</v>
      </c>
      <c r="B11" t="s">
        <v>1730</v>
      </c>
      <c r="C11" t="s">
        <v>1734</v>
      </c>
      <c r="D11" t="s">
        <v>1585</v>
      </c>
      <c r="E11" t="s">
        <v>1729</v>
      </c>
    </row>
    <row r="12" spans="1:5" x14ac:dyDescent="0.3">
      <c r="A12" t="s">
        <v>95</v>
      </c>
      <c r="B12" t="s">
        <v>1735</v>
      </c>
      <c r="C12" t="s">
        <v>1726</v>
      </c>
      <c r="D12" t="s">
        <v>1585</v>
      </c>
      <c r="E12" t="s">
        <v>1719</v>
      </c>
    </row>
    <row r="13" spans="1:5" x14ac:dyDescent="0.3">
      <c r="A13" t="s">
        <v>215</v>
      </c>
      <c r="B13" t="s">
        <v>1736</v>
      </c>
      <c r="C13" t="s">
        <v>1718</v>
      </c>
      <c r="D13" t="s">
        <v>1568</v>
      </c>
      <c r="E13" t="s">
        <v>1719</v>
      </c>
    </row>
    <row r="14" spans="1:5" x14ac:dyDescent="0.3">
      <c r="A14" t="s">
        <v>225</v>
      </c>
      <c r="B14" t="s">
        <v>1737</v>
      </c>
      <c r="C14" t="s">
        <v>1738</v>
      </c>
      <c r="D14" t="s">
        <v>1604</v>
      </c>
      <c r="E14" t="s">
        <v>1719</v>
      </c>
    </row>
    <row r="15" spans="1:5" x14ac:dyDescent="0.3">
      <c r="A15" t="s">
        <v>57</v>
      </c>
      <c r="B15" t="s">
        <v>1720</v>
      </c>
      <c r="C15" t="s">
        <v>1739</v>
      </c>
      <c r="D15" t="s">
        <v>1568</v>
      </c>
      <c r="E15" t="s">
        <v>1729</v>
      </c>
    </row>
    <row r="16" spans="1:5" x14ac:dyDescent="0.3">
      <c r="A16" t="s">
        <v>322</v>
      </c>
      <c r="B16" t="s">
        <v>1740</v>
      </c>
      <c r="C16" t="s">
        <v>1738</v>
      </c>
      <c r="D16" t="s">
        <v>1565</v>
      </c>
      <c r="E16" t="s">
        <v>1722</v>
      </c>
    </row>
    <row r="17" spans="1:5" x14ac:dyDescent="0.3">
      <c r="A17" t="s">
        <v>192</v>
      </c>
      <c r="B17" t="s">
        <v>1741</v>
      </c>
      <c r="C17" t="s">
        <v>1739</v>
      </c>
      <c r="D17" t="s">
        <v>1585</v>
      </c>
      <c r="E17" t="s">
        <v>1722</v>
      </c>
    </row>
    <row r="18" spans="1:5" x14ac:dyDescent="0.3">
      <c r="A18" t="s">
        <v>189</v>
      </c>
      <c r="B18" t="s">
        <v>1742</v>
      </c>
      <c r="C18" t="s">
        <v>1732</v>
      </c>
      <c r="D18" t="s">
        <v>1585</v>
      </c>
      <c r="E18" t="s">
        <v>1722</v>
      </c>
    </row>
    <row r="19" spans="1:5" x14ac:dyDescent="0.3">
      <c r="A19" t="s">
        <v>79</v>
      </c>
      <c r="B19" t="s">
        <v>1743</v>
      </c>
      <c r="C19" t="s">
        <v>1738</v>
      </c>
      <c r="D19" t="s">
        <v>1565</v>
      </c>
      <c r="E19" t="s">
        <v>1719</v>
      </c>
    </row>
    <row r="20" spans="1:5" x14ac:dyDescent="0.3">
      <c r="A20" t="s">
        <v>132</v>
      </c>
      <c r="B20" t="s">
        <v>1744</v>
      </c>
      <c r="C20" t="s">
        <v>1721</v>
      </c>
      <c r="D20" t="s">
        <v>1585</v>
      </c>
      <c r="E20" t="s">
        <v>1729</v>
      </c>
    </row>
    <row r="21" spans="1:5" x14ac:dyDescent="0.3">
      <c r="A21" t="s">
        <v>263</v>
      </c>
      <c r="B21" t="s">
        <v>1745</v>
      </c>
      <c r="C21" t="s">
        <v>1738</v>
      </c>
      <c r="D21" t="s">
        <v>1571</v>
      </c>
      <c r="E21" t="s">
        <v>1719</v>
      </c>
    </row>
    <row r="22" spans="1:5" x14ac:dyDescent="0.3">
      <c r="A22" t="s">
        <v>182</v>
      </c>
      <c r="B22" t="s">
        <v>1746</v>
      </c>
      <c r="C22" t="s">
        <v>1726</v>
      </c>
      <c r="D22" t="s">
        <v>1551</v>
      </c>
      <c r="E22" t="s">
        <v>1729</v>
      </c>
    </row>
    <row r="23" spans="1:5" x14ac:dyDescent="0.3">
      <c r="A23" t="s">
        <v>201</v>
      </c>
      <c r="B23" t="s">
        <v>1747</v>
      </c>
      <c r="C23" t="s">
        <v>1721</v>
      </c>
      <c r="D23" t="s">
        <v>1589</v>
      </c>
      <c r="E23" t="s">
        <v>1729</v>
      </c>
    </row>
    <row r="24" spans="1:5" x14ac:dyDescent="0.3">
      <c r="A24" t="s">
        <v>421</v>
      </c>
      <c r="B24" t="s">
        <v>1748</v>
      </c>
      <c r="C24" t="s">
        <v>1721</v>
      </c>
      <c r="D24" t="s">
        <v>1568</v>
      </c>
      <c r="E24" t="s">
        <v>1722</v>
      </c>
    </row>
    <row r="25" spans="1:5" x14ac:dyDescent="0.3">
      <c r="A25" t="s">
        <v>100</v>
      </c>
      <c r="B25" t="s">
        <v>1749</v>
      </c>
      <c r="C25" t="s">
        <v>1726</v>
      </c>
      <c r="D25" t="s">
        <v>1592</v>
      </c>
      <c r="E25" t="s">
        <v>1719</v>
      </c>
    </row>
    <row r="26" spans="1:5" x14ac:dyDescent="0.3">
      <c r="A26" t="s">
        <v>366</v>
      </c>
      <c r="B26" t="s">
        <v>1748</v>
      </c>
      <c r="C26" t="s">
        <v>1718</v>
      </c>
      <c r="D26" t="s">
        <v>1557</v>
      </c>
      <c r="E26" t="s">
        <v>1719</v>
      </c>
    </row>
    <row r="27" spans="1:5" x14ac:dyDescent="0.3">
      <c r="A27" t="s">
        <v>198</v>
      </c>
      <c r="B27" t="s">
        <v>1750</v>
      </c>
      <c r="C27" t="s">
        <v>1739</v>
      </c>
      <c r="D27" t="s">
        <v>1576</v>
      </c>
      <c r="E27" t="s">
        <v>1719</v>
      </c>
    </row>
    <row r="28" spans="1:5" x14ac:dyDescent="0.3">
      <c r="A28" t="s">
        <v>66</v>
      </c>
      <c r="B28" t="s">
        <v>1751</v>
      </c>
      <c r="C28" t="s">
        <v>1752</v>
      </c>
      <c r="D28" t="s">
        <v>1592</v>
      </c>
      <c r="E28" t="s">
        <v>1722</v>
      </c>
    </row>
    <row r="29" spans="1:5" x14ac:dyDescent="0.3">
      <c r="A29" t="s">
        <v>117</v>
      </c>
      <c r="B29" t="s">
        <v>1753</v>
      </c>
      <c r="C29" t="s">
        <v>1739</v>
      </c>
      <c r="D29" t="s">
        <v>1565</v>
      </c>
      <c r="E29" t="s">
        <v>1729</v>
      </c>
    </row>
    <row r="30" spans="1:5" x14ac:dyDescent="0.3">
      <c r="A30" t="s">
        <v>250</v>
      </c>
      <c r="B30" t="s">
        <v>1746</v>
      </c>
      <c r="C30" t="s">
        <v>1726</v>
      </c>
      <c r="D30" t="s">
        <v>1571</v>
      </c>
      <c r="E30" t="s">
        <v>1719</v>
      </c>
    </row>
    <row r="31" spans="1:5" x14ac:dyDescent="0.3">
      <c r="A31" t="s">
        <v>554</v>
      </c>
      <c r="B31" t="s">
        <v>1754</v>
      </c>
      <c r="C31" t="s">
        <v>1734</v>
      </c>
      <c r="D31" t="s">
        <v>1565</v>
      </c>
      <c r="E31" t="s">
        <v>1722</v>
      </c>
    </row>
    <row r="32" spans="1:5" x14ac:dyDescent="0.3">
      <c r="A32" t="s">
        <v>277</v>
      </c>
      <c r="B32" t="s">
        <v>1725</v>
      </c>
      <c r="C32" t="s">
        <v>1738</v>
      </c>
      <c r="D32" t="s">
        <v>1571</v>
      </c>
      <c r="E32" t="s">
        <v>1722</v>
      </c>
    </row>
    <row r="33" spans="1:5" x14ac:dyDescent="0.3">
      <c r="A33" t="s">
        <v>318</v>
      </c>
      <c r="B33" t="s">
        <v>1755</v>
      </c>
      <c r="C33" t="s">
        <v>1734</v>
      </c>
      <c r="D33" t="s">
        <v>1565</v>
      </c>
      <c r="E33" t="s">
        <v>1719</v>
      </c>
    </row>
    <row r="34" spans="1:5" x14ac:dyDescent="0.3">
      <c r="A34" t="s">
        <v>150</v>
      </c>
      <c r="B34" t="s">
        <v>1756</v>
      </c>
      <c r="C34" t="s">
        <v>1724</v>
      </c>
      <c r="D34" t="s">
        <v>1551</v>
      </c>
      <c r="E34" t="s">
        <v>1722</v>
      </c>
    </row>
    <row r="35" spans="1:5" x14ac:dyDescent="0.3">
      <c r="A35" t="s">
        <v>233</v>
      </c>
      <c r="B35" t="s">
        <v>1745</v>
      </c>
      <c r="C35" t="s">
        <v>1734</v>
      </c>
      <c r="D35" t="s">
        <v>1589</v>
      </c>
      <c r="E35" t="s">
        <v>1722</v>
      </c>
    </row>
    <row r="36" spans="1:5" x14ac:dyDescent="0.3">
      <c r="A36" t="s">
        <v>347</v>
      </c>
      <c r="B36" t="s">
        <v>1757</v>
      </c>
      <c r="C36" t="s">
        <v>1752</v>
      </c>
      <c r="D36" t="s">
        <v>1571</v>
      </c>
      <c r="E36" t="s">
        <v>1722</v>
      </c>
    </row>
    <row r="37" spans="1:5" x14ac:dyDescent="0.3">
      <c r="A37" t="s">
        <v>164</v>
      </c>
      <c r="B37" t="s">
        <v>1758</v>
      </c>
      <c r="C37" t="s">
        <v>1738</v>
      </c>
      <c r="D37" t="s">
        <v>1565</v>
      </c>
      <c r="E37" t="s">
        <v>1719</v>
      </c>
    </row>
    <row r="38" spans="1:5" x14ac:dyDescent="0.3">
      <c r="A38" t="s">
        <v>71</v>
      </c>
      <c r="B38" t="s">
        <v>1740</v>
      </c>
      <c r="C38" t="s">
        <v>1718</v>
      </c>
      <c r="D38" t="s">
        <v>1592</v>
      </c>
      <c r="E38" t="s">
        <v>1719</v>
      </c>
    </row>
    <row r="39" spans="1:5" x14ac:dyDescent="0.3">
      <c r="A39" t="s">
        <v>168</v>
      </c>
      <c r="B39" t="s">
        <v>1759</v>
      </c>
      <c r="C39" t="s">
        <v>1734</v>
      </c>
      <c r="D39" t="s">
        <v>1557</v>
      </c>
      <c r="E39" t="s">
        <v>1722</v>
      </c>
    </row>
    <row r="40" spans="1:5" x14ac:dyDescent="0.3">
      <c r="A40" t="s">
        <v>382</v>
      </c>
      <c r="B40" t="s">
        <v>1760</v>
      </c>
      <c r="C40" t="s">
        <v>1726</v>
      </c>
      <c r="D40" t="s">
        <v>1571</v>
      </c>
      <c r="E40" t="s">
        <v>1729</v>
      </c>
    </row>
    <row r="41" spans="1:5" x14ac:dyDescent="0.3">
      <c r="A41" t="s">
        <v>208</v>
      </c>
      <c r="B41" t="s">
        <v>1761</v>
      </c>
      <c r="C41" t="s">
        <v>1726</v>
      </c>
      <c r="D41" t="s">
        <v>1589</v>
      </c>
      <c r="E41" t="s">
        <v>1719</v>
      </c>
    </row>
    <row r="42" spans="1:5" x14ac:dyDescent="0.3">
      <c r="A42" t="s">
        <v>237</v>
      </c>
      <c r="B42" t="s">
        <v>1740</v>
      </c>
      <c r="C42" t="s">
        <v>1726</v>
      </c>
      <c r="D42" t="s">
        <v>1551</v>
      </c>
      <c r="E42" t="s">
        <v>1722</v>
      </c>
    </row>
    <row r="43" spans="1:5" x14ac:dyDescent="0.3">
      <c r="A43" t="s">
        <v>156</v>
      </c>
      <c r="B43" t="s">
        <v>1762</v>
      </c>
      <c r="C43" t="s">
        <v>1724</v>
      </c>
      <c r="D43" t="s">
        <v>1589</v>
      </c>
      <c r="E43" t="s">
        <v>1719</v>
      </c>
    </row>
    <row r="44" spans="1:5" x14ac:dyDescent="0.3">
      <c r="A44" t="s">
        <v>85</v>
      </c>
      <c r="B44" t="s">
        <v>1740</v>
      </c>
      <c r="C44" t="s">
        <v>1739</v>
      </c>
      <c r="D44" t="s">
        <v>1571</v>
      </c>
      <c r="E44" t="s">
        <v>1729</v>
      </c>
    </row>
    <row r="45" spans="1:5" x14ac:dyDescent="0.3">
      <c r="A45" t="s">
        <v>128</v>
      </c>
      <c r="B45" t="s">
        <v>1741</v>
      </c>
      <c r="C45" t="s">
        <v>1732</v>
      </c>
      <c r="D45" t="s">
        <v>1568</v>
      </c>
      <c r="E45" t="s">
        <v>1722</v>
      </c>
    </row>
    <row r="46" spans="1:5" x14ac:dyDescent="0.3">
      <c r="A46" t="s">
        <v>107</v>
      </c>
      <c r="B46" t="s">
        <v>1763</v>
      </c>
      <c r="C46" t="s">
        <v>1739</v>
      </c>
      <c r="D46" t="s">
        <v>1557</v>
      </c>
      <c r="E46" t="s">
        <v>1719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21" customWidth="1"/>
    <col min="4" max="4" width="13" customWidth="1"/>
    <col min="5" max="5" width="20" customWidth="1"/>
    <col min="6" max="6" width="13" customWidth="1"/>
    <col min="7" max="8" width="15" customWidth="1"/>
    <col min="9" max="9" width="14" customWidth="1"/>
    <col min="10" max="10" width="21" customWidth="1"/>
  </cols>
  <sheetData>
    <row r="1" spans="1:10" ht="31.95" customHeight="1" x14ac:dyDescent="0.3">
      <c r="A1" s="1" t="s">
        <v>1764</v>
      </c>
      <c r="B1" s="1" t="s">
        <v>44</v>
      </c>
      <c r="C1" s="1" t="s">
        <v>1765</v>
      </c>
      <c r="D1" s="1" t="s">
        <v>1766</v>
      </c>
      <c r="E1" s="1" t="s">
        <v>1767</v>
      </c>
      <c r="F1" s="1" t="s">
        <v>1768</v>
      </c>
      <c r="G1" s="1" t="s">
        <v>1769</v>
      </c>
      <c r="H1" s="1" t="s">
        <v>1770</v>
      </c>
      <c r="I1" s="1" t="s">
        <v>1771</v>
      </c>
      <c r="J1" s="1" t="s">
        <v>1772</v>
      </c>
    </row>
    <row r="2" spans="1:10" x14ac:dyDescent="0.3">
      <c r="A2" t="s">
        <v>1773</v>
      </c>
      <c r="B2" t="s">
        <v>633</v>
      </c>
      <c r="C2" s="4">
        <v>45612</v>
      </c>
      <c r="D2" t="s">
        <v>1774</v>
      </c>
      <c r="E2" t="s">
        <v>1775</v>
      </c>
      <c r="F2" s="3">
        <v>821156</v>
      </c>
      <c r="G2">
        <v>10.55</v>
      </c>
      <c r="H2">
        <v>48</v>
      </c>
      <c r="I2" t="s">
        <v>1776</v>
      </c>
      <c r="J2" t="s">
        <v>1777</v>
      </c>
    </row>
    <row r="3" spans="1:10" x14ac:dyDescent="0.3">
      <c r="A3" t="s">
        <v>1778</v>
      </c>
      <c r="B3" t="s">
        <v>166</v>
      </c>
      <c r="C3" s="4">
        <v>45624</v>
      </c>
      <c r="D3" t="s">
        <v>1779</v>
      </c>
      <c r="E3" t="s">
        <v>1739</v>
      </c>
      <c r="F3" s="3">
        <v>462829</v>
      </c>
      <c r="G3">
        <v>10.33</v>
      </c>
      <c r="H3">
        <v>60</v>
      </c>
      <c r="I3" t="s">
        <v>1776</v>
      </c>
      <c r="J3" t="s">
        <v>86</v>
      </c>
    </row>
    <row r="4" spans="1:10" x14ac:dyDescent="0.3">
      <c r="A4" t="s">
        <v>1780</v>
      </c>
      <c r="B4" t="s">
        <v>270</v>
      </c>
      <c r="C4" s="4">
        <v>46186</v>
      </c>
      <c r="D4" t="s">
        <v>1774</v>
      </c>
      <c r="E4" t="s">
        <v>1739</v>
      </c>
      <c r="F4" s="3">
        <v>300000</v>
      </c>
      <c r="G4">
        <v>12.89</v>
      </c>
      <c r="H4">
        <v>60</v>
      </c>
      <c r="I4" t="s">
        <v>1781</v>
      </c>
      <c r="J4" t="s">
        <v>111</v>
      </c>
    </row>
    <row r="5" spans="1:10" x14ac:dyDescent="0.3">
      <c r="A5" t="s">
        <v>1782</v>
      </c>
      <c r="B5" t="s">
        <v>852</v>
      </c>
      <c r="C5" s="4">
        <v>45446</v>
      </c>
      <c r="D5" t="s">
        <v>1783</v>
      </c>
      <c r="E5" t="s">
        <v>1784</v>
      </c>
      <c r="F5" s="3">
        <v>232843</v>
      </c>
      <c r="G5">
        <v>13.2</v>
      </c>
      <c r="H5">
        <v>18</v>
      </c>
      <c r="I5" t="s">
        <v>1785</v>
      </c>
      <c r="J5" t="s">
        <v>111</v>
      </c>
    </row>
    <row r="6" spans="1:10" x14ac:dyDescent="0.3">
      <c r="A6" t="s">
        <v>1786</v>
      </c>
      <c r="B6" t="s">
        <v>948</v>
      </c>
      <c r="C6" s="4">
        <v>45314</v>
      </c>
      <c r="D6" t="s">
        <v>1787</v>
      </c>
      <c r="E6" t="s">
        <v>1788</v>
      </c>
      <c r="F6" s="3">
        <v>206006</v>
      </c>
      <c r="G6">
        <v>11.23</v>
      </c>
      <c r="H6">
        <v>84</v>
      </c>
      <c r="I6" t="s">
        <v>1789</v>
      </c>
      <c r="J6" t="s">
        <v>1777</v>
      </c>
    </row>
    <row r="7" spans="1:10" x14ac:dyDescent="0.3">
      <c r="A7" t="s">
        <v>1790</v>
      </c>
      <c r="B7" t="s">
        <v>527</v>
      </c>
      <c r="C7" s="4">
        <v>45735</v>
      </c>
      <c r="D7" t="s">
        <v>1783</v>
      </c>
      <c r="E7" t="s">
        <v>1788</v>
      </c>
      <c r="F7" s="3">
        <v>100000</v>
      </c>
      <c r="G7">
        <v>20.04</v>
      </c>
      <c r="H7">
        <v>12</v>
      </c>
      <c r="I7" t="s">
        <v>1781</v>
      </c>
      <c r="J7" t="s">
        <v>1777</v>
      </c>
    </row>
    <row r="8" spans="1:10" x14ac:dyDescent="0.3">
      <c r="A8" t="s">
        <v>1791</v>
      </c>
      <c r="B8" t="s">
        <v>461</v>
      </c>
      <c r="C8" s="4">
        <v>45914</v>
      </c>
      <c r="D8" t="s">
        <v>1779</v>
      </c>
      <c r="E8" t="s">
        <v>1792</v>
      </c>
      <c r="F8" s="3">
        <v>150000</v>
      </c>
      <c r="G8">
        <v>11.1</v>
      </c>
      <c r="H8">
        <v>84</v>
      </c>
      <c r="I8" t="s">
        <v>1785</v>
      </c>
      <c r="J8" t="s">
        <v>74</v>
      </c>
    </row>
    <row r="9" spans="1:10" x14ac:dyDescent="0.3">
      <c r="A9" t="s">
        <v>1793</v>
      </c>
      <c r="B9" t="s">
        <v>684</v>
      </c>
      <c r="C9" s="4">
        <v>45938</v>
      </c>
      <c r="D9" t="s">
        <v>1787</v>
      </c>
      <c r="E9" t="s">
        <v>1739</v>
      </c>
      <c r="F9" s="3">
        <v>200000</v>
      </c>
      <c r="G9">
        <v>15.84</v>
      </c>
      <c r="H9">
        <v>18</v>
      </c>
      <c r="I9" t="s">
        <v>1776</v>
      </c>
      <c r="J9" t="s">
        <v>74</v>
      </c>
    </row>
    <row r="10" spans="1:10" x14ac:dyDescent="0.3">
      <c r="A10" t="s">
        <v>1794</v>
      </c>
      <c r="B10" t="s">
        <v>1170</v>
      </c>
      <c r="C10" s="4">
        <v>46034</v>
      </c>
      <c r="D10" t="s">
        <v>1787</v>
      </c>
      <c r="E10" t="s">
        <v>1739</v>
      </c>
      <c r="F10" s="3">
        <v>100000</v>
      </c>
      <c r="G10">
        <v>9.26</v>
      </c>
      <c r="H10">
        <v>84</v>
      </c>
      <c r="I10" t="s">
        <v>1776</v>
      </c>
      <c r="J10" t="s">
        <v>111</v>
      </c>
    </row>
    <row r="11" spans="1:10" x14ac:dyDescent="0.3">
      <c r="A11" t="s">
        <v>1795</v>
      </c>
      <c r="B11" t="s">
        <v>614</v>
      </c>
      <c r="C11" s="4">
        <v>45506</v>
      </c>
      <c r="D11" t="s">
        <v>1796</v>
      </c>
      <c r="E11" t="s">
        <v>1797</v>
      </c>
      <c r="F11" s="3">
        <v>761715</v>
      </c>
      <c r="G11">
        <v>19.489999999999998</v>
      </c>
      <c r="H11">
        <v>84</v>
      </c>
      <c r="I11" t="s">
        <v>1781</v>
      </c>
      <c r="J11" t="s">
        <v>74</v>
      </c>
    </row>
    <row r="12" spans="1:10" x14ac:dyDescent="0.3">
      <c r="A12" t="s">
        <v>1798</v>
      </c>
      <c r="B12" t="s">
        <v>445</v>
      </c>
      <c r="C12" s="4">
        <v>45883</v>
      </c>
      <c r="D12" t="s">
        <v>1774</v>
      </c>
      <c r="E12" t="s">
        <v>1788</v>
      </c>
      <c r="F12" s="3">
        <v>772251</v>
      </c>
      <c r="G12">
        <v>17.88</v>
      </c>
      <c r="H12">
        <v>24</v>
      </c>
      <c r="I12" t="s">
        <v>1799</v>
      </c>
      <c r="J12" t="s">
        <v>111</v>
      </c>
    </row>
    <row r="13" spans="1:10" x14ac:dyDescent="0.3">
      <c r="A13" t="s">
        <v>1800</v>
      </c>
      <c r="B13" t="s">
        <v>223</v>
      </c>
      <c r="C13" s="4">
        <v>46124</v>
      </c>
      <c r="D13" t="s">
        <v>1779</v>
      </c>
      <c r="E13" t="s">
        <v>1784</v>
      </c>
      <c r="F13" s="3">
        <v>552321</v>
      </c>
      <c r="G13">
        <v>12.26</v>
      </c>
      <c r="H13">
        <v>12</v>
      </c>
      <c r="I13" t="s">
        <v>1776</v>
      </c>
      <c r="J13" t="s">
        <v>111</v>
      </c>
    </row>
    <row r="14" spans="1:10" x14ac:dyDescent="0.3">
      <c r="A14" t="s">
        <v>1801</v>
      </c>
      <c r="B14" t="s">
        <v>69</v>
      </c>
      <c r="C14" s="4">
        <v>45930</v>
      </c>
      <c r="D14" t="s">
        <v>1779</v>
      </c>
      <c r="E14" t="s">
        <v>1775</v>
      </c>
      <c r="F14" s="3">
        <v>1000000</v>
      </c>
      <c r="G14">
        <v>19.309999999999999</v>
      </c>
      <c r="H14">
        <v>36</v>
      </c>
      <c r="I14" t="s">
        <v>1785</v>
      </c>
      <c r="J14" t="s">
        <v>1777</v>
      </c>
    </row>
    <row r="15" spans="1:10" x14ac:dyDescent="0.3">
      <c r="A15" t="s">
        <v>1802</v>
      </c>
      <c r="B15" t="s">
        <v>720</v>
      </c>
      <c r="C15" s="4">
        <v>46088</v>
      </c>
      <c r="D15" t="s">
        <v>1796</v>
      </c>
      <c r="E15" t="s">
        <v>1792</v>
      </c>
      <c r="F15" s="3">
        <v>200000</v>
      </c>
      <c r="G15">
        <v>17.829999999999998</v>
      </c>
      <c r="H15">
        <v>84</v>
      </c>
      <c r="I15" t="s">
        <v>1785</v>
      </c>
      <c r="J15" t="s">
        <v>86</v>
      </c>
    </row>
    <row r="16" spans="1:10" x14ac:dyDescent="0.3">
      <c r="A16" t="s">
        <v>1803</v>
      </c>
      <c r="B16" t="s">
        <v>503</v>
      </c>
      <c r="C16" s="4">
        <v>45627</v>
      </c>
      <c r="D16" t="s">
        <v>1774</v>
      </c>
      <c r="E16" t="s">
        <v>1792</v>
      </c>
      <c r="F16" s="3">
        <v>750000</v>
      </c>
      <c r="G16">
        <v>11.77</v>
      </c>
      <c r="H16">
        <v>48</v>
      </c>
      <c r="I16" t="s">
        <v>1776</v>
      </c>
      <c r="J16" t="s">
        <v>74</v>
      </c>
    </row>
    <row r="17" spans="1:10" x14ac:dyDescent="0.3">
      <c r="A17" t="s">
        <v>1804</v>
      </c>
      <c r="B17" t="s">
        <v>428</v>
      </c>
      <c r="C17" s="4">
        <v>45911</v>
      </c>
      <c r="D17" t="s">
        <v>1774</v>
      </c>
      <c r="E17" t="s">
        <v>1775</v>
      </c>
      <c r="F17" s="3">
        <v>249776</v>
      </c>
      <c r="G17">
        <v>15.76</v>
      </c>
      <c r="H17">
        <v>36</v>
      </c>
      <c r="I17" t="s">
        <v>1799</v>
      </c>
      <c r="J17" t="s">
        <v>111</v>
      </c>
    </row>
    <row r="18" spans="1:10" x14ac:dyDescent="0.3">
      <c r="A18" t="s">
        <v>1805</v>
      </c>
      <c r="B18" t="s">
        <v>1103</v>
      </c>
      <c r="C18" s="4">
        <v>45828</v>
      </c>
      <c r="D18" t="s">
        <v>1779</v>
      </c>
      <c r="E18" t="s">
        <v>1739</v>
      </c>
      <c r="F18" s="3">
        <v>336176</v>
      </c>
      <c r="G18">
        <v>16.91</v>
      </c>
      <c r="H18">
        <v>6</v>
      </c>
      <c r="I18" t="s">
        <v>1785</v>
      </c>
      <c r="J18" t="s">
        <v>111</v>
      </c>
    </row>
    <row r="19" spans="1:10" x14ac:dyDescent="0.3">
      <c r="A19" t="s">
        <v>1806</v>
      </c>
      <c r="B19" t="s">
        <v>398</v>
      </c>
      <c r="C19" s="4">
        <v>45439</v>
      </c>
      <c r="D19" t="s">
        <v>1779</v>
      </c>
      <c r="E19" t="s">
        <v>1784</v>
      </c>
      <c r="F19" s="3">
        <v>50000</v>
      </c>
      <c r="G19">
        <v>12.92</v>
      </c>
      <c r="H19">
        <v>18</v>
      </c>
      <c r="I19" t="s">
        <v>1776</v>
      </c>
      <c r="J19" t="s">
        <v>1777</v>
      </c>
    </row>
    <row r="20" spans="1:10" x14ac:dyDescent="0.3">
      <c r="A20" t="s">
        <v>1807</v>
      </c>
      <c r="B20" t="s">
        <v>714</v>
      </c>
      <c r="C20" s="4">
        <v>45860</v>
      </c>
      <c r="D20" t="s">
        <v>1783</v>
      </c>
      <c r="E20" t="s">
        <v>1788</v>
      </c>
      <c r="F20" s="3">
        <v>750000</v>
      </c>
      <c r="G20">
        <v>13.97</v>
      </c>
      <c r="H20">
        <v>24</v>
      </c>
      <c r="I20" t="s">
        <v>1799</v>
      </c>
      <c r="J20" t="s">
        <v>1777</v>
      </c>
    </row>
    <row r="21" spans="1:10" x14ac:dyDescent="0.3">
      <c r="A21" t="s">
        <v>1808</v>
      </c>
      <c r="B21" t="s">
        <v>295</v>
      </c>
      <c r="C21" s="4">
        <v>45583</v>
      </c>
      <c r="D21" t="s">
        <v>1783</v>
      </c>
      <c r="E21" t="s">
        <v>1784</v>
      </c>
      <c r="F21" s="3">
        <v>100000</v>
      </c>
      <c r="G21">
        <v>9.1300000000000008</v>
      </c>
      <c r="H21">
        <v>48</v>
      </c>
      <c r="I21" t="s">
        <v>1789</v>
      </c>
      <c r="J21" t="s">
        <v>74</v>
      </c>
    </row>
    <row r="22" spans="1:10" x14ac:dyDescent="0.3">
      <c r="A22" t="s">
        <v>1809</v>
      </c>
      <c r="B22" t="s">
        <v>585</v>
      </c>
      <c r="C22" s="4">
        <v>45437</v>
      </c>
      <c r="D22" t="s">
        <v>1783</v>
      </c>
      <c r="E22" t="s">
        <v>1797</v>
      </c>
      <c r="F22" s="3">
        <v>500000</v>
      </c>
      <c r="G22">
        <v>13.71</v>
      </c>
      <c r="H22">
        <v>48</v>
      </c>
      <c r="I22" t="s">
        <v>1776</v>
      </c>
      <c r="J22" t="s">
        <v>74</v>
      </c>
    </row>
    <row r="23" spans="1:10" x14ac:dyDescent="0.3">
      <c r="A23" t="s">
        <v>1810</v>
      </c>
      <c r="B23" t="s">
        <v>847</v>
      </c>
      <c r="C23" s="4">
        <v>45919</v>
      </c>
      <c r="D23" t="s">
        <v>1796</v>
      </c>
      <c r="E23" t="s">
        <v>1788</v>
      </c>
      <c r="F23" s="3">
        <v>76211</v>
      </c>
      <c r="G23">
        <v>15.29</v>
      </c>
      <c r="H23">
        <v>6</v>
      </c>
      <c r="I23" t="s">
        <v>1781</v>
      </c>
      <c r="J23" t="s">
        <v>86</v>
      </c>
    </row>
    <row r="24" spans="1:10" x14ac:dyDescent="0.3">
      <c r="A24" t="s">
        <v>1811</v>
      </c>
      <c r="B24" t="s">
        <v>148</v>
      </c>
      <c r="C24" s="4">
        <v>46032</v>
      </c>
      <c r="D24" t="s">
        <v>1783</v>
      </c>
      <c r="E24" t="s">
        <v>1784</v>
      </c>
      <c r="F24" s="3">
        <v>178272</v>
      </c>
      <c r="G24">
        <v>10.18</v>
      </c>
      <c r="H24">
        <v>12</v>
      </c>
      <c r="I24" t="s">
        <v>1776</v>
      </c>
      <c r="J24" t="s">
        <v>111</v>
      </c>
    </row>
    <row r="25" spans="1:10" x14ac:dyDescent="0.3">
      <c r="A25" t="s">
        <v>1812</v>
      </c>
      <c r="B25" t="s">
        <v>88</v>
      </c>
      <c r="C25" s="4">
        <v>45386</v>
      </c>
      <c r="D25" t="s">
        <v>1783</v>
      </c>
      <c r="E25" t="s">
        <v>1739</v>
      </c>
      <c r="F25" s="3">
        <v>414426</v>
      </c>
      <c r="G25">
        <v>12.62</v>
      </c>
      <c r="H25">
        <v>12</v>
      </c>
      <c r="I25" t="s">
        <v>1776</v>
      </c>
      <c r="J25" t="s">
        <v>86</v>
      </c>
    </row>
    <row r="26" spans="1:10" x14ac:dyDescent="0.3">
      <c r="A26" t="s">
        <v>1813</v>
      </c>
      <c r="B26" t="s">
        <v>759</v>
      </c>
      <c r="C26" s="4">
        <v>45829</v>
      </c>
      <c r="D26" t="s">
        <v>1774</v>
      </c>
      <c r="E26" t="s">
        <v>1775</v>
      </c>
      <c r="F26" s="3">
        <v>500000</v>
      </c>
      <c r="G26">
        <v>18.37</v>
      </c>
      <c r="H26">
        <v>24</v>
      </c>
      <c r="I26" t="s">
        <v>1776</v>
      </c>
      <c r="J26" t="s">
        <v>86</v>
      </c>
    </row>
    <row r="27" spans="1:10" x14ac:dyDescent="0.3">
      <c r="A27" t="s">
        <v>1814</v>
      </c>
      <c r="B27" t="s">
        <v>152</v>
      </c>
      <c r="C27" s="4">
        <v>46073</v>
      </c>
      <c r="D27" t="s">
        <v>1774</v>
      </c>
      <c r="E27" t="s">
        <v>1784</v>
      </c>
      <c r="F27" s="3">
        <v>313421</v>
      </c>
      <c r="G27">
        <v>16.239999999999998</v>
      </c>
      <c r="H27">
        <v>120</v>
      </c>
      <c r="I27" t="s">
        <v>1785</v>
      </c>
      <c r="J27" t="s">
        <v>111</v>
      </c>
    </row>
    <row r="28" spans="1:10" x14ac:dyDescent="0.3">
      <c r="A28" t="s">
        <v>1815</v>
      </c>
      <c r="B28" t="s">
        <v>614</v>
      </c>
      <c r="C28" s="4">
        <v>45782</v>
      </c>
      <c r="D28" t="s">
        <v>1774</v>
      </c>
      <c r="E28" t="s">
        <v>1792</v>
      </c>
      <c r="F28" s="3">
        <v>150000</v>
      </c>
      <c r="G28">
        <v>10.15</v>
      </c>
      <c r="H28">
        <v>48</v>
      </c>
      <c r="I28" t="s">
        <v>1785</v>
      </c>
      <c r="J28" t="s">
        <v>1777</v>
      </c>
    </row>
    <row r="29" spans="1:10" x14ac:dyDescent="0.3">
      <c r="A29" t="s">
        <v>1816</v>
      </c>
      <c r="B29" t="s">
        <v>122</v>
      </c>
      <c r="C29" s="4">
        <v>45311</v>
      </c>
      <c r="D29" t="s">
        <v>1783</v>
      </c>
      <c r="E29" t="s">
        <v>1797</v>
      </c>
      <c r="F29" s="3">
        <v>343708</v>
      </c>
      <c r="G29">
        <v>17.079999999999998</v>
      </c>
      <c r="H29">
        <v>60</v>
      </c>
      <c r="I29" t="s">
        <v>1789</v>
      </c>
      <c r="J29" t="s">
        <v>86</v>
      </c>
    </row>
    <row r="30" spans="1:10" x14ac:dyDescent="0.3">
      <c r="A30" t="s">
        <v>1817</v>
      </c>
      <c r="B30" t="s">
        <v>152</v>
      </c>
      <c r="C30" s="4">
        <v>45496</v>
      </c>
      <c r="D30" t="s">
        <v>1787</v>
      </c>
      <c r="E30" t="s">
        <v>1739</v>
      </c>
      <c r="F30" s="3">
        <v>258981</v>
      </c>
      <c r="G30">
        <v>8.59</v>
      </c>
      <c r="H30">
        <v>12</v>
      </c>
      <c r="I30" t="s">
        <v>1789</v>
      </c>
      <c r="J30" t="s">
        <v>74</v>
      </c>
    </row>
    <row r="31" spans="1:10" x14ac:dyDescent="0.3">
      <c r="A31" t="s">
        <v>1818</v>
      </c>
      <c r="B31" t="s">
        <v>130</v>
      </c>
      <c r="C31" s="4">
        <v>45813</v>
      </c>
      <c r="D31" t="s">
        <v>1774</v>
      </c>
      <c r="E31" t="s">
        <v>1796</v>
      </c>
      <c r="F31" s="3">
        <v>212154</v>
      </c>
      <c r="G31">
        <v>14.93</v>
      </c>
      <c r="H31">
        <v>36</v>
      </c>
      <c r="I31" t="s">
        <v>1785</v>
      </c>
      <c r="J31" t="s">
        <v>74</v>
      </c>
    </row>
    <row r="32" spans="1:10" x14ac:dyDescent="0.3">
      <c r="A32" t="s">
        <v>1819</v>
      </c>
      <c r="B32" t="s">
        <v>435</v>
      </c>
      <c r="C32" s="4">
        <v>45815</v>
      </c>
      <c r="D32" t="s">
        <v>1796</v>
      </c>
      <c r="E32" t="s">
        <v>1788</v>
      </c>
      <c r="F32" s="3">
        <v>150000</v>
      </c>
      <c r="G32">
        <v>10.85</v>
      </c>
      <c r="H32">
        <v>36</v>
      </c>
      <c r="I32" t="s">
        <v>1776</v>
      </c>
      <c r="J32" t="s">
        <v>74</v>
      </c>
    </row>
    <row r="33" spans="1:10" x14ac:dyDescent="0.3">
      <c r="A33" t="s">
        <v>1820</v>
      </c>
      <c r="B33" t="s">
        <v>732</v>
      </c>
      <c r="C33" s="4">
        <v>45754</v>
      </c>
      <c r="D33" t="s">
        <v>1774</v>
      </c>
      <c r="E33" t="s">
        <v>1796</v>
      </c>
      <c r="F33" s="3">
        <v>1000000</v>
      </c>
      <c r="G33">
        <v>9.85</v>
      </c>
      <c r="H33">
        <v>60</v>
      </c>
      <c r="I33" t="s">
        <v>1781</v>
      </c>
      <c r="J33" t="s">
        <v>111</v>
      </c>
    </row>
    <row r="34" spans="1:10" x14ac:dyDescent="0.3">
      <c r="A34" t="s">
        <v>1821</v>
      </c>
      <c r="B34" t="s">
        <v>728</v>
      </c>
      <c r="C34" s="4">
        <v>45496</v>
      </c>
      <c r="D34" t="s">
        <v>1774</v>
      </c>
      <c r="E34" t="s">
        <v>1775</v>
      </c>
      <c r="F34" s="3">
        <v>811440</v>
      </c>
      <c r="G34">
        <v>18.309999999999999</v>
      </c>
      <c r="H34">
        <v>48</v>
      </c>
      <c r="I34" t="s">
        <v>1776</v>
      </c>
      <c r="J34" t="s">
        <v>111</v>
      </c>
    </row>
    <row r="35" spans="1:10" x14ac:dyDescent="0.3">
      <c r="A35" t="s">
        <v>1822</v>
      </c>
      <c r="B35" t="s">
        <v>852</v>
      </c>
      <c r="C35" s="4">
        <v>45872</v>
      </c>
      <c r="D35" t="s">
        <v>1787</v>
      </c>
      <c r="E35" t="s">
        <v>1784</v>
      </c>
      <c r="F35" s="3">
        <v>304589</v>
      </c>
      <c r="G35">
        <v>12.22</v>
      </c>
      <c r="H35">
        <v>24</v>
      </c>
      <c r="I35" t="s">
        <v>1781</v>
      </c>
      <c r="J35" t="s">
        <v>74</v>
      </c>
    </row>
    <row r="36" spans="1:10" x14ac:dyDescent="0.3">
      <c r="A36" t="s">
        <v>1823</v>
      </c>
      <c r="B36" t="s">
        <v>213</v>
      </c>
      <c r="C36" s="4">
        <v>45503</v>
      </c>
      <c r="D36" t="s">
        <v>1796</v>
      </c>
      <c r="E36" t="s">
        <v>1739</v>
      </c>
      <c r="F36" s="3">
        <v>794914</v>
      </c>
      <c r="G36">
        <v>20.309999999999999</v>
      </c>
      <c r="H36">
        <v>18</v>
      </c>
      <c r="I36" t="s">
        <v>1781</v>
      </c>
      <c r="J36" t="s">
        <v>1777</v>
      </c>
    </row>
    <row r="37" spans="1:10" x14ac:dyDescent="0.3">
      <c r="A37" t="s">
        <v>1824</v>
      </c>
      <c r="B37" t="s">
        <v>141</v>
      </c>
      <c r="C37" s="4">
        <v>45866</v>
      </c>
      <c r="D37" t="s">
        <v>1774</v>
      </c>
      <c r="E37" t="s">
        <v>1784</v>
      </c>
      <c r="F37" s="3">
        <v>873621</v>
      </c>
      <c r="G37">
        <v>15.9</v>
      </c>
      <c r="H37">
        <v>6</v>
      </c>
      <c r="I37" t="s">
        <v>1781</v>
      </c>
      <c r="J37" t="s">
        <v>86</v>
      </c>
    </row>
    <row r="38" spans="1:10" x14ac:dyDescent="0.3">
      <c r="A38" t="s">
        <v>1825</v>
      </c>
      <c r="B38" t="s">
        <v>265</v>
      </c>
      <c r="C38" s="4">
        <v>46169</v>
      </c>
      <c r="D38" t="s">
        <v>1796</v>
      </c>
      <c r="E38" t="s">
        <v>1739</v>
      </c>
      <c r="F38" s="3">
        <v>200000</v>
      </c>
      <c r="G38">
        <v>13.08</v>
      </c>
      <c r="H38">
        <v>18</v>
      </c>
      <c r="I38" t="s">
        <v>1785</v>
      </c>
      <c r="J38" t="s">
        <v>74</v>
      </c>
    </row>
    <row r="39" spans="1:10" x14ac:dyDescent="0.3">
      <c r="A39" t="s">
        <v>1826</v>
      </c>
      <c r="B39" t="s">
        <v>292</v>
      </c>
      <c r="C39" s="4">
        <v>45512</v>
      </c>
      <c r="D39" t="s">
        <v>1783</v>
      </c>
      <c r="E39" t="s">
        <v>1788</v>
      </c>
      <c r="F39" s="3">
        <v>483721</v>
      </c>
      <c r="G39">
        <v>13.51</v>
      </c>
      <c r="H39">
        <v>6</v>
      </c>
      <c r="I39" t="s">
        <v>1785</v>
      </c>
      <c r="J39" t="s">
        <v>86</v>
      </c>
    </row>
    <row r="40" spans="1:10" x14ac:dyDescent="0.3">
      <c r="A40" t="s">
        <v>1827</v>
      </c>
      <c r="B40" t="s">
        <v>352</v>
      </c>
      <c r="C40" s="4">
        <v>46212</v>
      </c>
      <c r="D40" t="s">
        <v>1779</v>
      </c>
      <c r="E40" t="s">
        <v>1792</v>
      </c>
      <c r="F40" s="3">
        <v>100000</v>
      </c>
      <c r="G40">
        <v>19.47</v>
      </c>
      <c r="H40">
        <v>12</v>
      </c>
      <c r="I40" t="s">
        <v>1781</v>
      </c>
      <c r="J40" t="s">
        <v>86</v>
      </c>
    </row>
    <row r="41" spans="1:10" x14ac:dyDescent="0.3">
      <c r="A41" t="s">
        <v>1828</v>
      </c>
      <c r="B41" t="s">
        <v>289</v>
      </c>
      <c r="C41" s="4">
        <v>46193</v>
      </c>
      <c r="D41" t="s">
        <v>1783</v>
      </c>
      <c r="E41" t="s">
        <v>1784</v>
      </c>
      <c r="F41" s="3">
        <v>539651</v>
      </c>
      <c r="G41">
        <v>9.5299999999999994</v>
      </c>
      <c r="H41">
        <v>24</v>
      </c>
      <c r="I41" t="s">
        <v>1776</v>
      </c>
      <c r="J41" t="s">
        <v>74</v>
      </c>
    </row>
    <row r="42" spans="1:10" x14ac:dyDescent="0.3">
      <c r="A42" t="s">
        <v>1829</v>
      </c>
      <c r="B42" t="s">
        <v>741</v>
      </c>
      <c r="C42" s="4">
        <v>45568</v>
      </c>
      <c r="D42" t="s">
        <v>1774</v>
      </c>
      <c r="E42" t="s">
        <v>1796</v>
      </c>
      <c r="F42" s="3">
        <v>750000</v>
      </c>
      <c r="G42">
        <v>9.2799999999999994</v>
      </c>
      <c r="H42">
        <v>60</v>
      </c>
      <c r="I42" t="s">
        <v>1785</v>
      </c>
      <c r="J42" t="s">
        <v>1777</v>
      </c>
    </row>
    <row r="43" spans="1:10" x14ac:dyDescent="0.3">
      <c r="A43" t="s">
        <v>1830</v>
      </c>
      <c r="B43" t="s">
        <v>289</v>
      </c>
      <c r="C43" s="4">
        <v>45734</v>
      </c>
      <c r="D43" t="s">
        <v>1783</v>
      </c>
      <c r="E43" t="s">
        <v>1775</v>
      </c>
      <c r="F43" s="3">
        <v>472458</v>
      </c>
      <c r="G43">
        <v>19.27</v>
      </c>
      <c r="H43">
        <v>12</v>
      </c>
      <c r="I43" t="s">
        <v>1781</v>
      </c>
      <c r="J43" t="s">
        <v>74</v>
      </c>
    </row>
    <row r="44" spans="1:10" x14ac:dyDescent="0.3">
      <c r="A44" t="s">
        <v>1831</v>
      </c>
      <c r="B44" t="s">
        <v>281</v>
      </c>
      <c r="C44" s="4">
        <v>46018</v>
      </c>
      <c r="D44" t="s">
        <v>1796</v>
      </c>
      <c r="E44" t="s">
        <v>1784</v>
      </c>
      <c r="F44" s="3">
        <v>750000</v>
      </c>
      <c r="G44">
        <v>16.55</v>
      </c>
      <c r="H44">
        <v>24</v>
      </c>
      <c r="I44" t="s">
        <v>1785</v>
      </c>
      <c r="J44" t="s">
        <v>1777</v>
      </c>
    </row>
    <row r="45" spans="1:10" x14ac:dyDescent="0.3">
      <c r="A45" t="s">
        <v>1832</v>
      </c>
      <c r="B45" t="s">
        <v>223</v>
      </c>
      <c r="C45" s="4">
        <v>46121</v>
      </c>
      <c r="D45" t="s">
        <v>1779</v>
      </c>
      <c r="E45" t="s">
        <v>1775</v>
      </c>
      <c r="F45" s="3">
        <v>50000</v>
      </c>
      <c r="G45">
        <v>19.93</v>
      </c>
      <c r="H45">
        <v>84</v>
      </c>
      <c r="I45" t="s">
        <v>1781</v>
      </c>
      <c r="J45" t="s">
        <v>86</v>
      </c>
    </row>
    <row r="46" spans="1:10" x14ac:dyDescent="0.3">
      <c r="A46" t="s">
        <v>1833</v>
      </c>
      <c r="B46" t="s">
        <v>736</v>
      </c>
      <c r="C46" s="4">
        <v>45585</v>
      </c>
      <c r="D46" t="s">
        <v>1779</v>
      </c>
      <c r="E46" t="s">
        <v>1775</v>
      </c>
      <c r="F46" s="3">
        <v>300000</v>
      </c>
      <c r="G46">
        <v>10.47</v>
      </c>
      <c r="H46">
        <v>48</v>
      </c>
      <c r="I46" t="s">
        <v>1799</v>
      </c>
      <c r="J46" t="s">
        <v>111</v>
      </c>
    </row>
    <row r="47" spans="1:10" x14ac:dyDescent="0.3">
      <c r="A47" t="s">
        <v>1834</v>
      </c>
      <c r="B47" t="s">
        <v>1087</v>
      </c>
      <c r="C47" s="4">
        <v>45620</v>
      </c>
      <c r="D47" t="s">
        <v>1774</v>
      </c>
      <c r="E47" t="s">
        <v>1775</v>
      </c>
      <c r="F47" s="3">
        <v>403633</v>
      </c>
      <c r="G47">
        <v>13.32</v>
      </c>
      <c r="H47">
        <v>84</v>
      </c>
      <c r="I47" t="s">
        <v>1781</v>
      </c>
      <c r="J47" t="s">
        <v>74</v>
      </c>
    </row>
    <row r="48" spans="1:10" x14ac:dyDescent="0.3">
      <c r="A48" t="s">
        <v>1835</v>
      </c>
      <c r="B48" t="s">
        <v>122</v>
      </c>
      <c r="C48" s="4">
        <v>45443</v>
      </c>
      <c r="D48" t="s">
        <v>1787</v>
      </c>
      <c r="E48" t="s">
        <v>1739</v>
      </c>
      <c r="F48" s="3">
        <v>828171</v>
      </c>
      <c r="G48">
        <v>12.82</v>
      </c>
      <c r="H48">
        <v>60</v>
      </c>
      <c r="I48" t="s">
        <v>1785</v>
      </c>
      <c r="J48" t="s">
        <v>74</v>
      </c>
    </row>
    <row r="49" spans="1:10" x14ac:dyDescent="0.3">
      <c r="A49" t="s">
        <v>1836</v>
      </c>
      <c r="B49" t="s">
        <v>428</v>
      </c>
      <c r="C49" s="4">
        <v>46198</v>
      </c>
      <c r="D49" t="s">
        <v>1779</v>
      </c>
      <c r="E49" t="s">
        <v>1739</v>
      </c>
      <c r="F49" s="3">
        <v>300000</v>
      </c>
      <c r="G49">
        <v>17.54</v>
      </c>
      <c r="H49">
        <v>18</v>
      </c>
      <c r="I49" t="s">
        <v>1781</v>
      </c>
      <c r="J49" t="s">
        <v>74</v>
      </c>
    </row>
    <row r="50" spans="1:10" x14ac:dyDescent="0.3">
      <c r="A50" t="s">
        <v>1837</v>
      </c>
      <c r="B50" t="s">
        <v>524</v>
      </c>
      <c r="C50" s="4">
        <v>45810</v>
      </c>
      <c r="D50" t="s">
        <v>1787</v>
      </c>
      <c r="E50" t="s">
        <v>1788</v>
      </c>
      <c r="F50" s="3">
        <v>695425</v>
      </c>
      <c r="G50">
        <v>14.98</v>
      </c>
      <c r="H50">
        <v>18</v>
      </c>
      <c r="I50" t="s">
        <v>1781</v>
      </c>
      <c r="J50" t="s">
        <v>111</v>
      </c>
    </row>
    <row r="51" spans="1:10" x14ac:dyDescent="0.3">
      <c r="A51" t="s">
        <v>1838</v>
      </c>
      <c r="B51" t="s">
        <v>759</v>
      </c>
      <c r="C51" s="4">
        <v>46292</v>
      </c>
      <c r="D51" t="s">
        <v>1779</v>
      </c>
      <c r="E51" t="s">
        <v>1784</v>
      </c>
      <c r="F51" s="3">
        <v>255810</v>
      </c>
      <c r="G51">
        <v>18.38</v>
      </c>
      <c r="H51">
        <v>12</v>
      </c>
      <c r="I51" t="s">
        <v>1781</v>
      </c>
      <c r="J51" t="s">
        <v>86</v>
      </c>
    </row>
    <row r="52" spans="1:10" x14ac:dyDescent="0.3">
      <c r="A52" t="s">
        <v>1839</v>
      </c>
      <c r="B52" t="s">
        <v>356</v>
      </c>
      <c r="C52" s="4">
        <v>45824</v>
      </c>
      <c r="D52" t="s">
        <v>1787</v>
      </c>
      <c r="E52" t="s">
        <v>1797</v>
      </c>
      <c r="F52" s="3">
        <v>50000</v>
      </c>
      <c r="G52">
        <v>19.809999999999999</v>
      </c>
      <c r="H52">
        <v>24</v>
      </c>
      <c r="I52" t="s">
        <v>1789</v>
      </c>
      <c r="J52" t="s">
        <v>74</v>
      </c>
    </row>
    <row r="53" spans="1:10" x14ac:dyDescent="0.3">
      <c r="A53" t="s">
        <v>1840</v>
      </c>
      <c r="B53" t="s">
        <v>585</v>
      </c>
      <c r="C53" s="4">
        <v>45792</v>
      </c>
      <c r="D53" t="s">
        <v>1779</v>
      </c>
      <c r="E53" t="s">
        <v>1775</v>
      </c>
      <c r="F53" s="3">
        <v>300000</v>
      </c>
      <c r="G53">
        <v>16.38</v>
      </c>
      <c r="H53">
        <v>60</v>
      </c>
      <c r="I53" t="s">
        <v>1785</v>
      </c>
      <c r="J53" t="s">
        <v>74</v>
      </c>
    </row>
    <row r="54" spans="1:10" x14ac:dyDescent="0.3">
      <c r="A54" t="s">
        <v>1841</v>
      </c>
      <c r="B54" t="s">
        <v>407</v>
      </c>
      <c r="C54" s="4">
        <v>46059</v>
      </c>
      <c r="D54" t="s">
        <v>1779</v>
      </c>
      <c r="E54" t="s">
        <v>1796</v>
      </c>
      <c r="F54" s="3">
        <v>75000</v>
      </c>
      <c r="G54">
        <v>18.510000000000002</v>
      </c>
      <c r="H54">
        <v>24</v>
      </c>
      <c r="I54" t="s">
        <v>1799</v>
      </c>
      <c r="J54" t="s">
        <v>86</v>
      </c>
    </row>
    <row r="55" spans="1:10" x14ac:dyDescent="0.3">
      <c r="A55" t="s">
        <v>1842</v>
      </c>
      <c r="B55" t="s">
        <v>759</v>
      </c>
      <c r="C55" s="4">
        <v>45799</v>
      </c>
      <c r="D55" t="s">
        <v>1796</v>
      </c>
      <c r="E55" t="s">
        <v>1796</v>
      </c>
      <c r="F55" s="3">
        <v>75000</v>
      </c>
      <c r="G55">
        <v>17.57</v>
      </c>
      <c r="H55">
        <v>36</v>
      </c>
      <c r="I55" t="s">
        <v>1781</v>
      </c>
      <c r="J55" t="s">
        <v>86</v>
      </c>
    </row>
    <row r="56" spans="1:10" x14ac:dyDescent="0.3">
      <c r="A56" t="s">
        <v>1843</v>
      </c>
      <c r="B56" t="s">
        <v>343</v>
      </c>
      <c r="C56" s="4">
        <v>46266</v>
      </c>
      <c r="D56" t="s">
        <v>1783</v>
      </c>
      <c r="E56" t="s">
        <v>1788</v>
      </c>
      <c r="F56" s="3">
        <v>64647</v>
      </c>
      <c r="G56">
        <v>9.9499999999999993</v>
      </c>
      <c r="H56">
        <v>18</v>
      </c>
      <c r="I56" t="s">
        <v>1781</v>
      </c>
      <c r="J56" t="s">
        <v>86</v>
      </c>
    </row>
    <row r="57" spans="1:10" x14ac:dyDescent="0.3">
      <c r="A57" t="s">
        <v>1844</v>
      </c>
      <c r="B57" t="s">
        <v>1074</v>
      </c>
      <c r="C57" s="4">
        <v>45360</v>
      </c>
      <c r="D57" t="s">
        <v>1796</v>
      </c>
      <c r="E57" t="s">
        <v>1797</v>
      </c>
      <c r="F57" s="3">
        <v>75000</v>
      </c>
      <c r="G57">
        <v>13.34</v>
      </c>
      <c r="H57">
        <v>36</v>
      </c>
      <c r="I57" t="s">
        <v>1785</v>
      </c>
      <c r="J57" t="s">
        <v>74</v>
      </c>
    </row>
    <row r="58" spans="1:10" x14ac:dyDescent="0.3">
      <c r="A58" t="s">
        <v>1845</v>
      </c>
      <c r="B58" t="s">
        <v>333</v>
      </c>
      <c r="C58" s="4">
        <v>45505</v>
      </c>
      <c r="D58" t="s">
        <v>1787</v>
      </c>
      <c r="E58" t="s">
        <v>1775</v>
      </c>
      <c r="F58" s="3">
        <v>750000</v>
      </c>
      <c r="G58">
        <v>9</v>
      </c>
      <c r="H58">
        <v>84</v>
      </c>
      <c r="I58" t="s">
        <v>1781</v>
      </c>
      <c r="J58" t="s">
        <v>1777</v>
      </c>
    </row>
    <row r="59" spans="1:10" x14ac:dyDescent="0.3">
      <c r="A59" t="s">
        <v>1846</v>
      </c>
      <c r="B59" t="s">
        <v>180</v>
      </c>
      <c r="C59" s="4">
        <v>45619</v>
      </c>
      <c r="D59" t="s">
        <v>1779</v>
      </c>
      <c r="E59" t="s">
        <v>1792</v>
      </c>
      <c r="F59" s="3">
        <v>200000</v>
      </c>
      <c r="G59">
        <v>18.07</v>
      </c>
      <c r="H59">
        <v>120</v>
      </c>
      <c r="I59" t="s">
        <v>1799</v>
      </c>
      <c r="J59" t="s">
        <v>1777</v>
      </c>
    </row>
    <row r="60" spans="1:10" x14ac:dyDescent="0.3">
      <c r="A60" t="s">
        <v>1847</v>
      </c>
      <c r="B60" t="s">
        <v>684</v>
      </c>
      <c r="C60" s="4">
        <v>45997</v>
      </c>
      <c r="D60" t="s">
        <v>1779</v>
      </c>
      <c r="E60" t="s">
        <v>1784</v>
      </c>
      <c r="F60" s="3">
        <v>408107</v>
      </c>
      <c r="G60">
        <v>13.06</v>
      </c>
      <c r="H60">
        <v>84</v>
      </c>
      <c r="I60" t="s">
        <v>1799</v>
      </c>
      <c r="J60" t="s">
        <v>86</v>
      </c>
    </row>
    <row r="61" spans="1:10" x14ac:dyDescent="0.3">
      <c r="A61" t="s">
        <v>1848</v>
      </c>
      <c r="B61" t="s">
        <v>135</v>
      </c>
      <c r="C61" s="4">
        <v>45778</v>
      </c>
      <c r="D61" t="s">
        <v>1774</v>
      </c>
      <c r="E61" t="s">
        <v>1797</v>
      </c>
      <c r="F61" s="3">
        <v>75000</v>
      </c>
      <c r="G61">
        <v>18.47</v>
      </c>
      <c r="H61">
        <v>12</v>
      </c>
      <c r="I61" t="s">
        <v>1776</v>
      </c>
      <c r="J61" t="s">
        <v>74</v>
      </c>
    </row>
    <row r="62" spans="1:10" x14ac:dyDescent="0.3">
      <c r="A62" t="s">
        <v>1849</v>
      </c>
      <c r="B62" t="s">
        <v>664</v>
      </c>
      <c r="C62" s="4">
        <v>45539</v>
      </c>
      <c r="D62" t="s">
        <v>1796</v>
      </c>
      <c r="E62" t="s">
        <v>1788</v>
      </c>
      <c r="F62" s="3">
        <v>532075</v>
      </c>
      <c r="G62">
        <v>15.13</v>
      </c>
      <c r="H62">
        <v>84</v>
      </c>
      <c r="I62" t="s">
        <v>1785</v>
      </c>
      <c r="J62" t="s">
        <v>1777</v>
      </c>
    </row>
    <row r="63" spans="1:10" x14ac:dyDescent="0.3">
      <c r="A63" t="s">
        <v>1850</v>
      </c>
      <c r="B63" t="s">
        <v>776</v>
      </c>
      <c r="C63" s="4">
        <v>45389</v>
      </c>
      <c r="D63" t="s">
        <v>1783</v>
      </c>
      <c r="E63" t="s">
        <v>1775</v>
      </c>
      <c r="F63" s="3">
        <v>100000</v>
      </c>
      <c r="G63">
        <v>13.83</v>
      </c>
      <c r="H63">
        <v>120</v>
      </c>
      <c r="I63" t="s">
        <v>1785</v>
      </c>
      <c r="J63" t="s">
        <v>74</v>
      </c>
    </row>
    <row r="64" spans="1:10" x14ac:dyDescent="0.3">
      <c r="A64" t="s">
        <v>1851</v>
      </c>
      <c r="B64" t="s">
        <v>275</v>
      </c>
      <c r="C64" s="4">
        <v>46005</v>
      </c>
      <c r="D64" t="s">
        <v>1783</v>
      </c>
      <c r="E64" t="s">
        <v>1788</v>
      </c>
      <c r="F64" s="3">
        <v>880231</v>
      </c>
      <c r="G64">
        <v>15.53</v>
      </c>
      <c r="H64">
        <v>120</v>
      </c>
      <c r="I64" t="s">
        <v>1776</v>
      </c>
      <c r="J64" t="s">
        <v>1777</v>
      </c>
    </row>
    <row r="65" spans="1:10" x14ac:dyDescent="0.3">
      <c r="A65" t="s">
        <v>1852</v>
      </c>
      <c r="B65" t="s">
        <v>599</v>
      </c>
      <c r="C65" s="4">
        <v>45592</v>
      </c>
      <c r="D65" t="s">
        <v>1787</v>
      </c>
      <c r="E65" t="s">
        <v>1788</v>
      </c>
      <c r="F65" s="3">
        <v>81750</v>
      </c>
      <c r="G65">
        <v>13.62</v>
      </c>
      <c r="H65">
        <v>18</v>
      </c>
      <c r="I65" t="s">
        <v>1781</v>
      </c>
      <c r="J65" t="s">
        <v>86</v>
      </c>
    </row>
    <row r="66" spans="1:10" x14ac:dyDescent="0.3">
      <c r="A66" t="s">
        <v>1853</v>
      </c>
      <c r="B66" t="s">
        <v>658</v>
      </c>
      <c r="C66" s="4">
        <v>45495</v>
      </c>
      <c r="D66" t="s">
        <v>1779</v>
      </c>
      <c r="E66" t="s">
        <v>1792</v>
      </c>
      <c r="F66" s="3">
        <v>301140</v>
      </c>
      <c r="G66">
        <v>17.43</v>
      </c>
      <c r="H66">
        <v>18</v>
      </c>
      <c r="I66" t="s">
        <v>1799</v>
      </c>
      <c r="J66" t="s">
        <v>86</v>
      </c>
    </row>
    <row r="67" spans="1:10" x14ac:dyDescent="0.3">
      <c r="A67" t="s">
        <v>1854</v>
      </c>
      <c r="B67" t="s">
        <v>303</v>
      </c>
      <c r="C67" s="4">
        <v>45601</v>
      </c>
      <c r="D67" t="s">
        <v>1787</v>
      </c>
      <c r="E67" t="s">
        <v>1792</v>
      </c>
      <c r="F67" s="3">
        <v>300000</v>
      </c>
      <c r="G67">
        <v>14.42</v>
      </c>
      <c r="H67">
        <v>84</v>
      </c>
      <c r="I67" t="s">
        <v>1781</v>
      </c>
      <c r="J67" t="s">
        <v>86</v>
      </c>
    </row>
    <row r="68" spans="1:10" x14ac:dyDescent="0.3">
      <c r="A68" t="s">
        <v>1855</v>
      </c>
      <c r="B68" t="s">
        <v>395</v>
      </c>
      <c r="C68" s="4">
        <v>45395</v>
      </c>
      <c r="D68" t="s">
        <v>1787</v>
      </c>
      <c r="E68" t="s">
        <v>1784</v>
      </c>
      <c r="F68" s="3">
        <v>100000</v>
      </c>
      <c r="G68">
        <v>13.76</v>
      </c>
      <c r="H68">
        <v>48</v>
      </c>
      <c r="I68" t="s">
        <v>1781</v>
      </c>
      <c r="J68" t="s">
        <v>1777</v>
      </c>
    </row>
    <row r="69" spans="1:10" x14ac:dyDescent="0.3">
      <c r="A69" t="s">
        <v>1856</v>
      </c>
      <c r="B69" t="s">
        <v>1170</v>
      </c>
      <c r="C69" s="4">
        <v>45313</v>
      </c>
      <c r="D69" t="s">
        <v>1787</v>
      </c>
      <c r="E69" t="s">
        <v>1784</v>
      </c>
      <c r="F69" s="3">
        <v>767514</v>
      </c>
      <c r="G69">
        <v>13.52</v>
      </c>
      <c r="H69">
        <v>6</v>
      </c>
      <c r="I69" t="s">
        <v>1785</v>
      </c>
      <c r="J69" t="s">
        <v>1777</v>
      </c>
    </row>
    <row r="70" spans="1:10" x14ac:dyDescent="0.3">
      <c r="A70" t="s">
        <v>1857</v>
      </c>
      <c r="B70" t="s">
        <v>141</v>
      </c>
      <c r="C70" s="4">
        <v>45360</v>
      </c>
      <c r="D70" t="s">
        <v>1796</v>
      </c>
      <c r="E70" t="s">
        <v>1739</v>
      </c>
      <c r="F70" s="3">
        <v>200000</v>
      </c>
      <c r="G70">
        <v>13.32</v>
      </c>
      <c r="H70">
        <v>24</v>
      </c>
      <c r="I70" t="s">
        <v>1781</v>
      </c>
      <c r="J70" t="s">
        <v>111</v>
      </c>
    </row>
    <row r="71" spans="1:10" x14ac:dyDescent="0.3">
      <c r="A71" t="s">
        <v>1858</v>
      </c>
      <c r="B71" t="s">
        <v>1693</v>
      </c>
      <c r="C71" s="4">
        <v>45415</v>
      </c>
      <c r="D71" t="s">
        <v>1774</v>
      </c>
      <c r="E71" t="s">
        <v>1797</v>
      </c>
      <c r="F71" s="3">
        <v>75000</v>
      </c>
      <c r="G71">
        <v>10.86</v>
      </c>
      <c r="H71">
        <v>120</v>
      </c>
      <c r="I71" t="s">
        <v>1776</v>
      </c>
      <c r="J71" t="s">
        <v>74</v>
      </c>
    </row>
    <row r="72" spans="1:10" x14ac:dyDescent="0.3">
      <c r="A72" t="s">
        <v>1859</v>
      </c>
      <c r="B72" t="s">
        <v>217</v>
      </c>
      <c r="C72" s="4">
        <v>45781</v>
      </c>
      <c r="D72" t="s">
        <v>1779</v>
      </c>
      <c r="E72" t="s">
        <v>1784</v>
      </c>
      <c r="F72" s="3">
        <v>100000</v>
      </c>
      <c r="G72">
        <v>15.22</v>
      </c>
      <c r="H72">
        <v>24</v>
      </c>
      <c r="I72" t="s">
        <v>1785</v>
      </c>
      <c r="J72" t="s">
        <v>74</v>
      </c>
    </row>
    <row r="73" spans="1:10" x14ac:dyDescent="0.3">
      <c r="A73" t="s">
        <v>1860</v>
      </c>
      <c r="B73" t="s">
        <v>105</v>
      </c>
      <c r="C73" s="4">
        <v>45428</v>
      </c>
      <c r="D73" t="s">
        <v>1796</v>
      </c>
      <c r="E73" t="s">
        <v>1784</v>
      </c>
      <c r="F73" s="3">
        <v>449688</v>
      </c>
      <c r="G73">
        <v>14.62</v>
      </c>
      <c r="H73">
        <v>6</v>
      </c>
      <c r="I73" t="s">
        <v>1785</v>
      </c>
      <c r="J73" t="s">
        <v>74</v>
      </c>
    </row>
    <row r="74" spans="1:10" x14ac:dyDescent="0.3">
      <c r="A74" t="s">
        <v>1861</v>
      </c>
      <c r="B74" t="s">
        <v>953</v>
      </c>
      <c r="C74" s="4">
        <v>45891</v>
      </c>
      <c r="D74" t="s">
        <v>1796</v>
      </c>
      <c r="E74" t="s">
        <v>1796</v>
      </c>
      <c r="F74" s="3">
        <v>358079</v>
      </c>
      <c r="G74">
        <v>18.829999999999998</v>
      </c>
      <c r="H74">
        <v>24</v>
      </c>
      <c r="I74" t="s">
        <v>1785</v>
      </c>
      <c r="J74" t="s">
        <v>1777</v>
      </c>
    </row>
    <row r="75" spans="1:10" x14ac:dyDescent="0.3">
      <c r="A75" t="s">
        <v>1862</v>
      </c>
      <c r="B75" t="s">
        <v>289</v>
      </c>
      <c r="C75" s="4">
        <v>45781</v>
      </c>
      <c r="D75" t="s">
        <v>1779</v>
      </c>
      <c r="E75" t="s">
        <v>1775</v>
      </c>
      <c r="F75" s="3">
        <v>143858</v>
      </c>
      <c r="G75">
        <v>16.100000000000001</v>
      </c>
      <c r="H75">
        <v>120</v>
      </c>
      <c r="I75" t="s">
        <v>1781</v>
      </c>
      <c r="J75" t="s">
        <v>86</v>
      </c>
    </row>
    <row r="76" spans="1:10" x14ac:dyDescent="0.3">
      <c r="A76" t="s">
        <v>1863</v>
      </c>
      <c r="B76" t="s">
        <v>524</v>
      </c>
      <c r="C76" s="4">
        <v>45441</v>
      </c>
      <c r="D76" t="s">
        <v>1783</v>
      </c>
      <c r="E76" t="s">
        <v>1739</v>
      </c>
      <c r="F76" s="3">
        <v>574635</v>
      </c>
      <c r="G76">
        <v>14.66</v>
      </c>
      <c r="H76">
        <v>12</v>
      </c>
      <c r="I76" t="s">
        <v>1789</v>
      </c>
      <c r="J76" t="s">
        <v>111</v>
      </c>
    </row>
    <row r="77" spans="1:10" x14ac:dyDescent="0.3">
      <c r="A77" t="s">
        <v>1864</v>
      </c>
      <c r="B77" t="s">
        <v>359</v>
      </c>
      <c r="C77" s="4">
        <v>45933</v>
      </c>
      <c r="D77" t="s">
        <v>1774</v>
      </c>
      <c r="E77" t="s">
        <v>1792</v>
      </c>
      <c r="F77" s="3">
        <v>696013</v>
      </c>
      <c r="G77">
        <v>11.65</v>
      </c>
      <c r="H77">
        <v>6</v>
      </c>
      <c r="I77" t="s">
        <v>1799</v>
      </c>
      <c r="J77" t="s">
        <v>86</v>
      </c>
    </row>
    <row r="78" spans="1:10" x14ac:dyDescent="0.3">
      <c r="A78" t="s">
        <v>1865</v>
      </c>
      <c r="B78" t="s">
        <v>203</v>
      </c>
      <c r="C78" s="4">
        <v>46183</v>
      </c>
      <c r="D78" t="s">
        <v>1774</v>
      </c>
      <c r="E78" t="s">
        <v>1797</v>
      </c>
      <c r="F78" s="3">
        <v>500000</v>
      </c>
      <c r="G78">
        <v>17.22</v>
      </c>
      <c r="H78">
        <v>48</v>
      </c>
      <c r="I78" t="s">
        <v>1776</v>
      </c>
      <c r="J78" t="s">
        <v>111</v>
      </c>
    </row>
    <row r="79" spans="1:10" x14ac:dyDescent="0.3">
      <c r="A79" t="s">
        <v>1866</v>
      </c>
      <c r="B79" t="s">
        <v>206</v>
      </c>
      <c r="C79" s="4">
        <v>46058</v>
      </c>
      <c r="D79" t="s">
        <v>1787</v>
      </c>
      <c r="E79" t="s">
        <v>1739</v>
      </c>
      <c r="F79" s="3">
        <v>542651</v>
      </c>
      <c r="G79">
        <v>16.25</v>
      </c>
      <c r="H79">
        <v>18</v>
      </c>
      <c r="I79" t="s">
        <v>1785</v>
      </c>
      <c r="J79" t="s">
        <v>74</v>
      </c>
    </row>
    <row r="80" spans="1:10" x14ac:dyDescent="0.3">
      <c r="A80" t="s">
        <v>1867</v>
      </c>
      <c r="B80" t="s">
        <v>817</v>
      </c>
      <c r="C80" s="4">
        <v>45801</v>
      </c>
      <c r="D80" t="s">
        <v>1783</v>
      </c>
      <c r="E80" t="s">
        <v>1739</v>
      </c>
      <c r="F80" s="3">
        <v>493762</v>
      </c>
      <c r="G80">
        <v>9.3000000000000007</v>
      </c>
      <c r="H80">
        <v>12</v>
      </c>
      <c r="I80" t="s">
        <v>1799</v>
      </c>
      <c r="J80" t="s">
        <v>111</v>
      </c>
    </row>
    <row r="81" spans="1:10" x14ac:dyDescent="0.3">
      <c r="A81" t="s">
        <v>1868</v>
      </c>
      <c r="B81" t="s">
        <v>173</v>
      </c>
      <c r="C81" s="4">
        <v>46083</v>
      </c>
      <c r="D81" t="s">
        <v>1779</v>
      </c>
      <c r="E81" t="s">
        <v>1788</v>
      </c>
      <c r="F81" s="3">
        <v>427470</v>
      </c>
      <c r="G81">
        <v>14.07</v>
      </c>
      <c r="H81">
        <v>48</v>
      </c>
      <c r="I81" t="s">
        <v>1785</v>
      </c>
      <c r="J81" t="s">
        <v>74</v>
      </c>
    </row>
    <row r="82" spans="1:10" x14ac:dyDescent="0.3">
      <c r="A82" t="s">
        <v>1869</v>
      </c>
      <c r="B82" t="s">
        <v>822</v>
      </c>
      <c r="C82" s="4">
        <v>46233</v>
      </c>
      <c r="D82" t="s">
        <v>1779</v>
      </c>
      <c r="E82" t="s">
        <v>1739</v>
      </c>
      <c r="F82" s="3">
        <v>750000</v>
      </c>
      <c r="G82">
        <v>17.59</v>
      </c>
      <c r="H82">
        <v>120</v>
      </c>
      <c r="I82" t="s">
        <v>1781</v>
      </c>
      <c r="J82" t="s">
        <v>111</v>
      </c>
    </row>
    <row r="83" spans="1:10" x14ac:dyDescent="0.3">
      <c r="A83" t="s">
        <v>1870</v>
      </c>
      <c r="B83" t="s">
        <v>320</v>
      </c>
      <c r="C83" s="4">
        <v>45772</v>
      </c>
      <c r="D83" t="s">
        <v>1787</v>
      </c>
      <c r="E83" t="s">
        <v>1775</v>
      </c>
      <c r="F83" s="3">
        <v>750000</v>
      </c>
      <c r="G83">
        <v>15.9</v>
      </c>
      <c r="H83">
        <v>12</v>
      </c>
      <c r="I83" t="s">
        <v>1785</v>
      </c>
      <c r="J83" t="s">
        <v>74</v>
      </c>
    </row>
    <row r="84" spans="1:10" x14ac:dyDescent="0.3">
      <c r="A84" t="s">
        <v>1871</v>
      </c>
      <c r="B84" t="s">
        <v>804</v>
      </c>
      <c r="C84" s="4">
        <v>46248</v>
      </c>
      <c r="D84" t="s">
        <v>1787</v>
      </c>
      <c r="E84" t="s">
        <v>1796</v>
      </c>
      <c r="F84" s="3">
        <v>200000</v>
      </c>
      <c r="G84">
        <v>12.26</v>
      </c>
      <c r="H84">
        <v>48</v>
      </c>
      <c r="I84" t="s">
        <v>1781</v>
      </c>
      <c r="J84" t="s">
        <v>111</v>
      </c>
    </row>
    <row r="85" spans="1:10" x14ac:dyDescent="0.3">
      <c r="A85" t="s">
        <v>1872</v>
      </c>
      <c r="B85" t="s">
        <v>170</v>
      </c>
      <c r="C85" s="4">
        <v>45648</v>
      </c>
      <c r="D85" t="s">
        <v>1787</v>
      </c>
      <c r="E85" t="s">
        <v>1797</v>
      </c>
      <c r="F85" s="3">
        <v>241165</v>
      </c>
      <c r="G85">
        <v>13.44</v>
      </c>
      <c r="H85">
        <v>36</v>
      </c>
      <c r="I85" t="s">
        <v>1789</v>
      </c>
      <c r="J85" t="s">
        <v>111</v>
      </c>
    </row>
    <row r="86" spans="1:10" x14ac:dyDescent="0.3">
      <c r="A86" t="s">
        <v>1873</v>
      </c>
      <c r="B86" t="s">
        <v>953</v>
      </c>
      <c r="C86" s="4">
        <v>46078</v>
      </c>
      <c r="D86" t="s">
        <v>1796</v>
      </c>
      <c r="E86" t="s">
        <v>1796</v>
      </c>
      <c r="F86" s="3">
        <v>865117</v>
      </c>
      <c r="G86">
        <v>16.75</v>
      </c>
      <c r="H86">
        <v>48</v>
      </c>
      <c r="I86" t="s">
        <v>1799</v>
      </c>
      <c r="J86" t="s">
        <v>74</v>
      </c>
    </row>
    <row r="87" spans="1:10" x14ac:dyDescent="0.3">
      <c r="A87" t="s">
        <v>1874</v>
      </c>
      <c r="B87" t="s">
        <v>284</v>
      </c>
      <c r="C87" s="4">
        <v>45501</v>
      </c>
      <c r="D87" t="s">
        <v>1774</v>
      </c>
      <c r="E87" t="s">
        <v>1784</v>
      </c>
      <c r="F87" s="3">
        <v>650008</v>
      </c>
      <c r="G87">
        <v>17.2</v>
      </c>
      <c r="H87">
        <v>36</v>
      </c>
      <c r="I87" t="s">
        <v>1789</v>
      </c>
      <c r="J87" t="s">
        <v>111</v>
      </c>
    </row>
    <row r="88" spans="1:10" x14ac:dyDescent="0.3">
      <c r="A88" t="s">
        <v>1875</v>
      </c>
      <c r="B88" t="s">
        <v>556</v>
      </c>
      <c r="C88" s="4">
        <v>45904</v>
      </c>
      <c r="D88" t="s">
        <v>1779</v>
      </c>
      <c r="E88" t="s">
        <v>1788</v>
      </c>
      <c r="F88" s="3">
        <v>393760</v>
      </c>
      <c r="G88">
        <v>11.45</v>
      </c>
      <c r="H88">
        <v>84</v>
      </c>
      <c r="I88" t="s">
        <v>1799</v>
      </c>
      <c r="J88" t="s">
        <v>1777</v>
      </c>
    </row>
    <row r="89" spans="1:10" x14ac:dyDescent="0.3">
      <c r="A89" t="s">
        <v>1876</v>
      </c>
      <c r="B89" t="s">
        <v>435</v>
      </c>
      <c r="C89" s="4">
        <v>45842</v>
      </c>
      <c r="D89" t="s">
        <v>1783</v>
      </c>
      <c r="E89" t="s">
        <v>1788</v>
      </c>
      <c r="F89" s="3">
        <v>200000</v>
      </c>
      <c r="G89">
        <v>9.99</v>
      </c>
      <c r="H89">
        <v>60</v>
      </c>
      <c r="I89" t="s">
        <v>1781</v>
      </c>
      <c r="J89" t="s">
        <v>1777</v>
      </c>
    </row>
    <row r="90" spans="1:10" x14ac:dyDescent="0.3">
      <c r="A90" t="s">
        <v>1877</v>
      </c>
      <c r="B90" t="s">
        <v>122</v>
      </c>
      <c r="C90" s="4">
        <v>45295</v>
      </c>
      <c r="D90" t="s">
        <v>1779</v>
      </c>
      <c r="E90" t="s">
        <v>1775</v>
      </c>
      <c r="F90" s="3">
        <v>200000</v>
      </c>
      <c r="G90">
        <v>15.5</v>
      </c>
      <c r="H90">
        <v>36</v>
      </c>
      <c r="I90" t="s">
        <v>1776</v>
      </c>
      <c r="J90" t="s">
        <v>1777</v>
      </c>
    </row>
    <row r="91" spans="1:10" x14ac:dyDescent="0.3">
      <c r="A91" t="s">
        <v>1878</v>
      </c>
      <c r="B91" t="s">
        <v>1126</v>
      </c>
      <c r="C91" s="4">
        <v>45495</v>
      </c>
      <c r="D91" t="s">
        <v>1779</v>
      </c>
      <c r="E91" t="s">
        <v>1775</v>
      </c>
      <c r="F91" s="3">
        <v>500000</v>
      </c>
      <c r="G91">
        <v>9.8000000000000007</v>
      </c>
      <c r="H91">
        <v>60</v>
      </c>
      <c r="I91" t="s">
        <v>1776</v>
      </c>
      <c r="J91" t="s">
        <v>86</v>
      </c>
    </row>
    <row r="92" spans="1:10" x14ac:dyDescent="0.3">
      <c r="A92" t="s">
        <v>1879</v>
      </c>
      <c r="B92" t="s">
        <v>612</v>
      </c>
      <c r="C92" s="4">
        <v>45435</v>
      </c>
      <c r="D92" t="s">
        <v>1783</v>
      </c>
      <c r="E92" t="s">
        <v>1792</v>
      </c>
      <c r="F92" s="3">
        <v>300000</v>
      </c>
      <c r="G92">
        <v>9.34</v>
      </c>
      <c r="H92">
        <v>12</v>
      </c>
      <c r="I92" t="s">
        <v>1789</v>
      </c>
      <c r="J92" t="s">
        <v>74</v>
      </c>
    </row>
    <row r="93" spans="1:10" x14ac:dyDescent="0.3">
      <c r="A93" t="s">
        <v>1880</v>
      </c>
      <c r="B93" t="s">
        <v>684</v>
      </c>
      <c r="C93" s="4">
        <v>45422</v>
      </c>
      <c r="D93" t="s">
        <v>1779</v>
      </c>
      <c r="E93" t="s">
        <v>1796</v>
      </c>
      <c r="F93" s="3">
        <v>819116</v>
      </c>
      <c r="G93">
        <v>8.98</v>
      </c>
      <c r="H93">
        <v>6</v>
      </c>
      <c r="I93" t="s">
        <v>1785</v>
      </c>
      <c r="J93" t="s">
        <v>74</v>
      </c>
    </row>
    <row r="94" spans="1:10" x14ac:dyDescent="0.3">
      <c r="A94" t="s">
        <v>1881</v>
      </c>
      <c r="B94" t="s">
        <v>481</v>
      </c>
      <c r="C94" s="4">
        <v>46292</v>
      </c>
      <c r="D94" t="s">
        <v>1779</v>
      </c>
      <c r="E94" t="s">
        <v>1796</v>
      </c>
      <c r="F94" s="3">
        <v>330637</v>
      </c>
      <c r="G94">
        <v>11.27</v>
      </c>
      <c r="H94">
        <v>36</v>
      </c>
      <c r="I94" t="s">
        <v>1781</v>
      </c>
      <c r="J94" t="s">
        <v>74</v>
      </c>
    </row>
    <row r="95" spans="1:10" x14ac:dyDescent="0.3">
      <c r="A95" t="s">
        <v>1882</v>
      </c>
      <c r="B95" t="s">
        <v>390</v>
      </c>
      <c r="C95" s="4">
        <v>46152</v>
      </c>
      <c r="D95" t="s">
        <v>1787</v>
      </c>
      <c r="E95" t="s">
        <v>1788</v>
      </c>
      <c r="F95" s="3">
        <v>50000</v>
      </c>
      <c r="G95">
        <v>17.649999999999999</v>
      </c>
      <c r="H95">
        <v>18</v>
      </c>
      <c r="I95" t="s">
        <v>1781</v>
      </c>
      <c r="J95" t="s">
        <v>1777</v>
      </c>
    </row>
    <row r="96" spans="1:10" x14ac:dyDescent="0.3">
      <c r="A96" t="s">
        <v>1883</v>
      </c>
      <c r="B96" t="s">
        <v>761</v>
      </c>
      <c r="C96" s="4">
        <v>45500</v>
      </c>
      <c r="D96" t="s">
        <v>1783</v>
      </c>
      <c r="E96" t="s">
        <v>1775</v>
      </c>
      <c r="F96" s="3">
        <v>58287</v>
      </c>
      <c r="G96">
        <v>17.39</v>
      </c>
      <c r="H96">
        <v>36</v>
      </c>
      <c r="I96" t="s">
        <v>1781</v>
      </c>
      <c r="J96" t="s">
        <v>86</v>
      </c>
    </row>
    <row r="97" spans="1:10" x14ac:dyDescent="0.3">
      <c r="A97" t="s">
        <v>1884</v>
      </c>
      <c r="B97" t="s">
        <v>441</v>
      </c>
      <c r="C97" s="4">
        <v>45389</v>
      </c>
      <c r="D97" t="s">
        <v>1774</v>
      </c>
      <c r="E97" t="s">
        <v>1739</v>
      </c>
      <c r="F97" s="3">
        <v>500000</v>
      </c>
      <c r="G97">
        <v>15.82</v>
      </c>
      <c r="H97">
        <v>18</v>
      </c>
      <c r="I97" t="s">
        <v>1781</v>
      </c>
      <c r="J97" t="s">
        <v>74</v>
      </c>
    </row>
    <row r="98" spans="1:10" x14ac:dyDescent="0.3">
      <c r="A98" t="s">
        <v>1885</v>
      </c>
      <c r="B98" t="s">
        <v>235</v>
      </c>
      <c r="C98" s="4">
        <v>45401</v>
      </c>
      <c r="D98" t="s">
        <v>1787</v>
      </c>
      <c r="E98" t="s">
        <v>1792</v>
      </c>
      <c r="F98" s="3">
        <v>200000</v>
      </c>
      <c r="G98">
        <v>15.7</v>
      </c>
      <c r="H98">
        <v>60</v>
      </c>
      <c r="I98" t="s">
        <v>1776</v>
      </c>
      <c r="J98" t="s">
        <v>111</v>
      </c>
    </row>
    <row r="99" spans="1:10" x14ac:dyDescent="0.3">
      <c r="A99" t="s">
        <v>1886</v>
      </c>
      <c r="B99" t="s">
        <v>749</v>
      </c>
      <c r="C99" s="4">
        <v>45394</v>
      </c>
      <c r="D99" t="s">
        <v>1779</v>
      </c>
      <c r="E99" t="s">
        <v>1796</v>
      </c>
      <c r="F99" s="3">
        <v>468379</v>
      </c>
      <c r="G99">
        <v>17.37</v>
      </c>
      <c r="H99">
        <v>60</v>
      </c>
      <c r="I99" t="s">
        <v>1781</v>
      </c>
      <c r="J99" t="s">
        <v>1777</v>
      </c>
    </row>
    <row r="100" spans="1:10" x14ac:dyDescent="0.3">
      <c r="A100" t="s">
        <v>1887</v>
      </c>
      <c r="B100" t="s">
        <v>55</v>
      </c>
      <c r="C100" s="4">
        <v>45315</v>
      </c>
      <c r="D100" t="s">
        <v>1779</v>
      </c>
      <c r="E100" t="s">
        <v>1739</v>
      </c>
      <c r="F100" s="3">
        <v>324922</v>
      </c>
      <c r="G100">
        <v>17.98</v>
      </c>
      <c r="H100">
        <v>120</v>
      </c>
      <c r="I100" t="s">
        <v>1785</v>
      </c>
      <c r="J100" t="s">
        <v>86</v>
      </c>
    </row>
    <row r="101" spans="1:10" x14ac:dyDescent="0.3">
      <c r="A101" t="s">
        <v>1888</v>
      </c>
      <c r="B101" t="s">
        <v>749</v>
      </c>
      <c r="C101" s="4">
        <v>45803</v>
      </c>
      <c r="D101" t="s">
        <v>1787</v>
      </c>
      <c r="E101" t="s">
        <v>1796</v>
      </c>
      <c r="F101" s="3">
        <v>446743</v>
      </c>
      <c r="G101">
        <v>12.98</v>
      </c>
      <c r="H101">
        <v>12</v>
      </c>
      <c r="I101" t="s">
        <v>1789</v>
      </c>
      <c r="J101" t="s">
        <v>1777</v>
      </c>
    </row>
    <row r="102" spans="1:10" x14ac:dyDescent="0.3">
      <c r="A102" t="s">
        <v>1889</v>
      </c>
      <c r="B102" t="s">
        <v>852</v>
      </c>
      <c r="C102" s="4">
        <v>45464</v>
      </c>
      <c r="D102" t="s">
        <v>1796</v>
      </c>
      <c r="E102" t="s">
        <v>1788</v>
      </c>
      <c r="F102" s="3">
        <v>257192</v>
      </c>
      <c r="G102">
        <v>13.36</v>
      </c>
      <c r="H102">
        <v>24</v>
      </c>
      <c r="I102" t="s">
        <v>1799</v>
      </c>
      <c r="J102" t="s">
        <v>111</v>
      </c>
    </row>
    <row r="103" spans="1:10" x14ac:dyDescent="0.3">
      <c r="A103" t="s">
        <v>1890</v>
      </c>
      <c r="B103" t="s">
        <v>317</v>
      </c>
      <c r="C103" s="4">
        <v>45680</v>
      </c>
      <c r="D103" t="s">
        <v>1787</v>
      </c>
      <c r="E103" t="s">
        <v>1796</v>
      </c>
      <c r="F103" s="3">
        <v>532529</v>
      </c>
      <c r="G103">
        <v>16.25</v>
      </c>
      <c r="H103">
        <v>12</v>
      </c>
      <c r="I103" t="s">
        <v>1776</v>
      </c>
      <c r="J103" t="s">
        <v>86</v>
      </c>
    </row>
    <row r="104" spans="1:10" x14ac:dyDescent="0.3">
      <c r="A104" t="s">
        <v>1891</v>
      </c>
      <c r="B104" t="s">
        <v>270</v>
      </c>
      <c r="C104" s="4">
        <v>45690</v>
      </c>
      <c r="D104" t="s">
        <v>1783</v>
      </c>
      <c r="E104" t="s">
        <v>1739</v>
      </c>
      <c r="F104" s="3">
        <v>416984</v>
      </c>
      <c r="G104">
        <v>13.74</v>
      </c>
      <c r="H104">
        <v>84</v>
      </c>
      <c r="I104" t="s">
        <v>1781</v>
      </c>
      <c r="J104" t="s">
        <v>86</v>
      </c>
    </row>
    <row r="105" spans="1:10" x14ac:dyDescent="0.3">
      <c r="A105" t="s">
        <v>1892</v>
      </c>
      <c r="B105" t="s">
        <v>307</v>
      </c>
      <c r="C105" s="4">
        <v>45739</v>
      </c>
      <c r="D105" t="s">
        <v>1796</v>
      </c>
      <c r="E105" t="s">
        <v>1788</v>
      </c>
      <c r="F105" s="3">
        <v>150000</v>
      </c>
      <c r="G105">
        <v>14.24</v>
      </c>
      <c r="H105">
        <v>18</v>
      </c>
      <c r="I105" t="s">
        <v>1785</v>
      </c>
      <c r="J105" t="s">
        <v>111</v>
      </c>
    </row>
    <row r="106" spans="1:10" x14ac:dyDescent="0.3">
      <c r="A106" t="s">
        <v>1893</v>
      </c>
      <c r="B106" t="s">
        <v>126</v>
      </c>
      <c r="C106" s="4">
        <v>46158</v>
      </c>
      <c r="D106" t="s">
        <v>1783</v>
      </c>
      <c r="E106" t="s">
        <v>1792</v>
      </c>
      <c r="F106" s="3">
        <v>500000</v>
      </c>
      <c r="G106">
        <v>11.24</v>
      </c>
      <c r="H106">
        <v>18</v>
      </c>
      <c r="I106" t="s">
        <v>1785</v>
      </c>
      <c r="J106" t="s">
        <v>86</v>
      </c>
    </row>
    <row r="107" spans="1:10" x14ac:dyDescent="0.3">
      <c r="A107" t="s">
        <v>1894</v>
      </c>
      <c r="B107" t="s">
        <v>530</v>
      </c>
      <c r="C107" s="4">
        <v>45548</v>
      </c>
      <c r="D107" t="s">
        <v>1774</v>
      </c>
      <c r="E107" t="s">
        <v>1788</v>
      </c>
      <c r="F107" s="3">
        <v>200000</v>
      </c>
      <c r="G107">
        <v>10.199999999999999</v>
      </c>
      <c r="H107">
        <v>60</v>
      </c>
      <c r="I107" t="s">
        <v>1785</v>
      </c>
      <c r="J107" t="s">
        <v>111</v>
      </c>
    </row>
    <row r="108" spans="1:10" x14ac:dyDescent="0.3">
      <c r="A108" t="s">
        <v>1895</v>
      </c>
      <c r="B108" t="s">
        <v>284</v>
      </c>
      <c r="C108" s="4">
        <v>45526</v>
      </c>
      <c r="D108" t="s">
        <v>1783</v>
      </c>
      <c r="E108" t="s">
        <v>1796</v>
      </c>
      <c r="F108" s="3">
        <v>100000</v>
      </c>
      <c r="G108">
        <v>18.96</v>
      </c>
      <c r="H108">
        <v>6</v>
      </c>
      <c r="I108" t="s">
        <v>1789</v>
      </c>
      <c r="J108" t="s">
        <v>111</v>
      </c>
    </row>
    <row r="109" spans="1:10" x14ac:dyDescent="0.3">
      <c r="A109" t="s">
        <v>1896</v>
      </c>
      <c r="B109" t="s">
        <v>144</v>
      </c>
      <c r="C109" s="4">
        <v>45587</v>
      </c>
      <c r="D109" t="s">
        <v>1774</v>
      </c>
      <c r="E109" t="s">
        <v>1784</v>
      </c>
      <c r="F109" s="3">
        <v>483824</v>
      </c>
      <c r="G109">
        <v>18.190000000000001</v>
      </c>
      <c r="H109">
        <v>24</v>
      </c>
      <c r="I109" t="s">
        <v>1789</v>
      </c>
      <c r="J109" t="s">
        <v>86</v>
      </c>
    </row>
    <row r="110" spans="1:10" x14ac:dyDescent="0.3">
      <c r="A110" t="s">
        <v>1897</v>
      </c>
      <c r="B110" t="s">
        <v>474</v>
      </c>
      <c r="C110" s="4">
        <v>45360</v>
      </c>
      <c r="D110" t="s">
        <v>1787</v>
      </c>
      <c r="E110" t="s">
        <v>1784</v>
      </c>
      <c r="F110" s="3">
        <v>322113</v>
      </c>
      <c r="G110">
        <v>17.850000000000001</v>
      </c>
      <c r="H110">
        <v>120</v>
      </c>
      <c r="I110" t="s">
        <v>1799</v>
      </c>
      <c r="J110" t="s">
        <v>111</v>
      </c>
    </row>
    <row r="111" spans="1:10" x14ac:dyDescent="0.3">
      <c r="A111" t="s">
        <v>1898</v>
      </c>
      <c r="B111" t="s">
        <v>646</v>
      </c>
      <c r="C111" s="4">
        <v>45448</v>
      </c>
      <c r="D111" t="s">
        <v>1783</v>
      </c>
      <c r="E111" t="s">
        <v>1788</v>
      </c>
      <c r="F111" s="3">
        <v>235881</v>
      </c>
      <c r="G111">
        <v>18.760000000000002</v>
      </c>
      <c r="H111">
        <v>36</v>
      </c>
      <c r="I111" t="s">
        <v>1776</v>
      </c>
      <c r="J111" t="s">
        <v>86</v>
      </c>
    </row>
    <row r="112" spans="1:10" x14ac:dyDescent="0.3">
      <c r="A112" t="s">
        <v>1899</v>
      </c>
      <c r="B112" t="s">
        <v>771</v>
      </c>
      <c r="C112" s="4">
        <v>45804</v>
      </c>
      <c r="D112" t="s">
        <v>1774</v>
      </c>
      <c r="E112" t="s">
        <v>1796</v>
      </c>
      <c r="F112" s="3">
        <v>99611</v>
      </c>
      <c r="G112">
        <v>9.08</v>
      </c>
      <c r="H112">
        <v>18</v>
      </c>
      <c r="I112" t="s">
        <v>1781</v>
      </c>
      <c r="J112" t="s">
        <v>111</v>
      </c>
    </row>
    <row r="113" spans="1:10" x14ac:dyDescent="0.3">
      <c r="A113" t="s">
        <v>1900</v>
      </c>
      <c r="B113" t="s">
        <v>1693</v>
      </c>
      <c r="C113" s="4">
        <v>46174</v>
      </c>
      <c r="D113" t="s">
        <v>1796</v>
      </c>
      <c r="E113" t="s">
        <v>1739</v>
      </c>
      <c r="F113" s="3">
        <v>425027</v>
      </c>
      <c r="G113">
        <v>11.45</v>
      </c>
      <c r="H113">
        <v>18</v>
      </c>
      <c r="I113" t="s">
        <v>1799</v>
      </c>
      <c r="J113" t="s">
        <v>111</v>
      </c>
    </row>
    <row r="114" spans="1:10" x14ac:dyDescent="0.3">
      <c r="A114" t="s">
        <v>1901</v>
      </c>
      <c r="B114" t="s">
        <v>616</v>
      </c>
      <c r="C114" s="4">
        <v>45457</v>
      </c>
      <c r="D114" t="s">
        <v>1783</v>
      </c>
      <c r="E114" t="s">
        <v>1739</v>
      </c>
      <c r="F114" s="3">
        <v>831164</v>
      </c>
      <c r="G114">
        <v>10.130000000000001</v>
      </c>
      <c r="H114">
        <v>36</v>
      </c>
      <c r="I114" t="s">
        <v>1776</v>
      </c>
      <c r="J114" t="s">
        <v>1777</v>
      </c>
    </row>
    <row r="115" spans="1:10" x14ac:dyDescent="0.3">
      <c r="A115" t="s">
        <v>1902</v>
      </c>
      <c r="B115" t="s">
        <v>568</v>
      </c>
      <c r="C115" s="4">
        <v>45985</v>
      </c>
      <c r="D115" t="s">
        <v>1779</v>
      </c>
      <c r="E115" t="s">
        <v>1775</v>
      </c>
      <c r="F115" s="3">
        <v>617047</v>
      </c>
      <c r="G115">
        <v>14.1</v>
      </c>
      <c r="H115">
        <v>120</v>
      </c>
      <c r="I115" t="s">
        <v>1785</v>
      </c>
      <c r="J115" t="s">
        <v>1777</v>
      </c>
    </row>
    <row r="116" spans="1:10" x14ac:dyDescent="0.3">
      <c r="A116" t="s">
        <v>1903</v>
      </c>
      <c r="B116" t="s">
        <v>144</v>
      </c>
      <c r="C116" s="4">
        <v>46061</v>
      </c>
      <c r="D116" t="s">
        <v>1787</v>
      </c>
      <c r="E116" t="s">
        <v>1792</v>
      </c>
      <c r="F116" s="3">
        <v>500000</v>
      </c>
      <c r="G116">
        <v>14.5</v>
      </c>
      <c r="H116">
        <v>6</v>
      </c>
      <c r="I116" t="s">
        <v>1785</v>
      </c>
      <c r="J116" t="s">
        <v>74</v>
      </c>
    </row>
    <row r="117" spans="1:10" x14ac:dyDescent="0.3">
      <c r="A117" t="s">
        <v>1904</v>
      </c>
      <c r="B117" t="s">
        <v>270</v>
      </c>
      <c r="C117" s="4">
        <v>46154</v>
      </c>
      <c r="D117" t="s">
        <v>1779</v>
      </c>
      <c r="E117" t="s">
        <v>1788</v>
      </c>
      <c r="F117" s="3">
        <v>500000</v>
      </c>
      <c r="G117">
        <v>12.98</v>
      </c>
      <c r="H117">
        <v>48</v>
      </c>
      <c r="I117" t="s">
        <v>1776</v>
      </c>
      <c r="J117" t="s">
        <v>86</v>
      </c>
    </row>
    <row r="118" spans="1:10" x14ac:dyDescent="0.3">
      <c r="A118" t="s">
        <v>1905</v>
      </c>
      <c r="B118" t="s">
        <v>530</v>
      </c>
      <c r="C118" s="4">
        <v>45512</v>
      </c>
      <c r="D118" t="s">
        <v>1787</v>
      </c>
      <c r="E118" t="s">
        <v>1792</v>
      </c>
      <c r="F118" s="3">
        <v>100000</v>
      </c>
      <c r="G118">
        <v>17.61</v>
      </c>
      <c r="H118">
        <v>18</v>
      </c>
      <c r="I118" t="s">
        <v>1789</v>
      </c>
      <c r="J118" t="s">
        <v>74</v>
      </c>
    </row>
    <row r="119" spans="1:10" x14ac:dyDescent="0.3">
      <c r="A119" t="s">
        <v>1906</v>
      </c>
      <c r="B119" t="s">
        <v>152</v>
      </c>
      <c r="C119" s="4">
        <v>45697</v>
      </c>
      <c r="D119" t="s">
        <v>1779</v>
      </c>
      <c r="E119" t="s">
        <v>1788</v>
      </c>
      <c r="F119" s="3">
        <v>50000</v>
      </c>
      <c r="G119">
        <v>14.34</v>
      </c>
      <c r="H119">
        <v>84</v>
      </c>
      <c r="I119" t="s">
        <v>1799</v>
      </c>
      <c r="J119" t="s">
        <v>74</v>
      </c>
    </row>
    <row r="120" spans="1:10" x14ac:dyDescent="0.3">
      <c r="A120" t="s">
        <v>1907</v>
      </c>
      <c r="B120" t="s">
        <v>368</v>
      </c>
      <c r="C120" s="4">
        <v>46195</v>
      </c>
      <c r="D120" t="s">
        <v>1783</v>
      </c>
      <c r="E120" t="s">
        <v>1796</v>
      </c>
      <c r="F120" s="3">
        <v>100000</v>
      </c>
      <c r="G120">
        <v>19.87</v>
      </c>
      <c r="H120">
        <v>12</v>
      </c>
      <c r="I120" t="s">
        <v>1785</v>
      </c>
      <c r="J120" t="s">
        <v>86</v>
      </c>
    </row>
    <row r="121" spans="1:10" x14ac:dyDescent="0.3">
      <c r="A121" t="s">
        <v>1908</v>
      </c>
      <c r="B121" t="s">
        <v>484</v>
      </c>
      <c r="C121" s="4">
        <v>45650</v>
      </c>
      <c r="D121" t="s">
        <v>1779</v>
      </c>
      <c r="E121" t="s">
        <v>1784</v>
      </c>
      <c r="F121" s="3">
        <v>445334</v>
      </c>
      <c r="G121">
        <v>15.68</v>
      </c>
      <c r="H121">
        <v>48</v>
      </c>
      <c r="I121" t="s">
        <v>1781</v>
      </c>
      <c r="J121" t="s">
        <v>1777</v>
      </c>
    </row>
    <row r="122" spans="1:10" x14ac:dyDescent="0.3">
      <c r="A122" t="s">
        <v>1909</v>
      </c>
      <c r="B122" t="s">
        <v>570</v>
      </c>
      <c r="C122" s="4">
        <v>45333</v>
      </c>
      <c r="D122" t="s">
        <v>1796</v>
      </c>
      <c r="E122" t="s">
        <v>1788</v>
      </c>
      <c r="F122" s="3">
        <v>542748</v>
      </c>
      <c r="G122">
        <v>10.82</v>
      </c>
      <c r="H122">
        <v>120</v>
      </c>
      <c r="I122" t="s">
        <v>1785</v>
      </c>
      <c r="J122" t="s">
        <v>86</v>
      </c>
    </row>
    <row r="123" spans="1:10" x14ac:dyDescent="0.3">
      <c r="A123" t="s">
        <v>1910</v>
      </c>
      <c r="B123" t="s">
        <v>364</v>
      </c>
      <c r="C123" s="4">
        <v>45441</v>
      </c>
      <c r="D123" t="s">
        <v>1783</v>
      </c>
      <c r="E123" t="s">
        <v>1784</v>
      </c>
      <c r="F123" s="3">
        <v>628869</v>
      </c>
      <c r="G123">
        <v>14.61</v>
      </c>
      <c r="H123">
        <v>120</v>
      </c>
      <c r="I123" t="s">
        <v>1776</v>
      </c>
      <c r="J123" t="s">
        <v>1777</v>
      </c>
    </row>
    <row r="124" spans="1:10" x14ac:dyDescent="0.3">
      <c r="A124" t="s">
        <v>1911</v>
      </c>
      <c r="B124" t="s">
        <v>501</v>
      </c>
      <c r="C124" s="4">
        <v>45705</v>
      </c>
      <c r="D124" t="s">
        <v>1787</v>
      </c>
      <c r="E124" t="s">
        <v>1788</v>
      </c>
      <c r="F124" s="3">
        <v>750000</v>
      </c>
      <c r="G124">
        <v>11.92</v>
      </c>
      <c r="H124">
        <v>6</v>
      </c>
      <c r="I124" t="s">
        <v>1781</v>
      </c>
      <c r="J124" t="s">
        <v>86</v>
      </c>
    </row>
    <row r="125" spans="1:10" x14ac:dyDescent="0.3">
      <c r="A125" t="s">
        <v>1912</v>
      </c>
      <c r="B125" t="s">
        <v>258</v>
      </c>
      <c r="C125" s="4">
        <v>46196</v>
      </c>
      <c r="D125" t="s">
        <v>1787</v>
      </c>
      <c r="E125" t="s">
        <v>1784</v>
      </c>
      <c r="F125" s="3">
        <v>750000</v>
      </c>
      <c r="G125">
        <v>16.5</v>
      </c>
      <c r="H125">
        <v>120</v>
      </c>
      <c r="I125" t="s">
        <v>1799</v>
      </c>
      <c r="J125" t="s">
        <v>86</v>
      </c>
    </row>
    <row r="126" spans="1:10" x14ac:dyDescent="0.3">
      <c r="A126" t="s">
        <v>1913</v>
      </c>
      <c r="B126" t="s">
        <v>327</v>
      </c>
      <c r="C126" s="4">
        <v>46283</v>
      </c>
      <c r="D126" t="s">
        <v>1779</v>
      </c>
      <c r="E126" t="s">
        <v>1797</v>
      </c>
      <c r="F126" s="3">
        <v>500000</v>
      </c>
      <c r="G126">
        <v>17.170000000000002</v>
      </c>
      <c r="H126">
        <v>36</v>
      </c>
      <c r="I126" t="s">
        <v>1785</v>
      </c>
      <c r="J126" t="s">
        <v>111</v>
      </c>
    </row>
    <row r="127" spans="1:10" x14ac:dyDescent="0.3">
      <c r="A127" t="s">
        <v>1914</v>
      </c>
      <c r="B127" t="s">
        <v>771</v>
      </c>
      <c r="C127" s="4">
        <v>45387</v>
      </c>
      <c r="D127" t="s">
        <v>1774</v>
      </c>
      <c r="E127" t="s">
        <v>1784</v>
      </c>
      <c r="F127" s="3">
        <v>329155</v>
      </c>
      <c r="G127">
        <v>9.0299999999999994</v>
      </c>
      <c r="H127">
        <v>6</v>
      </c>
      <c r="I127" t="s">
        <v>1781</v>
      </c>
      <c r="J127" t="s">
        <v>111</v>
      </c>
    </row>
    <row r="128" spans="1:10" x14ac:dyDescent="0.3">
      <c r="A128" t="s">
        <v>1915</v>
      </c>
      <c r="B128" t="s">
        <v>272</v>
      </c>
      <c r="C128" s="4">
        <v>45720</v>
      </c>
      <c r="D128" t="s">
        <v>1779</v>
      </c>
      <c r="E128" t="s">
        <v>1775</v>
      </c>
      <c r="F128" s="3">
        <v>477873</v>
      </c>
      <c r="G128">
        <v>15.32</v>
      </c>
      <c r="H128">
        <v>24</v>
      </c>
      <c r="I128" t="s">
        <v>1785</v>
      </c>
      <c r="J128" t="s">
        <v>86</v>
      </c>
    </row>
    <row r="129" spans="1:10" x14ac:dyDescent="0.3">
      <c r="A129" t="s">
        <v>1916</v>
      </c>
      <c r="B129" t="s">
        <v>371</v>
      </c>
      <c r="C129" s="4">
        <v>45459</v>
      </c>
      <c r="D129" t="s">
        <v>1783</v>
      </c>
      <c r="E129" t="s">
        <v>1796</v>
      </c>
      <c r="F129" s="3">
        <v>318404</v>
      </c>
      <c r="G129">
        <v>14.12</v>
      </c>
      <c r="H129">
        <v>18</v>
      </c>
      <c r="I129" t="s">
        <v>1781</v>
      </c>
      <c r="J129" t="s">
        <v>1777</v>
      </c>
    </row>
    <row r="130" spans="1:10" x14ac:dyDescent="0.3">
      <c r="A130" t="s">
        <v>1917</v>
      </c>
      <c r="B130" t="s">
        <v>320</v>
      </c>
      <c r="C130" s="4">
        <v>45408</v>
      </c>
      <c r="D130" t="s">
        <v>1787</v>
      </c>
      <c r="E130" t="s">
        <v>1797</v>
      </c>
      <c r="F130" s="3">
        <v>750000</v>
      </c>
      <c r="G130">
        <v>20.25</v>
      </c>
      <c r="H130">
        <v>84</v>
      </c>
      <c r="I130" t="s">
        <v>1781</v>
      </c>
      <c r="J130" t="s">
        <v>74</v>
      </c>
    </row>
    <row r="131" spans="1:10" x14ac:dyDescent="0.3">
      <c r="A131" t="s">
        <v>1918</v>
      </c>
      <c r="B131" t="s">
        <v>327</v>
      </c>
      <c r="C131" s="4">
        <v>45882</v>
      </c>
      <c r="D131" t="s">
        <v>1796</v>
      </c>
      <c r="E131" t="s">
        <v>1775</v>
      </c>
      <c r="F131" s="3">
        <v>893939</v>
      </c>
      <c r="G131">
        <v>10.37</v>
      </c>
      <c r="H131">
        <v>120</v>
      </c>
      <c r="I131" t="s">
        <v>1789</v>
      </c>
      <c r="J131" t="s">
        <v>111</v>
      </c>
    </row>
    <row r="132" spans="1:10" x14ac:dyDescent="0.3">
      <c r="A132" t="s">
        <v>1919</v>
      </c>
      <c r="B132" t="s">
        <v>371</v>
      </c>
      <c r="C132" s="4">
        <v>45523</v>
      </c>
      <c r="D132" t="s">
        <v>1796</v>
      </c>
      <c r="E132" t="s">
        <v>1788</v>
      </c>
      <c r="F132" s="3">
        <v>494949</v>
      </c>
      <c r="G132">
        <v>19.78</v>
      </c>
      <c r="H132">
        <v>36</v>
      </c>
      <c r="I132" t="s">
        <v>1776</v>
      </c>
      <c r="J132" t="s">
        <v>1777</v>
      </c>
    </row>
    <row r="133" spans="1:10" x14ac:dyDescent="0.3">
      <c r="A133" t="s">
        <v>1920</v>
      </c>
      <c r="B133" t="s">
        <v>356</v>
      </c>
      <c r="C133" s="4">
        <v>45344</v>
      </c>
      <c r="D133" t="s">
        <v>1783</v>
      </c>
      <c r="E133" t="s">
        <v>1792</v>
      </c>
      <c r="F133" s="3">
        <v>354931</v>
      </c>
      <c r="G133">
        <v>10.28</v>
      </c>
      <c r="H133">
        <v>24</v>
      </c>
      <c r="I133" t="s">
        <v>1781</v>
      </c>
      <c r="J133" t="s">
        <v>111</v>
      </c>
    </row>
    <row r="134" spans="1:10" x14ac:dyDescent="0.3">
      <c r="A134" t="s">
        <v>1921</v>
      </c>
      <c r="B134" t="s">
        <v>184</v>
      </c>
      <c r="C134" s="4">
        <v>46193</v>
      </c>
      <c r="D134" t="s">
        <v>1783</v>
      </c>
      <c r="E134" t="s">
        <v>1797</v>
      </c>
      <c r="F134" s="3">
        <v>526903</v>
      </c>
      <c r="G134">
        <v>15.01</v>
      </c>
      <c r="H134">
        <v>48</v>
      </c>
      <c r="I134" t="s">
        <v>1776</v>
      </c>
      <c r="J134" t="s">
        <v>1777</v>
      </c>
    </row>
    <row r="135" spans="1:10" x14ac:dyDescent="0.3">
      <c r="A135" t="s">
        <v>1922</v>
      </c>
      <c r="B135" t="s">
        <v>536</v>
      </c>
      <c r="C135" s="4">
        <v>45721</v>
      </c>
      <c r="D135" t="s">
        <v>1774</v>
      </c>
      <c r="E135" t="s">
        <v>1796</v>
      </c>
      <c r="F135" s="3">
        <v>353612</v>
      </c>
      <c r="G135">
        <v>15.98</v>
      </c>
      <c r="H135">
        <v>12</v>
      </c>
      <c r="I135" t="s">
        <v>1799</v>
      </c>
      <c r="J135" t="s">
        <v>86</v>
      </c>
    </row>
    <row r="136" spans="1:10" x14ac:dyDescent="0.3">
      <c r="A136" t="s">
        <v>1923</v>
      </c>
      <c r="B136" t="s">
        <v>184</v>
      </c>
      <c r="C136" s="4">
        <v>45738</v>
      </c>
      <c r="D136" t="s">
        <v>1779</v>
      </c>
      <c r="E136" t="s">
        <v>1739</v>
      </c>
      <c r="F136" s="3">
        <v>500000</v>
      </c>
      <c r="G136">
        <v>20.239999999999998</v>
      </c>
      <c r="H136">
        <v>48</v>
      </c>
      <c r="I136" t="s">
        <v>1781</v>
      </c>
      <c r="J136" t="s">
        <v>86</v>
      </c>
    </row>
    <row r="137" spans="1:10" x14ac:dyDescent="0.3">
      <c r="A137" t="s">
        <v>1924</v>
      </c>
      <c r="B137" t="s">
        <v>130</v>
      </c>
      <c r="C137" s="4">
        <v>45607</v>
      </c>
      <c r="D137" t="s">
        <v>1787</v>
      </c>
      <c r="E137" t="s">
        <v>1796</v>
      </c>
      <c r="F137" s="3">
        <v>750000</v>
      </c>
      <c r="G137">
        <v>13.36</v>
      </c>
      <c r="H137">
        <v>24</v>
      </c>
      <c r="I137" t="s">
        <v>1785</v>
      </c>
      <c r="J137" t="s">
        <v>111</v>
      </c>
    </row>
    <row r="138" spans="1:10" x14ac:dyDescent="0.3">
      <c r="A138" t="s">
        <v>1925</v>
      </c>
      <c r="B138" t="s">
        <v>776</v>
      </c>
      <c r="C138" s="4">
        <v>45636</v>
      </c>
      <c r="D138" t="s">
        <v>1779</v>
      </c>
      <c r="E138" t="s">
        <v>1792</v>
      </c>
      <c r="F138" s="3">
        <v>300000</v>
      </c>
      <c r="G138">
        <v>9.49</v>
      </c>
      <c r="H138">
        <v>12</v>
      </c>
      <c r="I138" t="s">
        <v>1785</v>
      </c>
      <c r="J138" t="s">
        <v>86</v>
      </c>
    </row>
    <row r="139" spans="1:10" x14ac:dyDescent="0.3">
      <c r="A139" t="s">
        <v>1926</v>
      </c>
      <c r="B139" t="s">
        <v>98</v>
      </c>
      <c r="C139" s="4">
        <v>45445</v>
      </c>
      <c r="D139" t="s">
        <v>1774</v>
      </c>
      <c r="E139" t="s">
        <v>1784</v>
      </c>
      <c r="F139" s="3">
        <v>556579</v>
      </c>
      <c r="G139">
        <v>8.5299999999999994</v>
      </c>
      <c r="H139">
        <v>18</v>
      </c>
      <c r="I139" t="s">
        <v>1785</v>
      </c>
      <c r="J139" t="s">
        <v>74</v>
      </c>
    </row>
    <row r="140" spans="1:10" x14ac:dyDescent="0.3">
      <c r="A140" t="s">
        <v>1927</v>
      </c>
      <c r="B140" t="s">
        <v>141</v>
      </c>
      <c r="C140" s="4">
        <v>46155</v>
      </c>
      <c r="D140" t="s">
        <v>1787</v>
      </c>
      <c r="E140" t="s">
        <v>1784</v>
      </c>
      <c r="F140" s="3">
        <v>300000</v>
      </c>
      <c r="G140">
        <v>8.99</v>
      </c>
      <c r="H140">
        <v>36</v>
      </c>
      <c r="I140" t="s">
        <v>1785</v>
      </c>
      <c r="J140" t="s">
        <v>86</v>
      </c>
    </row>
    <row r="141" spans="1:10" x14ac:dyDescent="0.3">
      <c r="A141" t="s">
        <v>1928</v>
      </c>
      <c r="B141" t="s">
        <v>206</v>
      </c>
      <c r="C141" s="4">
        <v>45888</v>
      </c>
      <c r="D141" t="s">
        <v>1783</v>
      </c>
      <c r="E141" t="s">
        <v>1792</v>
      </c>
      <c r="F141" s="3">
        <v>50000</v>
      </c>
      <c r="G141">
        <v>19.57</v>
      </c>
      <c r="H141">
        <v>18</v>
      </c>
      <c r="I141" t="s">
        <v>1781</v>
      </c>
      <c r="J141" t="s">
        <v>1777</v>
      </c>
    </row>
    <row r="142" spans="1:10" x14ac:dyDescent="0.3">
      <c r="A142" t="s">
        <v>1929</v>
      </c>
      <c r="B142" t="s">
        <v>206</v>
      </c>
      <c r="C142" s="4">
        <v>45402</v>
      </c>
      <c r="D142" t="s">
        <v>1787</v>
      </c>
      <c r="E142" t="s">
        <v>1784</v>
      </c>
      <c r="F142" s="3">
        <v>200000</v>
      </c>
      <c r="G142">
        <v>18.48</v>
      </c>
      <c r="H142">
        <v>36</v>
      </c>
      <c r="I142" t="s">
        <v>1785</v>
      </c>
      <c r="J142" t="s">
        <v>1777</v>
      </c>
    </row>
    <row r="143" spans="1:10" x14ac:dyDescent="0.3">
      <c r="A143" t="s">
        <v>1930</v>
      </c>
      <c r="B143" t="s">
        <v>847</v>
      </c>
      <c r="C143" s="4">
        <v>45912</v>
      </c>
      <c r="D143" t="s">
        <v>1787</v>
      </c>
      <c r="E143" t="s">
        <v>1784</v>
      </c>
      <c r="F143" s="3">
        <v>205039</v>
      </c>
      <c r="G143">
        <v>14.46</v>
      </c>
      <c r="H143">
        <v>24</v>
      </c>
      <c r="I143" t="s">
        <v>1789</v>
      </c>
      <c r="J143" t="s">
        <v>86</v>
      </c>
    </row>
    <row r="144" spans="1:10" x14ac:dyDescent="0.3">
      <c r="A144" t="s">
        <v>1931</v>
      </c>
      <c r="B144" t="s">
        <v>761</v>
      </c>
      <c r="C144" s="4">
        <v>45694</v>
      </c>
      <c r="D144" t="s">
        <v>1779</v>
      </c>
      <c r="E144" t="s">
        <v>1792</v>
      </c>
      <c r="F144" s="3">
        <v>737312</v>
      </c>
      <c r="G144">
        <v>13.93</v>
      </c>
      <c r="H144">
        <v>120</v>
      </c>
      <c r="I144" t="s">
        <v>1785</v>
      </c>
      <c r="J144" t="s">
        <v>1777</v>
      </c>
    </row>
    <row r="145" spans="1:10" x14ac:dyDescent="0.3">
      <c r="A145" t="s">
        <v>1932</v>
      </c>
      <c r="B145" t="s">
        <v>138</v>
      </c>
      <c r="C145" s="4">
        <v>45720</v>
      </c>
      <c r="D145" t="s">
        <v>1796</v>
      </c>
      <c r="E145" t="s">
        <v>1796</v>
      </c>
      <c r="F145" s="3">
        <v>286546</v>
      </c>
      <c r="G145">
        <v>11.39</v>
      </c>
      <c r="H145">
        <v>18</v>
      </c>
      <c r="I145" t="s">
        <v>1799</v>
      </c>
      <c r="J145" t="s">
        <v>86</v>
      </c>
    </row>
    <row r="146" spans="1:10" x14ac:dyDescent="0.3">
      <c r="A146" t="s">
        <v>1933</v>
      </c>
      <c r="B146" t="s">
        <v>524</v>
      </c>
      <c r="C146" s="4">
        <v>45373</v>
      </c>
      <c r="D146" t="s">
        <v>1783</v>
      </c>
      <c r="E146" t="s">
        <v>1739</v>
      </c>
      <c r="F146" s="3">
        <v>75000</v>
      </c>
      <c r="G146">
        <v>10.01</v>
      </c>
      <c r="H146">
        <v>12</v>
      </c>
      <c r="I146" t="s">
        <v>1785</v>
      </c>
      <c r="J146" t="s">
        <v>74</v>
      </c>
    </row>
    <row r="147" spans="1:10" x14ac:dyDescent="0.3">
      <c r="A147" t="s">
        <v>1934</v>
      </c>
      <c r="B147" t="s">
        <v>371</v>
      </c>
      <c r="C147" s="4">
        <v>45996</v>
      </c>
      <c r="D147" t="s">
        <v>1779</v>
      </c>
      <c r="E147" t="s">
        <v>1739</v>
      </c>
      <c r="F147" s="3">
        <v>150000</v>
      </c>
      <c r="G147">
        <v>9.9700000000000006</v>
      </c>
      <c r="H147">
        <v>120</v>
      </c>
      <c r="I147" t="s">
        <v>1799</v>
      </c>
      <c r="J147" t="s">
        <v>74</v>
      </c>
    </row>
    <row r="148" spans="1:10" x14ac:dyDescent="0.3">
      <c r="A148" t="s">
        <v>1935</v>
      </c>
      <c r="B148" t="s">
        <v>484</v>
      </c>
      <c r="C148" s="4">
        <v>46251</v>
      </c>
      <c r="D148" t="s">
        <v>1783</v>
      </c>
      <c r="E148" t="s">
        <v>1788</v>
      </c>
      <c r="F148" s="3">
        <v>536215</v>
      </c>
      <c r="G148">
        <v>10.38</v>
      </c>
      <c r="H148">
        <v>24</v>
      </c>
      <c r="I148" t="s">
        <v>1785</v>
      </c>
      <c r="J148" t="s">
        <v>86</v>
      </c>
    </row>
    <row r="149" spans="1:10" x14ac:dyDescent="0.3">
      <c r="A149" t="s">
        <v>1936</v>
      </c>
      <c r="B149" t="s">
        <v>309</v>
      </c>
      <c r="C149" s="4">
        <v>45324</v>
      </c>
      <c r="D149" t="s">
        <v>1779</v>
      </c>
      <c r="E149" t="s">
        <v>1796</v>
      </c>
      <c r="F149" s="3">
        <v>882664</v>
      </c>
      <c r="G149">
        <v>18.25</v>
      </c>
      <c r="H149">
        <v>84</v>
      </c>
      <c r="I149" t="s">
        <v>1789</v>
      </c>
      <c r="J149" t="s">
        <v>1777</v>
      </c>
    </row>
    <row r="150" spans="1:10" x14ac:dyDescent="0.3">
      <c r="A150" t="s">
        <v>1937</v>
      </c>
      <c r="B150" t="s">
        <v>530</v>
      </c>
      <c r="C150" s="4">
        <v>46094</v>
      </c>
      <c r="D150" t="s">
        <v>1774</v>
      </c>
      <c r="E150" t="s">
        <v>1792</v>
      </c>
      <c r="F150" s="3">
        <v>379297</v>
      </c>
      <c r="G150">
        <v>12.42</v>
      </c>
      <c r="H150">
        <v>60</v>
      </c>
      <c r="I150" t="s">
        <v>1789</v>
      </c>
      <c r="J150" t="s">
        <v>111</v>
      </c>
    </row>
    <row r="151" spans="1:10" x14ac:dyDescent="0.3">
      <c r="A151" t="s">
        <v>1938</v>
      </c>
      <c r="B151" t="s">
        <v>309</v>
      </c>
      <c r="C151" s="4">
        <v>45299</v>
      </c>
      <c r="D151" t="s">
        <v>1779</v>
      </c>
      <c r="E151" t="s">
        <v>1784</v>
      </c>
      <c r="F151" s="3">
        <v>212154</v>
      </c>
      <c r="G151">
        <v>14.34</v>
      </c>
      <c r="H151">
        <v>48</v>
      </c>
      <c r="I151" t="s">
        <v>1785</v>
      </c>
      <c r="J151" t="s">
        <v>111</v>
      </c>
    </row>
    <row r="152" spans="1:10" x14ac:dyDescent="0.3">
      <c r="A152" t="s">
        <v>1939</v>
      </c>
      <c r="B152" t="s">
        <v>173</v>
      </c>
      <c r="C152" s="4">
        <v>45537</v>
      </c>
      <c r="D152" t="s">
        <v>1774</v>
      </c>
      <c r="E152" t="s">
        <v>1797</v>
      </c>
      <c r="F152" s="3">
        <v>559420</v>
      </c>
      <c r="G152">
        <v>10.67</v>
      </c>
      <c r="H152">
        <v>6</v>
      </c>
      <c r="I152" t="s">
        <v>1799</v>
      </c>
      <c r="J152" t="s">
        <v>74</v>
      </c>
    </row>
    <row r="153" spans="1:10" x14ac:dyDescent="0.3">
      <c r="A153" t="s">
        <v>1940</v>
      </c>
      <c r="B153" t="s">
        <v>88</v>
      </c>
      <c r="C153" s="4">
        <v>46020</v>
      </c>
      <c r="D153" t="s">
        <v>1783</v>
      </c>
      <c r="E153" t="s">
        <v>1784</v>
      </c>
      <c r="F153" s="3">
        <v>300000</v>
      </c>
      <c r="G153">
        <v>14.29</v>
      </c>
      <c r="H153">
        <v>120</v>
      </c>
      <c r="I153" t="s">
        <v>1785</v>
      </c>
      <c r="J153" t="s">
        <v>111</v>
      </c>
    </row>
    <row r="154" spans="1:10" x14ac:dyDescent="0.3">
      <c r="A154" t="s">
        <v>1941</v>
      </c>
      <c r="B154" t="s">
        <v>392</v>
      </c>
      <c r="C154" s="4">
        <v>45632</v>
      </c>
      <c r="D154" t="s">
        <v>1796</v>
      </c>
      <c r="E154" t="s">
        <v>1775</v>
      </c>
      <c r="F154" s="3">
        <v>812323</v>
      </c>
      <c r="G154">
        <v>13.19</v>
      </c>
      <c r="H154">
        <v>120</v>
      </c>
      <c r="I154" t="s">
        <v>1781</v>
      </c>
      <c r="J154" t="s">
        <v>111</v>
      </c>
    </row>
    <row r="155" spans="1:10" x14ac:dyDescent="0.3">
      <c r="A155" t="s">
        <v>1942</v>
      </c>
      <c r="B155" t="s">
        <v>616</v>
      </c>
      <c r="C155" s="4">
        <v>45737</v>
      </c>
      <c r="D155" t="s">
        <v>1779</v>
      </c>
      <c r="E155" t="s">
        <v>1797</v>
      </c>
      <c r="F155" s="3">
        <v>806793</v>
      </c>
      <c r="G155">
        <v>15.59</v>
      </c>
      <c r="H155">
        <v>36</v>
      </c>
      <c r="I155" t="s">
        <v>1776</v>
      </c>
      <c r="J155" t="s">
        <v>1777</v>
      </c>
    </row>
    <row r="156" spans="1:10" x14ac:dyDescent="0.3">
      <c r="A156" t="s">
        <v>1943</v>
      </c>
      <c r="B156" t="s">
        <v>1087</v>
      </c>
      <c r="C156" s="4">
        <v>45337</v>
      </c>
      <c r="D156" t="s">
        <v>1787</v>
      </c>
      <c r="E156" t="s">
        <v>1797</v>
      </c>
      <c r="F156" s="3">
        <v>50000</v>
      </c>
      <c r="G156">
        <v>20.079999999999998</v>
      </c>
      <c r="H156">
        <v>12</v>
      </c>
      <c r="I156" t="s">
        <v>1776</v>
      </c>
      <c r="J156" t="s">
        <v>1777</v>
      </c>
    </row>
    <row r="157" spans="1:10" x14ac:dyDescent="0.3">
      <c r="A157" t="s">
        <v>1944</v>
      </c>
      <c r="B157" t="s">
        <v>1693</v>
      </c>
      <c r="C157" s="4">
        <v>46243</v>
      </c>
      <c r="D157" t="s">
        <v>1774</v>
      </c>
      <c r="E157" t="s">
        <v>1788</v>
      </c>
      <c r="F157" s="3">
        <v>678331</v>
      </c>
      <c r="G157">
        <v>18.52</v>
      </c>
      <c r="H157">
        <v>24</v>
      </c>
      <c r="I157" t="s">
        <v>1776</v>
      </c>
      <c r="J157" t="s">
        <v>74</v>
      </c>
    </row>
    <row r="158" spans="1:10" x14ac:dyDescent="0.3">
      <c r="A158" t="s">
        <v>1945</v>
      </c>
      <c r="B158" t="s">
        <v>152</v>
      </c>
      <c r="C158" s="4">
        <v>46204</v>
      </c>
      <c r="D158" t="s">
        <v>1787</v>
      </c>
      <c r="E158" t="s">
        <v>1788</v>
      </c>
      <c r="F158" s="3">
        <v>80590</v>
      </c>
      <c r="G158">
        <v>13.24</v>
      </c>
      <c r="H158">
        <v>6</v>
      </c>
      <c r="I158" t="s">
        <v>1776</v>
      </c>
      <c r="J158" t="s">
        <v>86</v>
      </c>
    </row>
    <row r="159" spans="1:10" x14ac:dyDescent="0.3">
      <c r="A159" t="s">
        <v>1946</v>
      </c>
      <c r="B159" t="s">
        <v>888</v>
      </c>
      <c r="C159" s="4">
        <v>45519</v>
      </c>
      <c r="D159" t="s">
        <v>1779</v>
      </c>
      <c r="E159" t="s">
        <v>1784</v>
      </c>
      <c r="F159" s="3">
        <v>511072</v>
      </c>
      <c r="G159">
        <v>13.66</v>
      </c>
      <c r="H159">
        <v>12</v>
      </c>
      <c r="I159" t="s">
        <v>1781</v>
      </c>
      <c r="J159" t="s">
        <v>74</v>
      </c>
    </row>
    <row r="160" spans="1:10" x14ac:dyDescent="0.3">
      <c r="A160" t="s">
        <v>1947</v>
      </c>
      <c r="B160" t="s">
        <v>368</v>
      </c>
      <c r="C160" s="4">
        <v>45840</v>
      </c>
      <c r="D160" t="s">
        <v>1783</v>
      </c>
      <c r="E160" t="s">
        <v>1775</v>
      </c>
      <c r="F160" s="3">
        <v>613094</v>
      </c>
      <c r="G160">
        <v>18.920000000000002</v>
      </c>
      <c r="H160">
        <v>36</v>
      </c>
      <c r="I160" t="s">
        <v>1799</v>
      </c>
      <c r="J160" t="s">
        <v>86</v>
      </c>
    </row>
    <row r="161" spans="1:10" x14ac:dyDescent="0.3">
      <c r="A161" t="s">
        <v>1948</v>
      </c>
      <c r="B161" t="s">
        <v>680</v>
      </c>
      <c r="C161" s="4">
        <v>45800</v>
      </c>
      <c r="D161" t="s">
        <v>1787</v>
      </c>
      <c r="E161" t="s">
        <v>1788</v>
      </c>
      <c r="F161" s="3">
        <v>263781</v>
      </c>
      <c r="G161">
        <v>17.86</v>
      </c>
      <c r="H161">
        <v>24</v>
      </c>
      <c r="I161" t="s">
        <v>1781</v>
      </c>
      <c r="J161" t="s">
        <v>1777</v>
      </c>
    </row>
    <row r="162" spans="1:10" x14ac:dyDescent="0.3">
      <c r="A162" t="s">
        <v>1949</v>
      </c>
      <c r="B162" t="s">
        <v>437</v>
      </c>
      <c r="C162" s="4">
        <v>45866</v>
      </c>
      <c r="D162" t="s">
        <v>1774</v>
      </c>
      <c r="E162" t="s">
        <v>1784</v>
      </c>
      <c r="F162" s="3">
        <v>225846</v>
      </c>
      <c r="G162">
        <v>16.72</v>
      </c>
      <c r="H162">
        <v>12</v>
      </c>
      <c r="I162" t="s">
        <v>1785</v>
      </c>
      <c r="J162" t="s">
        <v>111</v>
      </c>
    </row>
    <row r="163" spans="1:10" x14ac:dyDescent="0.3">
      <c r="A163" t="s">
        <v>1950</v>
      </c>
      <c r="B163" t="s">
        <v>196</v>
      </c>
      <c r="C163" s="4">
        <v>46261</v>
      </c>
      <c r="D163" t="s">
        <v>1796</v>
      </c>
      <c r="E163" t="s">
        <v>1796</v>
      </c>
      <c r="F163" s="3">
        <v>144291</v>
      </c>
      <c r="G163">
        <v>16.39</v>
      </c>
      <c r="H163">
        <v>36</v>
      </c>
      <c r="I163" t="s">
        <v>1776</v>
      </c>
      <c r="J163" t="s">
        <v>1777</v>
      </c>
    </row>
    <row r="164" spans="1:10" x14ac:dyDescent="0.3">
      <c r="A164" t="s">
        <v>1951</v>
      </c>
      <c r="B164" t="s">
        <v>425</v>
      </c>
      <c r="C164" s="4">
        <v>45500</v>
      </c>
      <c r="D164" t="s">
        <v>1796</v>
      </c>
      <c r="E164" t="s">
        <v>1788</v>
      </c>
      <c r="F164" s="3">
        <v>418986</v>
      </c>
      <c r="G164">
        <v>20.47</v>
      </c>
      <c r="H164">
        <v>120</v>
      </c>
      <c r="I164" t="s">
        <v>1789</v>
      </c>
      <c r="J164" t="s">
        <v>86</v>
      </c>
    </row>
    <row r="165" spans="1:10" x14ac:dyDescent="0.3">
      <c r="A165" t="s">
        <v>1952</v>
      </c>
      <c r="B165" t="s">
        <v>888</v>
      </c>
      <c r="C165" s="4">
        <v>45451</v>
      </c>
      <c r="D165" t="s">
        <v>1783</v>
      </c>
      <c r="E165" t="s">
        <v>1792</v>
      </c>
      <c r="F165" s="3">
        <v>43489</v>
      </c>
      <c r="G165">
        <v>17.739999999999998</v>
      </c>
      <c r="H165">
        <v>36</v>
      </c>
      <c r="I165" t="s">
        <v>1781</v>
      </c>
      <c r="J165" t="s">
        <v>86</v>
      </c>
    </row>
    <row r="166" spans="1:10" x14ac:dyDescent="0.3">
      <c r="A166" t="s">
        <v>1953</v>
      </c>
      <c r="B166" t="s">
        <v>895</v>
      </c>
      <c r="C166" s="4">
        <v>46075</v>
      </c>
      <c r="D166" t="s">
        <v>1787</v>
      </c>
      <c r="E166" t="s">
        <v>1739</v>
      </c>
      <c r="F166" s="3">
        <v>167338</v>
      </c>
      <c r="G166">
        <v>14.63</v>
      </c>
      <c r="H166">
        <v>84</v>
      </c>
      <c r="I166" t="s">
        <v>1789</v>
      </c>
      <c r="J166" t="s">
        <v>74</v>
      </c>
    </row>
    <row r="167" spans="1:10" x14ac:dyDescent="0.3">
      <c r="A167" t="s">
        <v>1954</v>
      </c>
      <c r="B167" t="s">
        <v>220</v>
      </c>
      <c r="C167" s="4">
        <v>46096</v>
      </c>
      <c r="D167" t="s">
        <v>1774</v>
      </c>
      <c r="E167" t="s">
        <v>1739</v>
      </c>
      <c r="F167" s="3">
        <v>75000</v>
      </c>
      <c r="G167">
        <v>18.18</v>
      </c>
      <c r="H167">
        <v>120</v>
      </c>
      <c r="I167" t="s">
        <v>1781</v>
      </c>
      <c r="J167" t="s">
        <v>86</v>
      </c>
    </row>
    <row r="168" spans="1:10" x14ac:dyDescent="0.3">
      <c r="A168" t="s">
        <v>1955</v>
      </c>
      <c r="B168" t="s">
        <v>379</v>
      </c>
      <c r="C168" s="4">
        <v>46224</v>
      </c>
      <c r="D168" t="s">
        <v>1783</v>
      </c>
      <c r="E168" t="s">
        <v>1796</v>
      </c>
      <c r="F168" s="3">
        <v>883448</v>
      </c>
      <c r="G168">
        <v>10.25</v>
      </c>
      <c r="H168">
        <v>18</v>
      </c>
      <c r="I168" t="s">
        <v>1776</v>
      </c>
      <c r="J168" t="s">
        <v>111</v>
      </c>
    </row>
    <row r="169" spans="1:10" x14ac:dyDescent="0.3">
      <c r="A169" t="s">
        <v>1956</v>
      </c>
      <c r="B169" t="s">
        <v>1094</v>
      </c>
      <c r="C169" s="4">
        <v>45782</v>
      </c>
      <c r="D169" t="s">
        <v>1796</v>
      </c>
      <c r="E169" t="s">
        <v>1784</v>
      </c>
      <c r="F169" s="3">
        <v>834101</v>
      </c>
      <c r="G169">
        <v>12.58</v>
      </c>
      <c r="H169">
        <v>60</v>
      </c>
      <c r="I169" t="s">
        <v>1781</v>
      </c>
      <c r="J169" t="s">
        <v>1777</v>
      </c>
    </row>
    <row r="170" spans="1:10" x14ac:dyDescent="0.3">
      <c r="A170" t="s">
        <v>1957</v>
      </c>
      <c r="B170" t="s">
        <v>732</v>
      </c>
      <c r="C170" s="4">
        <v>45398</v>
      </c>
      <c r="D170" t="s">
        <v>1774</v>
      </c>
      <c r="E170" t="s">
        <v>1796</v>
      </c>
      <c r="F170" s="3">
        <v>853550</v>
      </c>
      <c r="G170">
        <v>10.78</v>
      </c>
      <c r="H170">
        <v>84</v>
      </c>
      <c r="I170" t="s">
        <v>1799</v>
      </c>
      <c r="J170" t="s">
        <v>86</v>
      </c>
    </row>
    <row r="171" spans="1:10" x14ac:dyDescent="0.3">
      <c r="A171" t="s">
        <v>1958</v>
      </c>
      <c r="B171" t="s">
        <v>620</v>
      </c>
      <c r="C171" s="4">
        <v>46291</v>
      </c>
      <c r="D171" t="s">
        <v>1779</v>
      </c>
      <c r="E171" t="s">
        <v>1775</v>
      </c>
      <c r="F171" s="3">
        <v>277765</v>
      </c>
      <c r="G171">
        <v>17.75</v>
      </c>
      <c r="H171">
        <v>60</v>
      </c>
      <c r="I171" t="s">
        <v>1785</v>
      </c>
      <c r="J171" t="s">
        <v>74</v>
      </c>
    </row>
    <row r="172" spans="1:10" x14ac:dyDescent="0.3">
      <c r="A172" t="s">
        <v>1959</v>
      </c>
      <c r="B172" t="s">
        <v>530</v>
      </c>
      <c r="C172" s="4">
        <v>45495</v>
      </c>
      <c r="D172" t="s">
        <v>1774</v>
      </c>
      <c r="E172" t="s">
        <v>1784</v>
      </c>
      <c r="F172" s="3">
        <v>78146</v>
      </c>
      <c r="G172">
        <v>15.35</v>
      </c>
      <c r="H172">
        <v>6</v>
      </c>
      <c r="I172" t="s">
        <v>1781</v>
      </c>
      <c r="J172" t="s">
        <v>74</v>
      </c>
    </row>
    <row r="173" spans="1:10" x14ac:dyDescent="0.3">
      <c r="A173" t="s">
        <v>1960</v>
      </c>
      <c r="B173" t="s">
        <v>714</v>
      </c>
      <c r="C173" s="4">
        <v>45956</v>
      </c>
      <c r="D173" t="s">
        <v>1779</v>
      </c>
      <c r="E173" t="s">
        <v>1784</v>
      </c>
      <c r="F173" s="3">
        <v>50000</v>
      </c>
      <c r="G173">
        <v>10.11</v>
      </c>
      <c r="H173">
        <v>12</v>
      </c>
      <c r="I173" t="s">
        <v>1789</v>
      </c>
      <c r="J173" t="s">
        <v>86</v>
      </c>
    </row>
    <row r="174" spans="1:10" x14ac:dyDescent="0.3">
      <c r="A174" t="s">
        <v>1961</v>
      </c>
      <c r="B174" t="s">
        <v>390</v>
      </c>
      <c r="C174" s="4">
        <v>45899</v>
      </c>
      <c r="D174" t="s">
        <v>1787</v>
      </c>
      <c r="E174" t="s">
        <v>1797</v>
      </c>
      <c r="F174" s="3">
        <v>750000</v>
      </c>
      <c r="G174">
        <v>17.64</v>
      </c>
      <c r="H174">
        <v>12</v>
      </c>
      <c r="I174" t="s">
        <v>1789</v>
      </c>
      <c r="J174" t="s">
        <v>86</v>
      </c>
    </row>
    <row r="175" spans="1:10" x14ac:dyDescent="0.3">
      <c r="A175" t="s">
        <v>1962</v>
      </c>
      <c r="B175" t="s">
        <v>646</v>
      </c>
      <c r="C175" s="4">
        <v>46097</v>
      </c>
      <c r="D175" t="s">
        <v>1796</v>
      </c>
      <c r="E175" t="s">
        <v>1775</v>
      </c>
      <c r="F175" s="3">
        <v>372468</v>
      </c>
      <c r="G175">
        <v>18.37</v>
      </c>
      <c r="H175">
        <v>36</v>
      </c>
      <c r="I175" t="s">
        <v>1785</v>
      </c>
      <c r="J175" t="s">
        <v>86</v>
      </c>
    </row>
    <row r="176" spans="1:10" x14ac:dyDescent="0.3">
      <c r="A176" t="s">
        <v>1963</v>
      </c>
      <c r="B176" t="s">
        <v>953</v>
      </c>
      <c r="C176" s="4">
        <v>45348</v>
      </c>
      <c r="D176" t="s">
        <v>1796</v>
      </c>
      <c r="E176" t="s">
        <v>1792</v>
      </c>
      <c r="F176" s="3">
        <v>737118</v>
      </c>
      <c r="G176">
        <v>13.05</v>
      </c>
      <c r="H176">
        <v>18</v>
      </c>
      <c r="I176" t="s">
        <v>1785</v>
      </c>
      <c r="J176" t="s">
        <v>1777</v>
      </c>
    </row>
    <row r="177" spans="1:10" x14ac:dyDescent="0.3">
      <c r="A177" t="s">
        <v>1964</v>
      </c>
      <c r="B177" t="s">
        <v>177</v>
      </c>
      <c r="C177" s="4">
        <v>45368</v>
      </c>
      <c r="D177" t="s">
        <v>1779</v>
      </c>
      <c r="E177" t="s">
        <v>1788</v>
      </c>
      <c r="F177" s="3">
        <v>421456</v>
      </c>
      <c r="G177">
        <v>17.36</v>
      </c>
      <c r="H177">
        <v>60</v>
      </c>
      <c r="I177" t="s">
        <v>1785</v>
      </c>
      <c r="J177" t="s">
        <v>74</v>
      </c>
    </row>
    <row r="178" spans="1:10" x14ac:dyDescent="0.3">
      <c r="A178" t="s">
        <v>1965</v>
      </c>
      <c r="B178" t="s">
        <v>953</v>
      </c>
      <c r="C178" s="4">
        <v>45627</v>
      </c>
      <c r="D178" t="s">
        <v>1787</v>
      </c>
      <c r="E178" t="s">
        <v>1775</v>
      </c>
      <c r="F178" s="3">
        <v>75000</v>
      </c>
      <c r="G178">
        <v>15.69</v>
      </c>
      <c r="H178">
        <v>12</v>
      </c>
      <c r="I178" t="s">
        <v>1776</v>
      </c>
      <c r="J178" t="s">
        <v>86</v>
      </c>
    </row>
    <row r="179" spans="1:10" x14ac:dyDescent="0.3">
      <c r="A179" t="s">
        <v>1966</v>
      </c>
      <c r="B179" t="s">
        <v>625</v>
      </c>
      <c r="C179" s="4">
        <v>46290</v>
      </c>
      <c r="D179" t="s">
        <v>1783</v>
      </c>
      <c r="E179" t="s">
        <v>1796</v>
      </c>
      <c r="F179" s="3">
        <v>300000</v>
      </c>
      <c r="G179">
        <v>15.42</v>
      </c>
      <c r="H179">
        <v>12</v>
      </c>
      <c r="I179" t="s">
        <v>1785</v>
      </c>
      <c r="J179" t="s">
        <v>74</v>
      </c>
    </row>
    <row r="180" spans="1:10" x14ac:dyDescent="0.3">
      <c r="A180" t="s">
        <v>1967</v>
      </c>
      <c r="B180" t="s">
        <v>568</v>
      </c>
      <c r="C180" s="4">
        <v>45610</v>
      </c>
      <c r="D180" t="s">
        <v>1783</v>
      </c>
      <c r="E180" t="s">
        <v>1792</v>
      </c>
      <c r="F180" s="3">
        <v>616935</v>
      </c>
      <c r="G180">
        <v>17.05</v>
      </c>
      <c r="H180">
        <v>120</v>
      </c>
      <c r="I180" t="s">
        <v>1785</v>
      </c>
      <c r="J180" t="s">
        <v>74</v>
      </c>
    </row>
    <row r="181" spans="1:10" x14ac:dyDescent="0.3">
      <c r="A181" t="s">
        <v>1968</v>
      </c>
      <c r="B181" t="s">
        <v>616</v>
      </c>
      <c r="C181" s="4">
        <v>45394</v>
      </c>
      <c r="D181" t="s">
        <v>1796</v>
      </c>
      <c r="E181" t="s">
        <v>1739</v>
      </c>
      <c r="F181" s="3">
        <v>828845</v>
      </c>
      <c r="G181">
        <v>9.6199999999999992</v>
      </c>
      <c r="H181">
        <v>48</v>
      </c>
      <c r="I181" t="s">
        <v>1785</v>
      </c>
      <c r="J181" t="s">
        <v>86</v>
      </c>
    </row>
    <row r="182" spans="1:10" x14ac:dyDescent="0.3">
      <c r="A182" t="s">
        <v>1969</v>
      </c>
      <c r="B182" t="s">
        <v>287</v>
      </c>
      <c r="C182" s="4">
        <v>45432</v>
      </c>
      <c r="D182" t="s">
        <v>1779</v>
      </c>
      <c r="E182" t="s">
        <v>1784</v>
      </c>
      <c r="F182" s="3">
        <v>50000</v>
      </c>
      <c r="G182">
        <v>14.13</v>
      </c>
      <c r="H182">
        <v>48</v>
      </c>
      <c r="I182" t="s">
        <v>1776</v>
      </c>
      <c r="J182" t="s">
        <v>86</v>
      </c>
    </row>
    <row r="183" spans="1:10" x14ac:dyDescent="0.3">
      <c r="A183" t="s">
        <v>1970</v>
      </c>
      <c r="B183" t="s">
        <v>1103</v>
      </c>
      <c r="C183" s="4">
        <v>45562</v>
      </c>
      <c r="D183" t="s">
        <v>1783</v>
      </c>
      <c r="E183" t="s">
        <v>1788</v>
      </c>
      <c r="F183" s="3">
        <v>1000000</v>
      </c>
      <c r="G183">
        <v>10.52</v>
      </c>
      <c r="H183">
        <v>12</v>
      </c>
      <c r="I183" t="s">
        <v>1789</v>
      </c>
      <c r="J183" t="s">
        <v>86</v>
      </c>
    </row>
    <row r="184" spans="1:10" x14ac:dyDescent="0.3">
      <c r="A184" t="s">
        <v>1971</v>
      </c>
      <c r="B184" t="s">
        <v>448</v>
      </c>
      <c r="C184" s="4">
        <v>45773</v>
      </c>
      <c r="D184" t="s">
        <v>1787</v>
      </c>
      <c r="E184" t="s">
        <v>1796</v>
      </c>
      <c r="F184" s="3">
        <v>100000</v>
      </c>
      <c r="G184">
        <v>20.38</v>
      </c>
      <c r="H184">
        <v>6</v>
      </c>
      <c r="I184" t="s">
        <v>1789</v>
      </c>
      <c r="J184" t="s">
        <v>74</v>
      </c>
    </row>
    <row r="185" spans="1:10" x14ac:dyDescent="0.3">
      <c r="A185" t="s">
        <v>1972</v>
      </c>
      <c r="B185" t="s">
        <v>633</v>
      </c>
      <c r="C185" s="4">
        <v>45882</v>
      </c>
      <c r="D185" t="s">
        <v>1779</v>
      </c>
      <c r="E185" t="s">
        <v>1775</v>
      </c>
      <c r="F185" s="3">
        <v>853970</v>
      </c>
      <c r="G185">
        <v>11.35</v>
      </c>
      <c r="H185">
        <v>60</v>
      </c>
      <c r="I185" t="s">
        <v>1785</v>
      </c>
      <c r="J185" t="s">
        <v>1777</v>
      </c>
    </row>
    <row r="186" spans="1:10" x14ac:dyDescent="0.3">
      <c r="A186" t="s">
        <v>1973</v>
      </c>
      <c r="B186" t="s">
        <v>501</v>
      </c>
      <c r="C186" s="4">
        <v>45489</v>
      </c>
      <c r="D186" t="s">
        <v>1774</v>
      </c>
      <c r="E186" t="s">
        <v>1739</v>
      </c>
      <c r="F186" s="3">
        <v>346924</v>
      </c>
      <c r="G186">
        <v>20.18</v>
      </c>
      <c r="H186">
        <v>60</v>
      </c>
      <c r="I186" t="s">
        <v>1781</v>
      </c>
      <c r="J186" t="s">
        <v>74</v>
      </c>
    </row>
    <row r="187" spans="1:10" x14ac:dyDescent="0.3">
      <c r="A187" t="s">
        <v>1974</v>
      </c>
      <c r="B187" t="s">
        <v>210</v>
      </c>
      <c r="C187" s="4">
        <v>45567</v>
      </c>
      <c r="D187" t="s">
        <v>1796</v>
      </c>
      <c r="E187" t="s">
        <v>1797</v>
      </c>
      <c r="F187" s="3">
        <v>75000</v>
      </c>
      <c r="G187">
        <v>15.76</v>
      </c>
      <c r="H187">
        <v>6</v>
      </c>
      <c r="I187" t="s">
        <v>1781</v>
      </c>
      <c r="J187" t="s">
        <v>1777</v>
      </c>
    </row>
    <row r="188" spans="1:10" x14ac:dyDescent="0.3">
      <c r="A188" t="s">
        <v>1975</v>
      </c>
      <c r="B188" t="s">
        <v>119</v>
      </c>
      <c r="C188" s="4">
        <v>45896</v>
      </c>
      <c r="D188" t="s">
        <v>1774</v>
      </c>
      <c r="E188" t="s">
        <v>1775</v>
      </c>
      <c r="F188" s="3">
        <v>200000</v>
      </c>
      <c r="G188">
        <v>10.71</v>
      </c>
      <c r="H188">
        <v>12</v>
      </c>
      <c r="I188" t="s">
        <v>1781</v>
      </c>
      <c r="J188" t="s">
        <v>111</v>
      </c>
    </row>
    <row r="189" spans="1:10" x14ac:dyDescent="0.3">
      <c r="A189" t="s">
        <v>1976</v>
      </c>
      <c r="B189" t="s">
        <v>1103</v>
      </c>
      <c r="C189" s="4">
        <v>45427</v>
      </c>
      <c r="D189" t="s">
        <v>1783</v>
      </c>
      <c r="E189" t="s">
        <v>1797</v>
      </c>
      <c r="F189" s="3">
        <v>282069</v>
      </c>
      <c r="G189">
        <v>9.3699999999999992</v>
      </c>
      <c r="H189">
        <v>60</v>
      </c>
      <c r="I189" t="s">
        <v>1785</v>
      </c>
      <c r="J189" t="s">
        <v>111</v>
      </c>
    </row>
    <row r="190" spans="1:10" x14ac:dyDescent="0.3">
      <c r="A190" t="s">
        <v>1977</v>
      </c>
      <c r="B190" t="s">
        <v>265</v>
      </c>
      <c r="C190" s="4">
        <v>45575</v>
      </c>
      <c r="D190" t="s">
        <v>1774</v>
      </c>
      <c r="E190" t="s">
        <v>1797</v>
      </c>
      <c r="F190" s="3">
        <v>642485</v>
      </c>
      <c r="G190">
        <v>9.83</v>
      </c>
      <c r="H190">
        <v>6</v>
      </c>
      <c r="I190" t="s">
        <v>1776</v>
      </c>
      <c r="J190" t="s">
        <v>74</v>
      </c>
    </row>
    <row r="191" spans="1:10" x14ac:dyDescent="0.3">
      <c r="A191" t="s">
        <v>1978</v>
      </c>
      <c r="B191" t="s">
        <v>428</v>
      </c>
      <c r="C191" s="4">
        <v>45503</v>
      </c>
      <c r="D191" t="s">
        <v>1783</v>
      </c>
      <c r="E191" t="s">
        <v>1792</v>
      </c>
      <c r="F191" s="3">
        <v>100000</v>
      </c>
      <c r="G191">
        <v>12.93</v>
      </c>
      <c r="H191">
        <v>60</v>
      </c>
      <c r="I191" t="s">
        <v>1776</v>
      </c>
      <c r="J191" t="s">
        <v>74</v>
      </c>
    </row>
    <row r="192" spans="1:10" x14ac:dyDescent="0.3">
      <c r="A192" t="s">
        <v>1979</v>
      </c>
      <c r="B192" t="s">
        <v>524</v>
      </c>
      <c r="C192" s="4">
        <v>45746</v>
      </c>
      <c r="D192" t="s">
        <v>1774</v>
      </c>
      <c r="E192" t="s">
        <v>1739</v>
      </c>
      <c r="F192" s="3">
        <v>705899</v>
      </c>
      <c r="G192">
        <v>12.74</v>
      </c>
      <c r="H192">
        <v>24</v>
      </c>
      <c r="I192" t="s">
        <v>1776</v>
      </c>
      <c r="J192" t="s">
        <v>74</v>
      </c>
    </row>
    <row r="193" spans="1:10" x14ac:dyDescent="0.3">
      <c r="A193" t="s">
        <v>1980</v>
      </c>
      <c r="B193" t="s">
        <v>258</v>
      </c>
      <c r="C193" s="4">
        <v>45739</v>
      </c>
      <c r="D193" t="s">
        <v>1779</v>
      </c>
      <c r="E193" t="s">
        <v>1796</v>
      </c>
      <c r="F193" s="3">
        <v>50000</v>
      </c>
      <c r="G193">
        <v>9.24</v>
      </c>
      <c r="H193">
        <v>6</v>
      </c>
      <c r="I193" t="s">
        <v>1799</v>
      </c>
      <c r="J193" t="s">
        <v>74</v>
      </c>
    </row>
    <row r="194" spans="1:10" x14ac:dyDescent="0.3">
      <c r="A194" t="s">
        <v>1981</v>
      </c>
      <c r="B194" t="s">
        <v>720</v>
      </c>
      <c r="C194" s="4">
        <v>45500</v>
      </c>
      <c r="D194" t="s">
        <v>1796</v>
      </c>
      <c r="E194" t="s">
        <v>1788</v>
      </c>
      <c r="F194" s="3">
        <v>200000</v>
      </c>
      <c r="G194">
        <v>10.62</v>
      </c>
      <c r="H194">
        <v>6</v>
      </c>
      <c r="I194" t="s">
        <v>1776</v>
      </c>
      <c r="J194" t="s">
        <v>86</v>
      </c>
    </row>
    <row r="195" spans="1:10" x14ac:dyDescent="0.3">
      <c r="A195" t="s">
        <v>1982</v>
      </c>
      <c r="B195" t="s">
        <v>847</v>
      </c>
      <c r="C195" s="4">
        <v>45892</v>
      </c>
      <c r="D195" t="s">
        <v>1774</v>
      </c>
      <c r="E195" t="s">
        <v>1739</v>
      </c>
      <c r="F195" s="3">
        <v>357923</v>
      </c>
      <c r="G195">
        <v>10.91</v>
      </c>
      <c r="H195">
        <v>36</v>
      </c>
      <c r="I195" t="s">
        <v>1781</v>
      </c>
      <c r="J195" t="s">
        <v>1777</v>
      </c>
    </row>
    <row r="196" spans="1:10" x14ac:dyDescent="0.3">
      <c r="A196" t="s">
        <v>1983</v>
      </c>
      <c r="B196" t="s">
        <v>113</v>
      </c>
      <c r="C196" s="4">
        <v>45568</v>
      </c>
      <c r="D196" t="s">
        <v>1774</v>
      </c>
      <c r="E196" t="s">
        <v>1784</v>
      </c>
      <c r="F196" s="3">
        <v>150000</v>
      </c>
      <c r="G196">
        <v>17.87</v>
      </c>
      <c r="H196">
        <v>84</v>
      </c>
      <c r="I196" t="s">
        <v>1776</v>
      </c>
      <c r="J196" t="s">
        <v>111</v>
      </c>
    </row>
    <row r="197" spans="1:10" x14ac:dyDescent="0.3">
      <c r="A197" t="s">
        <v>1984</v>
      </c>
      <c r="B197" t="s">
        <v>284</v>
      </c>
      <c r="C197" s="4">
        <v>45404</v>
      </c>
      <c r="D197" t="s">
        <v>1796</v>
      </c>
      <c r="E197" t="s">
        <v>1797</v>
      </c>
      <c r="F197" s="3">
        <v>300000</v>
      </c>
      <c r="G197">
        <v>9.69</v>
      </c>
      <c r="H197">
        <v>120</v>
      </c>
      <c r="I197" t="s">
        <v>1781</v>
      </c>
      <c r="J197" t="s">
        <v>1777</v>
      </c>
    </row>
    <row r="198" spans="1:10" x14ac:dyDescent="0.3">
      <c r="A198" t="s">
        <v>1985</v>
      </c>
      <c r="B198" t="s">
        <v>888</v>
      </c>
      <c r="C198" s="4">
        <v>45312</v>
      </c>
      <c r="D198" t="s">
        <v>1796</v>
      </c>
      <c r="E198" t="s">
        <v>1788</v>
      </c>
      <c r="F198" s="3">
        <v>75000</v>
      </c>
      <c r="G198">
        <v>18.22</v>
      </c>
      <c r="H198">
        <v>120</v>
      </c>
      <c r="I198" t="s">
        <v>1781</v>
      </c>
      <c r="J198" t="s">
        <v>111</v>
      </c>
    </row>
    <row r="199" spans="1:10" x14ac:dyDescent="0.3">
      <c r="A199" t="s">
        <v>1986</v>
      </c>
      <c r="B199" t="s">
        <v>265</v>
      </c>
      <c r="C199" s="4">
        <v>45934</v>
      </c>
      <c r="D199" t="s">
        <v>1774</v>
      </c>
      <c r="E199" t="s">
        <v>1784</v>
      </c>
      <c r="F199" s="3">
        <v>593991</v>
      </c>
      <c r="G199">
        <v>12.43</v>
      </c>
      <c r="H199">
        <v>120</v>
      </c>
      <c r="I199" t="s">
        <v>1776</v>
      </c>
      <c r="J199" t="s">
        <v>74</v>
      </c>
    </row>
    <row r="200" spans="1:10" x14ac:dyDescent="0.3">
      <c r="A200" t="s">
        <v>1987</v>
      </c>
      <c r="B200" t="s">
        <v>287</v>
      </c>
      <c r="C200" s="4">
        <v>45293</v>
      </c>
      <c r="D200" t="s">
        <v>1796</v>
      </c>
      <c r="E200" t="s">
        <v>1797</v>
      </c>
      <c r="F200" s="3">
        <v>236473</v>
      </c>
      <c r="G200">
        <v>17.670000000000002</v>
      </c>
      <c r="H200">
        <v>36</v>
      </c>
      <c r="I200" t="s">
        <v>1789</v>
      </c>
      <c r="J200" t="s">
        <v>74</v>
      </c>
    </row>
    <row r="201" spans="1:10" x14ac:dyDescent="0.3">
      <c r="A201" t="s">
        <v>1988</v>
      </c>
      <c r="B201" t="s">
        <v>246</v>
      </c>
      <c r="C201" s="4">
        <v>45892</v>
      </c>
      <c r="D201" t="s">
        <v>1787</v>
      </c>
      <c r="E201" t="s">
        <v>1775</v>
      </c>
      <c r="F201" s="3">
        <v>500000</v>
      </c>
      <c r="G201">
        <v>15.27</v>
      </c>
      <c r="H201">
        <v>12</v>
      </c>
      <c r="I201" t="s">
        <v>1776</v>
      </c>
      <c r="J201" t="s">
        <v>111</v>
      </c>
    </row>
    <row r="202" spans="1:10" x14ac:dyDescent="0.3">
      <c r="A202" t="s">
        <v>1989</v>
      </c>
      <c r="B202" t="s">
        <v>88</v>
      </c>
      <c r="C202" s="4">
        <v>46203</v>
      </c>
      <c r="D202" t="s">
        <v>1796</v>
      </c>
      <c r="E202" t="s">
        <v>1739</v>
      </c>
      <c r="F202" s="3">
        <v>50000</v>
      </c>
      <c r="G202">
        <v>17.61</v>
      </c>
      <c r="H202">
        <v>120</v>
      </c>
      <c r="I202" t="s">
        <v>1785</v>
      </c>
      <c r="J202" t="s">
        <v>111</v>
      </c>
    </row>
    <row r="203" spans="1:10" x14ac:dyDescent="0.3">
      <c r="A203" t="s">
        <v>1990</v>
      </c>
      <c r="B203" t="s">
        <v>119</v>
      </c>
      <c r="C203" s="4">
        <v>45733</v>
      </c>
      <c r="D203" t="s">
        <v>1783</v>
      </c>
      <c r="E203" t="s">
        <v>1784</v>
      </c>
      <c r="F203" s="3">
        <v>57229</v>
      </c>
      <c r="G203">
        <v>15.28</v>
      </c>
      <c r="H203">
        <v>18</v>
      </c>
      <c r="I203" t="s">
        <v>1785</v>
      </c>
      <c r="J203" t="s">
        <v>86</v>
      </c>
    </row>
    <row r="204" spans="1:10" x14ac:dyDescent="0.3">
      <c r="A204" t="s">
        <v>1991</v>
      </c>
      <c r="B204" t="s">
        <v>255</v>
      </c>
      <c r="C204" s="4">
        <v>45501</v>
      </c>
      <c r="D204" t="s">
        <v>1783</v>
      </c>
      <c r="E204" t="s">
        <v>1797</v>
      </c>
      <c r="F204" s="3">
        <v>600967</v>
      </c>
      <c r="G204">
        <v>20.38</v>
      </c>
      <c r="H204">
        <v>120</v>
      </c>
      <c r="I204" t="s">
        <v>1776</v>
      </c>
      <c r="J204" t="s">
        <v>111</v>
      </c>
    </row>
    <row r="205" spans="1:10" x14ac:dyDescent="0.3">
      <c r="A205" t="s">
        <v>1992</v>
      </c>
      <c r="B205" t="s">
        <v>1170</v>
      </c>
      <c r="C205" s="4">
        <v>45518</v>
      </c>
      <c r="D205" t="s">
        <v>1783</v>
      </c>
      <c r="E205" t="s">
        <v>1784</v>
      </c>
      <c r="F205" s="3">
        <v>269082</v>
      </c>
      <c r="G205">
        <v>11.58</v>
      </c>
      <c r="H205">
        <v>60</v>
      </c>
      <c r="I205" t="s">
        <v>1785</v>
      </c>
      <c r="J205" t="s">
        <v>74</v>
      </c>
    </row>
    <row r="206" spans="1:10" x14ac:dyDescent="0.3">
      <c r="A206" t="s">
        <v>1993</v>
      </c>
      <c r="B206" t="s">
        <v>609</v>
      </c>
      <c r="C206" s="4">
        <v>45950</v>
      </c>
      <c r="D206" t="s">
        <v>1783</v>
      </c>
      <c r="E206" t="s">
        <v>1788</v>
      </c>
      <c r="F206" s="3">
        <v>511688</v>
      </c>
      <c r="G206">
        <v>19.579999999999998</v>
      </c>
      <c r="H206">
        <v>12</v>
      </c>
      <c r="I206" t="s">
        <v>1785</v>
      </c>
      <c r="J206" t="s">
        <v>74</v>
      </c>
    </row>
    <row r="207" spans="1:10" x14ac:dyDescent="0.3">
      <c r="A207" t="s">
        <v>1994</v>
      </c>
      <c r="B207" t="s">
        <v>1094</v>
      </c>
      <c r="C207" s="4">
        <v>46102</v>
      </c>
      <c r="D207" t="s">
        <v>1774</v>
      </c>
      <c r="E207" t="s">
        <v>1784</v>
      </c>
      <c r="F207" s="3">
        <v>822675</v>
      </c>
      <c r="G207">
        <v>14.21</v>
      </c>
      <c r="H207">
        <v>36</v>
      </c>
      <c r="I207" t="s">
        <v>1789</v>
      </c>
      <c r="J207" t="s">
        <v>86</v>
      </c>
    </row>
    <row r="208" spans="1:10" x14ac:dyDescent="0.3">
      <c r="A208" t="s">
        <v>1995</v>
      </c>
      <c r="B208" t="s">
        <v>852</v>
      </c>
      <c r="C208" s="4">
        <v>46240</v>
      </c>
      <c r="D208" t="s">
        <v>1779</v>
      </c>
      <c r="E208" t="s">
        <v>1788</v>
      </c>
      <c r="F208" s="3">
        <v>896755</v>
      </c>
      <c r="G208">
        <v>9.6999999999999993</v>
      </c>
      <c r="H208">
        <v>120</v>
      </c>
      <c r="I208" t="s">
        <v>1789</v>
      </c>
      <c r="J208" t="s">
        <v>74</v>
      </c>
    </row>
    <row r="209" spans="1:10" x14ac:dyDescent="0.3">
      <c r="A209" t="s">
        <v>1996</v>
      </c>
      <c r="B209" t="s">
        <v>914</v>
      </c>
      <c r="C209" s="4">
        <v>45292</v>
      </c>
      <c r="D209" t="s">
        <v>1779</v>
      </c>
      <c r="E209" t="s">
        <v>1775</v>
      </c>
      <c r="F209" s="3">
        <v>300000</v>
      </c>
      <c r="G209">
        <v>16.850000000000001</v>
      </c>
      <c r="H209">
        <v>6</v>
      </c>
      <c r="I209" t="s">
        <v>1799</v>
      </c>
      <c r="J209" t="s">
        <v>86</v>
      </c>
    </row>
    <row r="210" spans="1:10" x14ac:dyDescent="0.3">
      <c r="A210" t="s">
        <v>1997</v>
      </c>
      <c r="B210" t="s">
        <v>919</v>
      </c>
      <c r="C210" s="4">
        <v>45975</v>
      </c>
      <c r="D210" t="s">
        <v>1774</v>
      </c>
      <c r="E210" t="s">
        <v>1797</v>
      </c>
      <c r="F210" s="3">
        <v>100000</v>
      </c>
      <c r="G210">
        <v>9.0399999999999991</v>
      </c>
      <c r="H210">
        <v>18</v>
      </c>
      <c r="I210" t="s">
        <v>1785</v>
      </c>
      <c r="J210" t="s">
        <v>111</v>
      </c>
    </row>
    <row r="211" spans="1:10" x14ac:dyDescent="0.3">
      <c r="A211" t="s">
        <v>1998</v>
      </c>
      <c r="B211" t="s">
        <v>564</v>
      </c>
      <c r="C211" s="4">
        <v>45494</v>
      </c>
      <c r="D211" t="s">
        <v>1779</v>
      </c>
      <c r="E211" t="s">
        <v>1796</v>
      </c>
      <c r="F211" s="3">
        <v>750000</v>
      </c>
      <c r="G211">
        <v>15.92</v>
      </c>
      <c r="H211">
        <v>6</v>
      </c>
      <c r="I211" t="s">
        <v>1785</v>
      </c>
      <c r="J211" t="s">
        <v>111</v>
      </c>
    </row>
    <row r="212" spans="1:10" x14ac:dyDescent="0.3">
      <c r="A212" t="s">
        <v>1999</v>
      </c>
      <c r="B212" t="s">
        <v>728</v>
      </c>
      <c r="C212" s="4">
        <v>45667</v>
      </c>
      <c r="D212" t="s">
        <v>1779</v>
      </c>
      <c r="E212" t="s">
        <v>1796</v>
      </c>
      <c r="F212" s="3">
        <v>838063</v>
      </c>
      <c r="G212">
        <v>16.760000000000002</v>
      </c>
      <c r="H212">
        <v>18</v>
      </c>
      <c r="I212" t="s">
        <v>1776</v>
      </c>
      <c r="J212" t="s">
        <v>86</v>
      </c>
    </row>
    <row r="213" spans="1:10" x14ac:dyDescent="0.3">
      <c r="A213" t="s">
        <v>2000</v>
      </c>
      <c r="B213" t="s">
        <v>289</v>
      </c>
      <c r="C213" s="4">
        <v>45467</v>
      </c>
      <c r="D213" t="s">
        <v>1779</v>
      </c>
      <c r="E213" t="s">
        <v>1784</v>
      </c>
      <c r="F213" s="3">
        <v>1000000</v>
      </c>
      <c r="G213">
        <v>9.52</v>
      </c>
      <c r="H213">
        <v>18</v>
      </c>
      <c r="I213" t="s">
        <v>1785</v>
      </c>
      <c r="J213" t="s">
        <v>111</v>
      </c>
    </row>
    <row r="214" spans="1:10" x14ac:dyDescent="0.3">
      <c r="A214" t="s">
        <v>2001</v>
      </c>
      <c r="B214" t="s">
        <v>180</v>
      </c>
      <c r="C214" s="4">
        <v>45717</v>
      </c>
      <c r="D214" t="s">
        <v>1774</v>
      </c>
      <c r="E214" t="s">
        <v>1788</v>
      </c>
      <c r="F214" s="3">
        <v>150000</v>
      </c>
      <c r="G214">
        <v>17.059999999999999</v>
      </c>
      <c r="H214">
        <v>120</v>
      </c>
      <c r="I214" t="s">
        <v>1781</v>
      </c>
      <c r="J214" t="s">
        <v>74</v>
      </c>
    </row>
    <row r="215" spans="1:10" x14ac:dyDescent="0.3">
      <c r="A215" t="s">
        <v>2002</v>
      </c>
      <c r="B215" t="s">
        <v>680</v>
      </c>
      <c r="C215" s="4">
        <v>46199</v>
      </c>
      <c r="D215" t="s">
        <v>1787</v>
      </c>
      <c r="E215" t="s">
        <v>1796</v>
      </c>
      <c r="F215" s="3">
        <v>663136</v>
      </c>
      <c r="G215">
        <v>19.940000000000001</v>
      </c>
      <c r="H215">
        <v>60</v>
      </c>
      <c r="I215" t="s">
        <v>1785</v>
      </c>
      <c r="J215" t="s">
        <v>1777</v>
      </c>
    </row>
    <row r="216" spans="1:10" x14ac:dyDescent="0.3">
      <c r="A216" t="s">
        <v>2003</v>
      </c>
      <c r="B216" t="s">
        <v>466</v>
      </c>
      <c r="C216" s="4">
        <v>45577</v>
      </c>
      <c r="D216" t="s">
        <v>1774</v>
      </c>
      <c r="E216" t="s">
        <v>1739</v>
      </c>
      <c r="F216" s="3">
        <v>150000</v>
      </c>
      <c r="G216">
        <v>12.05</v>
      </c>
      <c r="H216">
        <v>120</v>
      </c>
      <c r="I216" t="s">
        <v>1776</v>
      </c>
      <c r="J216" t="s">
        <v>86</v>
      </c>
    </row>
    <row r="217" spans="1:10" x14ac:dyDescent="0.3">
      <c r="A217" t="s">
        <v>2004</v>
      </c>
      <c r="B217" t="s">
        <v>759</v>
      </c>
      <c r="C217" s="4">
        <v>46187</v>
      </c>
      <c r="D217" t="s">
        <v>1774</v>
      </c>
      <c r="E217" t="s">
        <v>1784</v>
      </c>
      <c r="F217" s="3">
        <v>875297</v>
      </c>
      <c r="G217">
        <v>11.26</v>
      </c>
      <c r="H217">
        <v>120</v>
      </c>
      <c r="I217" t="s">
        <v>1781</v>
      </c>
      <c r="J217" t="s">
        <v>86</v>
      </c>
    </row>
    <row r="218" spans="1:10" x14ac:dyDescent="0.3">
      <c r="A218" t="s">
        <v>2005</v>
      </c>
      <c r="B218" t="s">
        <v>811</v>
      </c>
      <c r="C218" s="4">
        <v>45865</v>
      </c>
      <c r="D218" t="s">
        <v>1774</v>
      </c>
      <c r="E218" t="s">
        <v>1784</v>
      </c>
      <c r="F218" s="3">
        <v>721212</v>
      </c>
      <c r="G218">
        <v>14.72</v>
      </c>
      <c r="H218">
        <v>120</v>
      </c>
      <c r="I218" t="s">
        <v>1781</v>
      </c>
      <c r="J218" t="s">
        <v>111</v>
      </c>
    </row>
    <row r="219" spans="1:10" x14ac:dyDescent="0.3">
      <c r="A219" t="s">
        <v>2006</v>
      </c>
      <c r="B219" t="s">
        <v>435</v>
      </c>
      <c r="C219" s="4">
        <v>45538</v>
      </c>
      <c r="D219" t="s">
        <v>1787</v>
      </c>
      <c r="E219" t="s">
        <v>1784</v>
      </c>
      <c r="F219" s="3">
        <v>573112</v>
      </c>
      <c r="G219">
        <v>11.4</v>
      </c>
      <c r="H219">
        <v>120</v>
      </c>
      <c r="I219" t="s">
        <v>1785</v>
      </c>
      <c r="J219" t="s">
        <v>86</v>
      </c>
    </row>
    <row r="220" spans="1:10" x14ac:dyDescent="0.3">
      <c r="A220" t="s">
        <v>2007</v>
      </c>
      <c r="B220" t="s">
        <v>64</v>
      </c>
      <c r="C220" s="4">
        <v>45557</v>
      </c>
      <c r="D220" t="s">
        <v>1774</v>
      </c>
      <c r="E220" t="s">
        <v>1784</v>
      </c>
      <c r="F220" s="3">
        <v>1000000</v>
      </c>
      <c r="G220">
        <v>13.63</v>
      </c>
      <c r="H220">
        <v>24</v>
      </c>
      <c r="I220" t="s">
        <v>1785</v>
      </c>
      <c r="J220" t="s">
        <v>111</v>
      </c>
    </row>
    <row r="221" spans="1:10" x14ac:dyDescent="0.3">
      <c r="A221" t="s">
        <v>2008</v>
      </c>
      <c r="B221" t="s">
        <v>524</v>
      </c>
      <c r="C221" s="4">
        <v>46007</v>
      </c>
      <c r="D221" t="s">
        <v>1787</v>
      </c>
      <c r="E221" t="s">
        <v>1739</v>
      </c>
      <c r="F221" s="3">
        <v>583115</v>
      </c>
      <c r="G221">
        <v>9.36</v>
      </c>
      <c r="H221">
        <v>120</v>
      </c>
      <c r="I221" t="s">
        <v>1785</v>
      </c>
      <c r="J221" t="s">
        <v>74</v>
      </c>
    </row>
    <row r="222" spans="1:10" x14ac:dyDescent="0.3">
      <c r="A222" t="s">
        <v>2009</v>
      </c>
      <c r="B222" t="s">
        <v>88</v>
      </c>
      <c r="C222" s="4">
        <v>45763</v>
      </c>
      <c r="D222" t="s">
        <v>1783</v>
      </c>
      <c r="E222" t="s">
        <v>1784</v>
      </c>
      <c r="F222" s="3">
        <v>200000</v>
      </c>
      <c r="G222">
        <v>17.690000000000001</v>
      </c>
      <c r="H222">
        <v>6</v>
      </c>
      <c r="I222" t="s">
        <v>1799</v>
      </c>
      <c r="J222" t="s">
        <v>86</v>
      </c>
    </row>
    <row r="223" spans="1:10" x14ac:dyDescent="0.3">
      <c r="A223" t="s">
        <v>2010</v>
      </c>
      <c r="B223" t="s">
        <v>135</v>
      </c>
      <c r="C223" s="4">
        <v>46175</v>
      </c>
      <c r="D223" t="s">
        <v>1796</v>
      </c>
      <c r="E223" t="s">
        <v>1796</v>
      </c>
      <c r="F223" s="3">
        <v>71821</v>
      </c>
      <c r="G223">
        <v>17.59</v>
      </c>
      <c r="H223">
        <v>12</v>
      </c>
      <c r="I223" t="s">
        <v>1785</v>
      </c>
      <c r="J223" t="s">
        <v>111</v>
      </c>
    </row>
    <row r="224" spans="1:10" x14ac:dyDescent="0.3">
      <c r="A224" t="s">
        <v>2011</v>
      </c>
      <c r="B224" t="s">
        <v>113</v>
      </c>
      <c r="C224" s="4">
        <v>45784</v>
      </c>
      <c r="D224" t="s">
        <v>1787</v>
      </c>
      <c r="E224" t="s">
        <v>1797</v>
      </c>
      <c r="F224" s="3">
        <v>143033</v>
      </c>
      <c r="G224">
        <v>12.96</v>
      </c>
      <c r="H224">
        <v>6</v>
      </c>
      <c r="I224" t="s">
        <v>1799</v>
      </c>
      <c r="J224" t="s">
        <v>74</v>
      </c>
    </row>
    <row r="225" spans="1:10" x14ac:dyDescent="0.3">
      <c r="A225" t="s">
        <v>2012</v>
      </c>
      <c r="B225" t="s">
        <v>392</v>
      </c>
      <c r="C225" s="4">
        <v>45612</v>
      </c>
      <c r="D225" t="s">
        <v>1796</v>
      </c>
      <c r="E225" t="s">
        <v>1792</v>
      </c>
      <c r="F225" s="3">
        <v>75000</v>
      </c>
      <c r="G225">
        <v>12.01</v>
      </c>
      <c r="H225">
        <v>18</v>
      </c>
      <c r="I225" t="s">
        <v>1785</v>
      </c>
      <c r="J225" t="s">
        <v>111</v>
      </c>
    </row>
    <row r="226" spans="1:10" x14ac:dyDescent="0.3">
      <c r="A226" t="s">
        <v>2013</v>
      </c>
      <c r="B226" t="s">
        <v>515</v>
      </c>
      <c r="C226" s="4">
        <v>45906</v>
      </c>
      <c r="D226" t="s">
        <v>1796</v>
      </c>
      <c r="E226" t="s">
        <v>1739</v>
      </c>
      <c r="F226" s="3">
        <v>606245</v>
      </c>
      <c r="G226">
        <v>14.77</v>
      </c>
      <c r="H226">
        <v>12</v>
      </c>
      <c r="I226" t="s">
        <v>1785</v>
      </c>
      <c r="J226" t="s">
        <v>74</v>
      </c>
    </row>
    <row r="227" spans="1:10" x14ac:dyDescent="0.3">
      <c r="A227" t="s">
        <v>2014</v>
      </c>
      <c r="B227" t="s">
        <v>714</v>
      </c>
      <c r="C227" s="4">
        <v>45805</v>
      </c>
      <c r="D227" t="s">
        <v>1779</v>
      </c>
      <c r="E227" t="s">
        <v>1739</v>
      </c>
      <c r="F227" s="3">
        <v>84522</v>
      </c>
      <c r="G227">
        <v>8.98</v>
      </c>
      <c r="H227">
        <v>60</v>
      </c>
      <c r="I227" t="s">
        <v>1776</v>
      </c>
      <c r="J227" t="s">
        <v>86</v>
      </c>
    </row>
    <row r="228" spans="1:10" x14ac:dyDescent="0.3">
      <c r="A228" t="s">
        <v>2015</v>
      </c>
      <c r="B228" t="s">
        <v>646</v>
      </c>
      <c r="C228" s="4">
        <v>45905</v>
      </c>
      <c r="D228" t="s">
        <v>1779</v>
      </c>
      <c r="E228" t="s">
        <v>1788</v>
      </c>
      <c r="F228" s="3">
        <v>200000</v>
      </c>
      <c r="G228">
        <v>16.14</v>
      </c>
      <c r="H228">
        <v>12</v>
      </c>
      <c r="I228" t="s">
        <v>1776</v>
      </c>
      <c r="J228" t="s">
        <v>74</v>
      </c>
    </row>
    <row r="229" spans="1:10" x14ac:dyDescent="0.3">
      <c r="A229" t="s">
        <v>2016</v>
      </c>
      <c r="B229" t="s">
        <v>223</v>
      </c>
      <c r="C229" s="4">
        <v>45834</v>
      </c>
      <c r="D229" t="s">
        <v>1783</v>
      </c>
      <c r="E229" t="s">
        <v>1796</v>
      </c>
      <c r="F229" s="3">
        <v>500000</v>
      </c>
      <c r="G229">
        <v>13.46</v>
      </c>
      <c r="H229">
        <v>36</v>
      </c>
      <c r="I229" t="s">
        <v>1776</v>
      </c>
      <c r="J229" t="s">
        <v>74</v>
      </c>
    </row>
    <row r="230" spans="1:10" x14ac:dyDescent="0.3">
      <c r="A230" t="s">
        <v>2017</v>
      </c>
      <c r="B230" t="s">
        <v>138</v>
      </c>
      <c r="C230" s="4">
        <v>45670</v>
      </c>
      <c r="D230" t="s">
        <v>1774</v>
      </c>
      <c r="E230" t="s">
        <v>1792</v>
      </c>
      <c r="F230" s="3">
        <v>423999</v>
      </c>
      <c r="G230">
        <v>15.42</v>
      </c>
      <c r="H230">
        <v>6</v>
      </c>
      <c r="I230" t="s">
        <v>1789</v>
      </c>
      <c r="J230" t="s">
        <v>86</v>
      </c>
    </row>
    <row r="231" spans="1:10" x14ac:dyDescent="0.3">
      <c r="A231" t="s">
        <v>2018</v>
      </c>
      <c r="B231" t="s">
        <v>609</v>
      </c>
      <c r="C231" s="4">
        <v>45932</v>
      </c>
      <c r="D231" t="s">
        <v>1774</v>
      </c>
      <c r="E231" t="s">
        <v>1739</v>
      </c>
      <c r="F231" s="3">
        <v>466489</v>
      </c>
      <c r="G231">
        <v>15.73</v>
      </c>
      <c r="H231">
        <v>120</v>
      </c>
      <c r="I231" t="s">
        <v>1776</v>
      </c>
      <c r="J231" t="s">
        <v>74</v>
      </c>
    </row>
    <row r="232" spans="1:10" x14ac:dyDescent="0.3">
      <c r="A232" t="s">
        <v>2019</v>
      </c>
      <c r="B232" t="s">
        <v>350</v>
      </c>
      <c r="C232" s="4">
        <v>46097</v>
      </c>
      <c r="D232" t="s">
        <v>1787</v>
      </c>
      <c r="E232" t="s">
        <v>1796</v>
      </c>
      <c r="F232" s="3">
        <v>849884</v>
      </c>
      <c r="G232">
        <v>10.01</v>
      </c>
      <c r="H232">
        <v>6</v>
      </c>
      <c r="I232" t="s">
        <v>1785</v>
      </c>
      <c r="J232" t="s">
        <v>86</v>
      </c>
    </row>
    <row r="233" spans="1:10" x14ac:dyDescent="0.3">
      <c r="A233" t="s">
        <v>2020</v>
      </c>
      <c r="B233" t="s">
        <v>309</v>
      </c>
      <c r="C233" s="4">
        <v>46242</v>
      </c>
      <c r="D233" t="s">
        <v>1787</v>
      </c>
      <c r="E233" t="s">
        <v>1784</v>
      </c>
      <c r="F233" s="3">
        <v>500000</v>
      </c>
      <c r="G233">
        <v>19.18</v>
      </c>
      <c r="H233">
        <v>120</v>
      </c>
      <c r="I233" t="s">
        <v>1799</v>
      </c>
      <c r="J233" t="s">
        <v>74</v>
      </c>
    </row>
    <row r="234" spans="1:10" x14ac:dyDescent="0.3">
      <c r="A234" t="s">
        <v>2021</v>
      </c>
      <c r="B234" t="s">
        <v>474</v>
      </c>
      <c r="C234" s="4">
        <v>45932</v>
      </c>
      <c r="D234" t="s">
        <v>1787</v>
      </c>
      <c r="E234" t="s">
        <v>1739</v>
      </c>
      <c r="F234" s="3">
        <v>715049</v>
      </c>
      <c r="G234">
        <v>14.48</v>
      </c>
      <c r="H234">
        <v>24</v>
      </c>
      <c r="I234" t="s">
        <v>1776</v>
      </c>
      <c r="J234" t="s">
        <v>1777</v>
      </c>
    </row>
    <row r="235" spans="1:10" x14ac:dyDescent="0.3">
      <c r="A235" t="s">
        <v>2022</v>
      </c>
      <c r="B235" t="s">
        <v>428</v>
      </c>
      <c r="C235" s="4">
        <v>46027</v>
      </c>
      <c r="D235" t="s">
        <v>1783</v>
      </c>
      <c r="E235" t="s">
        <v>1739</v>
      </c>
      <c r="F235" s="3">
        <v>593985</v>
      </c>
      <c r="G235">
        <v>11.71</v>
      </c>
      <c r="H235">
        <v>18</v>
      </c>
      <c r="I235" t="s">
        <v>1789</v>
      </c>
      <c r="J235" t="s">
        <v>111</v>
      </c>
    </row>
    <row r="236" spans="1:10" x14ac:dyDescent="0.3">
      <c r="A236" t="s">
        <v>2023</v>
      </c>
      <c r="B236" t="s">
        <v>448</v>
      </c>
      <c r="C236" s="4">
        <v>46005</v>
      </c>
      <c r="D236" t="s">
        <v>1787</v>
      </c>
      <c r="E236" t="s">
        <v>1775</v>
      </c>
      <c r="F236" s="3">
        <v>200000</v>
      </c>
      <c r="G236">
        <v>16.239999999999998</v>
      </c>
      <c r="H236">
        <v>36</v>
      </c>
      <c r="I236" t="s">
        <v>1776</v>
      </c>
      <c r="J236" t="s">
        <v>111</v>
      </c>
    </row>
    <row r="237" spans="1:10" x14ac:dyDescent="0.3">
      <c r="A237" t="s">
        <v>2024</v>
      </c>
      <c r="B237" t="s">
        <v>196</v>
      </c>
      <c r="C237" s="4">
        <v>45313</v>
      </c>
      <c r="D237" t="s">
        <v>1796</v>
      </c>
      <c r="E237" t="s">
        <v>1797</v>
      </c>
      <c r="F237" s="3">
        <v>500000</v>
      </c>
      <c r="G237">
        <v>17.2</v>
      </c>
      <c r="H237">
        <v>120</v>
      </c>
      <c r="I237" t="s">
        <v>1776</v>
      </c>
      <c r="J237" t="s">
        <v>86</v>
      </c>
    </row>
    <row r="238" spans="1:10" x14ac:dyDescent="0.3">
      <c r="A238" t="s">
        <v>2025</v>
      </c>
      <c r="B238" t="s">
        <v>135</v>
      </c>
      <c r="C238" s="4">
        <v>45609</v>
      </c>
      <c r="D238" t="s">
        <v>1779</v>
      </c>
      <c r="E238" t="s">
        <v>1792</v>
      </c>
      <c r="F238" s="3">
        <v>304083</v>
      </c>
      <c r="G238">
        <v>8.99</v>
      </c>
      <c r="H238">
        <v>60</v>
      </c>
      <c r="I238" t="s">
        <v>1785</v>
      </c>
      <c r="J238" t="s">
        <v>1777</v>
      </c>
    </row>
    <row r="239" spans="1:10" x14ac:dyDescent="0.3">
      <c r="A239" t="s">
        <v>2026</v>
      </c>
      <c r="B239" t="s">
        <v>599</v>
      </c>
      <c r="C239" s="4">
        <v>45452</v>
      </c>
      <c r="D239" t="s">
        <v>1783</v>
      </c>
      <c r="E239" t="s">
        <v>1796</v>
      </c>
      <c r="F239" s="3">
        <v>300000</v>
      </c>
      <c r="G239">
        <v>13.34</v>
      </c>
      <c r="H239">
        <v>24</v>
      </c>
      <c r="I239" t="s">
        <v>1799</v>
      </c>
      <c r="J239" t="s">
        <v>74</v>
      </c>
    </row>
    <row r="240" spans="1:10" x14ac:dyDescent="0.3">
      <c r="A240" t="s">
        <v>2027</v>
      </c>
      <c r="B240" t="s">
        <v>1058</v>
      </c>
      <c r="C240" s="4">
        <v>45640</v>
      </c>
      <c r="D240" t="s">
        <v>1774</v>
      </c>
      <c r="E240" t="s">
        <v>1792</v>
      </c>
      <c r="F240" s="3">
        <v>236036</v>
      </c>
      <c r="G240">
        <v>19.440000000000001</v>
      </c>
      <c r="H240">
        <v>6</v>
      </c>
      <c r="I240" t="s">
        <v>1789</v>
      </c>
      <c r="J240" t="s">
        <v>1777</v>
      </c>
    </row>
    <row r="241" spans="1:10" x14ac:dyDescent="0.3">
      <c r="A241" t="s">
        <v>2028</v>
      </c>
      <c r="B241" t="s">
        <v>599</v>
      </c>
      <c r="C241" s="4">
        <v>45678</v>
      </c>
      <c r="D241" t="s">
        <v>1787</v>
      </c>
      <c r="E241" t="s">
        <v>1775</v>
      </c>
      <c r="F241" s="3">
        <v>200000</v>
      </c>
      <c r="G241">
        <v>20.02</v>
      </c>
      <c r="H241">
        <v>120</v>
      </c>
      <c r="I241" t="s">
        <v>1776</v>
      </c>
      <c r="J241" t="s">
        <v>86</v>
      </c>
    </row>
    <row r="242" spans="1:10" x14ac:dyDescent="0.3">
      <c r="A242" t="s">
        <v>2029</v>
      </c>
      <c r="B242" t="s">
        <v>1170</v>
      </c>
      <c r="C242" s="4">
        <v>46082</v>
      </c>
      <c r="D242" t="s">
        <v>1774</v>
      </c>
      <c r="E242" t="s">
        <v>1775</v>
      </c>
      <c r="F242" s="3">
        <v>75000</v>
      </c>
      <c r="G242">
        <v>16.87</v>
      </c>
      <c r="H242">
        <v>120</v>
      </c>
      <c r="I242" t="s">
        <v>1785</v>
      </c>
      <c r="J242" t="s">
        <v>74</v>
      </c>
    </row>
    <row r="243" spans="1:10" x14ac:dyDescent="0.3">
      <c r="A243" t="s">
        <v>2030</v>
      </c>
      <c r="B243" t="s">
        <v>411</v>
      </c>
      <c r="C243" s="4">
        <v>45631</v>
      </c>
      <c r="D243" t="s">
        <v>1787</v>
      </c>
      <c r="E243" t="s">
        <v>1792</v>
      </c>
      <c r="F243" s="3">
        <v>180775</v>
      </c>
      <c r="G243">
        <v>16.87</v>
      </c>
      <c r="H243">
        <v>48</v>
      </c>
      <c r="I243" t="s">
        <v>1785</v>
      </c>
      <c r="J243" t="s">
        <v>86</v>
      </c>
    </row>
    <row r="244" spans="1:10" x14ac:dyDescent="0.3">
      <c r="A244" t="s">
        <v>2031</v>
      </c>
      <c r="B244" t="s">
        <v>852</v>
      </c>
      <c r="C244" s="4">
        <v>46165</v>
      </c>
      <c r="D244" t="s">
        <v>1774</v>
      </c>
      <c r="E244" t="s">
        <v>1792</v>
      </c>
      <c r="F244" s="3">
        <v>150000</v>
      </c>
      <c r="G244">
        <v>18.39</v>
      </c>
      <c r="H244">
        <v>24</v>
      </c>
      <c r="I244" t="s">
        <v>1781</v>
      </c>
      <c r="J244" t="s">
        <v>74</v>
      </c>
    </row>
    <row r="245" spans="1:10" x14ac:dyDescent="0.3">
      <c r="A245" t="s">
        <v>2032</v>
      </c>
      <c r="B245" t="s">
        <v>130</v>
      </c>
      <c r="C245" s="4">
        <v>45893</v>
      </c>
      <c r="D245" t="s">
        <v>1774</v>
      </c>
      <c r="E245" t="s">
        <v>1792</v>
      </c>
      <c r="F245" s="3">
        <v>75000</v>
      </c>
      <c r="G245">
        <v>10.199999999999999</v>
      </c>
      <c r="H245">
        <v>12</v>
      </c>
      <c r="I245" t="s">
        <v>1785</v>
      </c>
      <c r="J245" t="s">
        <v>1777</v>
      </c>
    </row>
    <row r="246" spans="1:10" x14ac:dyDescent="0.3">
      <c r="A246" t="s">
        <v>2033</v>
      </c>
      <c r="B246" t="s">
        <v>93</v>
      </c>
      <c r="C246" s="4">
        <v>45830</v>
      </c>
      <c r="D246" t="s">
        <v>1787</v>
      </c>
      <c r="E246" t="s">
        <v>1784</v>
      </c>
      <c r="F246" s="3">
        <v>865620</v>
      </c>
      <c r="G246">
        <v>15.78</v>
      </c>
      <c r="H246">
        <v>24</v>
      </c>
      <c r="I246" t="s">
        <v>1785</v>
      </c>
      <c r="J246" t="s">
        <v>86</v>
      </c>
    </row>
    <row r="247" spans="1:10" x14ac:dyDescent="0.3">
      <c r="A247" t="s">
        <v>2034</v>
      </c>
      <c r="B247" t="s">
        <v>852</v>
      </c>
      <c r="C247" s="4">
        <v>45938</v>
      </c>
      <c r="D247" t="s">
        <v>1774</v>
      </c>
      <c r="E247" t="s">
        <v>1739</v>
      </c>
      <c r="F247" s="3">
        <v>556508</v>
      </c>
      <c r="G247">
        <v>16.23</v>
      </c>
      <c r="H247">
        <v>24</v>
      </c>
      <c r="I247" t="s">
        <v>1785</v>
      </c>
      <c r="J247" t="s">
        <v>1777</v>
      </c>
    </row>
    <row r="248" spans="1:10" x14ac:dyDescent="0.3">
      <c r="A248" t="s">
        <v>2035</v>
      </c>
      <c r="B248" t="s">
        <v>135</v>
      </c>
      <c r="C248" s="4">
        <v>46167</v>
      </c>
      <c r="D248" t="s">
        <v>1787</v>
      </c>
      <c r="E248" t="s">
        <v>1792</v>
      </c>
      <c r="F248" s="3">
        <v>75000</v>
      </c>
      <c r="G248">
        <v>14.56</v>
      </c>
      <c r="H248">
        <v>48</v>
      </c>
      <c r="I248" t="s">
        <v>1781</v>
      </c>
      <c r="J248" t="s">
        <v>86</v>
      </c>
    </row>
    <row r="249" spans="1:10" x14ac:dyDescent="0.3">
      <c r="A249" t="s">
        <v>2036</v>
      </c>
      <c r="B249" t="s">
        <v>390</v>
      </c>
      <c r="C249" s="4">
        <v>45764</v>
      </c>
      <c r="D249" t="s">
        <v>1787</v>
      </c>
      <c r="E249" t="s">
        <v>1784</v>
      </c>
      <c r="F249" s="3">
        <v>466977</v>
      </c>
      <c r="G249">
        <v>8.6300000000000008</v>
      </c>
      <c r="H249">
        <v>18</v>
      </c>
      <c r="I249" t="s">
        <v>1785</v>
      </c>
      <c r="J249" t="s">
        <v>86</v>
      </c>
    </row>
    <row r="250" spans="1:10" x14ac:dyDescent="0.3">
      <c r="A250" t="s">
        <v>2037</v>
      </c>
      <c r="B250" t="s">
        <v>170</v>
      </c>
      <c r="C250" s="4">
        <v>46122</v>
      </c>
      <c r="D250" t="s">
        <v>1779</v>
      </c>
      <c r="E250" t="s">
        <v>1784</v>
      </c>
      <c r="F250" s="3">
        <v>75000</v>
      </c>
      <c r="G250">
        <v>15.1</v>
      </c>
      <c r="H250">
        <v>120</v>
      </c>
      <c r="I250" t="s">
        <v>1781</v>
      </c>
      <c r="J250" t="s">
        <v>111</v>
      </c>
    </row>
    <row r="251" spans="1:10" x14ac:dyDescent="0.3">
      <c r="A251" t="s">
        <v>2038</v>
      </c>
      <c r="B251" t="s">
        <v>242</v>
      </c>
      <c r="C251" s="4">
        <v>45996</v>
      </c>
      <c r="D251" t="s">
        <v>1779</v>
      </c>
      <c r="E251" t="s">
        <v>1788</v>
      </c>
      <c r="F251" s="3">
        <v>750000</v>
      </c>
      <c r="G251">
        <v>17.25</v>
      </c>
      <c r="H251">
        <v>12</v>
      </c>
      <c r="I251" t="s">
        <v>1781</v>
      </c>
      <c r="J251" t="s">
        <v>1777</v>
      </c>
    </row>
    <row r="252" spans="1:10" x14ac:dyDescent="0.3">
      <c r="A252" t="s">
        <v>2039</v>
      </c>
      <c r="B252" t="s">
        <v>771</v>
      </c>
      <c r="C252" s="4">
        <v>46230</v>
      </c>
      <c r="D252" t="s">
        <v>1796</v>
      </c>
      <c r="E252" t="s">
        <v>1775</v>
      </c>
      <c r="F252" s="3">
        <v>150000</v>
      </c>
      <c r="G252">
        <v>18</v>
      </c>
      <c r="H252">
        <v>18</v>
      </c>
      <c r="I252" t="s">
        <v>1781</v>
      </c>
      <c r="J252" t="s">
        <v>86</v>
      </c>
    </row>
    <row r="253" spans="1:10" x14ac:dyDescent="0.3">
      <c r="A253" t="s">
        <v>2040</v>
      </c>
      <c r="B253" t="s">
        <v>93</v>
      </c>
      <c r="C253" s="4">
        <v>45610</v>
      </c>
      <c r="D253" t="s">
        <v>1787</v>
      </c>
      <c r="E253" t="s">
        <v>1797</v>
      </c>
      <c r="F253" s="3">
        <v>887787</v>
      </c>
      <c r="G253">
        <v>17.760000000000002</v>
      </c>
      <c r="H253">
        <v>36</v>
      </c>
      <c r="I253" t="s">
        <v>1785</v>
      </c>
      <c r="J253" t="s">
        <v>74</v>
      </c>
    </row>
    <row r="254" spans="1:10" x14ac:dyDescent="0.3">
      <c r="A254" t="s">
        <v>2041</v>
      </c>
      <c r="B254" t="s">
        <v>515</v>
      </c>
      <c r="C254" s="4">
        <v>45523</v>
      </c>
      <c r="D254" t="s">
        <v>1796</v>
      </c>
      <c r="E254" t="s">
        <v>1792</v>
      </c>
      <c r="F254" s="3">
        <v>1000000</v>
      </c>
      <c r="G254">
        <v>8.82</v>
      </c>
      <c r="H254">
        <v>18</v>
      </c>
      <c r="I254" t="s">
        <v>1799</v>
      </c>
      <c r="J254" t="s">
        <v>1777</v>
      </c>
    </row>
    <row r="255" spans="1:10" x14ac:dyDescent="0.3">
      <c r="A255" t="s">
        <v>2042</v>
      </c>
      <c r="B255" t="s">
        <v>852</v>
      </c>
      <c r="C255" s="4">
        <v>45491</v>
      </c>
      <c r="D255" t="s">
        <v>1787</v>
      </c>
      <c r="E255" t="s">
        <v>1775</v>
      </c>
      <c r="F255" s="3">
        <v>100000</v>
      </c>
      <c r="G255">
        <v>14.57</v>
      </c>
      <c r="H255">
        <v>12</v>
      </c>
      <c r="I255" t="s">
        <v>1785</v>
      </c>
      <c r="J255" t="s">
        <v>74</v>
      </c>
    </row>
    <row r="256" spans="1:10" x14ac:dyDescent="0.3">
      <c r="A256" t="s">
        <v>2043</v>
      </c>
      <c r="B256" t="s">
        <v>98</v>
      </c>
      <c r="C256" s="4">
        <v>45635</v>
      </c>
      <c r="D256" t="s">
        <v>1796</v>
      </c>
      <c r="E256" t="s">
        <v>1784</v>
      </c>
      <c r="F256" s="3">
        <v>75000</v>
      </c>
      <c r="G256">
        <v>16.850000000000001</v>
      </c>
      <c r="H256">
        <v>36</v>
      </c>
      <c r="I256" t="s">
        <v>1785</v>
      </c>
      <c r="J256" t="s">
        <v>1777</v>
      </c>
    </row>
    <row r="257" spans="1:10" x14ac:dyDescent="0.3">
      <c r="A257" t="s">
        <v>2044</v>
      </c>
      <c r="B257" t="s">
        <v>1094</v>
      </c>
      <c r="C257" s="4">
        <v>46255</v>
      </c>
      <c r="D257" t="s">
        <v>1783</v>
      </c>
      <c r="E257" t="s">
        <v>1792</v>
      </c>
      <c r="F257" s="3">
        <v>424655</v>
      </c>
      <c r="G257">
        <v>18</v>
      </c>
      <c r="H257">
        <v>24</v>
      </c>
      <c r="I257" t="s">
        <v>1776</v>
      </c>
      <c r="J257" t="s">
        <v>1777</v>
      </c>
    </row>
    <row r="258" spans="1:10" x14ac:dyDescent="0.3">
      <c r="A258" t="s">
        <v>2045</v>
      </c>
      <c r="B258" t="s">
        <v>461</v>
      </c>
      <c r="C258" s="4">
        <v>45730</v>
      </c>
      <c r="D258" t="s">
        <v>1783</v>
      </c>
      <c r="E258" t="s">
        <v>1784</v>
      </c>
      <c r="F258" s="3">
        <v>50000</v>
      </c>
      <c r="G258">
        <v>17.46</v>
      </c>
      <c r="H258">
        <v>60</v>
      </c>
      <c r="I258" t="s">
        <v>1781</v>
      </c>
      <c r="J258" t="s">
        <v>86</v>
      </c>
    </row>
    <row r="259" spans="1:10" x14ac:dyDescent="0.3">
      <c r="A259" t="s">
        <v>2046</v>
      </c>
      <c r="B259" t="s">
        <v>298</v>
      </c>
      <c r="C259" s="4">
        <v>46253</v>
      </c>
      <c r="D259" t="s">
        <v>1787</v>
      </c>
      <c r="E259" t="s">
        <v>1796</v>
      </c>
      <c r="F259" s="3">
        <v>150000</v>
      </c>
      <c r="G259">
        <v>12.84</v>
      </c>
      <c r="H259">
        <v>60</v>
      </c>
      <c r="I259" t="s">
        <v>1781</v>
      </c>
      <c r="J259" t="s">
        <v>86</v>
      </c>
    </row>
    <row r="260" spans="1:10" x14ac:dyDescent="0.3">
      <c r="A260" t="s">
        <v>2047</v>
      </c>
      <c r="B260" t="s">
        <v>708</v>
      </c>
      <c r="C260" s="4">
        <v>46129</v>
      </c>
      <c r="D260" t="s">
        <v>1774</v>
      </c>
      <c r="E260" t="s">
        <v>1797</v>
      </c>
      <c r="F260" s="3">
        <v>68594</v>
      </c>
      <c r="G260">
        <v>13.97</v>
      </c>
      <c r="H260">
        <v>48</v>
      </c>
      <c r="I260" t="s">
        <v>1781</v>
      </c>
      <c r="J260" t="s">
        <v>111</v>
      </c>
    </row>
    <row r="261" spans="1:10" x14ac:dyDescent="0.3">
      <c r="A261" t="s">
        <v>2048</v>
      </c>
      <c r="B261" t="s">
        <v>852</v>
      </c>
      <c r="C261" s="4">
        <v>45394</v>
      </c>
      <c r="D261" t="s">
        <v>1796</v>
      </c>
      <c r="E261" t="s">
        <v>1788</v>
      </c>
      <c r="F261" s="3">
        <v>844881</v>
      </c>
      <c r="G261">
        <v>12.77</v>
      </c>
      <c r="H261">
        <v>60</v>
      </c>
      <c r="I261" t="s">
        <v>1776</v>
      </c>
      <c r="J261" t="s">
        <v>111</v>
      </c>
    </row>
    <row r="262" spans="1:10" x14ac:dyDescent="0.3">
      <c r="A262" t="s">
        <v>2049</v>
      </c>
      <c r="B262" t="s">
        <v>1126</v>
      </c>
      <c r="C262" s="4">
        <v>45738</v>
      </c>
      <c r="D262" t="s">
        <v>1779</v>
      </c>
      <c r="E262" t="s">
        <v>1739</v>
      </c>
      <c r="F262" s="3">
        <v>548964</v>
      </c>
      <c r="G262">
        <v>17.66</v>
      </c>
      <c r="H262">
        <v>18</v>
      </c>
      <c r="I262" t="s">
        <v>1789</v>
      </c>
      <c r="J262" t="s">
        <v>74</v>
      </c>
    </row>
    <row r="263" spans="1:10" x14ac:dyDescent="0.3">
      <c r="A263" t="s">
        <v>2050</v>
      </c>
      <c r="B263" t="s">
        <v>419</v>
      </c>
      <c r="C263" s="4">
        <v>45589</v>
      </c>
      <c r="D263" t="s">
        <v>1774</v>
      </c>
      <c r="E263" t="s">
        <v>1788</v>
      </c>
      <c r="F263" s="3">
        <v>82301</v>
      </c>
      <c r="G263">
        <v>19.260000000000002</v>
      </c>
      <c r="H263">
        <v>6</v>
      </c>
      <c r="I263" t="s">
        <v>1781</v>
      </c>
      <c r="J263" t="s">
        <v>1777</v>
      </c>
    </row>
    <row r="264" spans="1:10" x14ac:dyDescent="0.3">
      <c r="A264" t="s">
        <v>2051</v>
      </c>
      <c r="B264" t="s">
        <v>618</v>
      </c>
      <c r="C264" s="4">
        <v>46090</v>
      </c>
      <c r="D264" t="s">
        <v>1779</v>
      </c>
      <c r="E264" t="s">
        <v>1792</v>
      </c>
      <c r="F264" s="3">
        <v>200000</v>
      </c>
      <c r="G264">
        <v>16.510000000000002</v>
      </c>
      <c r="H264">
        <v>120</v>
      </c>
      <c r="I264" t="s">
        <v>1799</v>
      </c>
      <c r="J264" t="s">
        <v>111</v>
      </c>
    </row>
    <row r="265" spans="1:10" x14ac:dyDescent="0.3">
      <c r="A265" t="s">
        <v>2052</v>
      </c>
      <c r="B265" t="s">
        <v>428</v>
      </c>
      <c r="C265" s="4">
        <v>45709</v>
      </c>
      <c r="D265" t="s">
        <v>1796</v>
      </c>
      <c r="E265" t="s">
        <v>1775</v>
      </c>
      <c r="F265" s="3">
        <v>150000</v>
      </c>
      <c r="G265">
        <v>17.190000000000001</v>
      </c>
      <c r="H265">
        <v>6</v>
      </c>
      <c r="I265" t="s">
        <v>1785</v>
      </c>
      <c r="J265" t="s">
        <v>74</v>
      </c>
    </row>
    <row r="266" spans="1:10" x14ac:dyDescent="0.3">
      <c r="A266" t="s">
        <v>2053</v>
      </c>
      <c r="B266" t="s">
        <v>435</v>
      </c>
      <c r="C266" s="4">
        <v>45754</v>
      </c>
      <c r="D266" t="s">
        <v>1783</v>
      </c>
      <c r="E266" t="s">
        <v>1775</v>
      </c>
      <c r="F266" s="3">
        <v>58931</v>
      </c>
      <c r="G266">
        <v>12.92</v>
      </c>
      <c r="H266">
        <v>12</v>
      </c>
      <c r="I266" t="s">
        <v>1781</v>
      </c>
      <c r="J266" t="s">
        <v>74</v>
      </c>
    </row>
    <row r="267" spans="1:10" x14ac:dyDescent="0.3">
      <c r="A267" t="s">
        <v>2054</v>
      </c>
      <c r="B267" t="s">
        <v>530</v>
      </c>
      <c r="C267" s="4">
        <v>45879</v>
      </c>
      <c r="D267" t="s">
        <v>1796</v>
      </c>
      <c r="E267" t="s">
        <v>1775</v>
      </c>
      <c r="F267" s="3">
        <v>50000</v>
      </c>
      <c r="G267">
        <v>18.190000000000001</v>
      </c>
      <c r="H267">
        <v>60</v>
      </c>
      <c r="I267" t="s">
        <v>1799</v>
      </c>
      <c r="J267" t="s">
        <v>1777</v>
      </c>
    </row>
    <row r="268" spans="1:10" x14ac:dyDescent="0.3">
      <c r="A268" t="s">
        <v>2055</v>
      </c>
      <c r="B268" t="s">
        <v>968</v>
      </c>
      <c r="C268" s="4">
        <v>46077</v>
      </c>
      <c r="D268" t="s">
        <v>1796</v>
      </c>
      <c r="E268" t="s">
        <v>1792</v>
      </c>
      <c r="F268" s="3">
        <v>887322</v>
      </c>
      <c r="G268">
        <v>15.13</v>
      </c>
      <c r="H268">
        <v>84</v>
      </c>
      <c r="I268" t="s">
        <v>1785</v>
      </c>
      <c r="J268" t="s">
        <v>74</v>
      </c>
    </row>
    <row r="269" spans="1:10" x14ac:dyDescent="0.3">
      <c r="A269" t="s">
        <v>2056</v>
      </c>
      <c r="B269" t="s">
        <v>811</v>
      </c>
      <c r="C269" s="4">
        <v>45440</v>
      </c>
      <c r="D269" t="s">
        <v>1779</v>
      </c>
      <c r="E269" t="s">
        <v>1797</v>
      </c>
      <c r="F269" s="3">
        <v>423968</v>
      </c>
      <c r="G269">
        <v>19.920000000000002</v>
      </c>
      <c r="H269">
        <v>24</v>
      </c>
      <c r="I269" t="s">
        <v>1785</v>
      </c>
      <c r="J269" t="s">
        <v>86</v>
      </c>
    </row>
    <row r="270" spans="1:10" x14ac:dyDescent="0.3">
      <c r="A270" t="s">
        <v>2057</v>
      </c>
      <c r="B270" t="s">
        <v>138</v>
      </c>
      <c r="C270" s="4">
        <v>45593</v>
      </c>
      <c r="D270" t="s">
        <v>1787</v>
      </c>
      <c r="E270" t="s">
        <v>1775</v>
      </c>
      <c r="F270" s="3">
        <v>1000000</v>
      </c>
      <c r="G270">
        <v>18.010000000000002</v>
      </c>
      <c r="H270">
        <v>24</v>
      </c>
      <c r="I270" t="s">
        <v>1781</v>
      </c>
      <c r="J270" t="s">
        <v>111</v>
      </c>
    </row>
    <row r="271" spans="1:10" x14ac:dyDescent="0.3">
      <c r="A271" t="s">
        <v>2058</v>
      </c>
      <c r="B271" t="s">
        <v>1058</v>
      </c>
      <c r="C271" s="4">
        <v>45402</v>
      </c>
      <c r="D271" t="s">
        <v>1774</v>
      </c>
      <c r="E271" t="s">
        <v>1792</v>
      </c>
      <c r="F271" s="3">
        <v>150000</v>
      </c>
      <c r="G271">
        <v>20.13</v>
      </c>
      <c r="H271">
        <v>60</v>
      </c>
      <c r="I271" t="s">
        <v>1789</v>
      </c>
      <c r="J271" t="s">
        <v>86</v>
      </c>
    </row>
    <row r="272" spans="1:10" x14ac:dyDescent="0.3">
      <c r="A272" t="s">
        <v>2059</v>
      </c>
      <c r="B272" t="s">
        <v>194</v>
      </c>
      <c r="C272" s="4">
        <v>45709</v>
      </c>
      <c r="D272" t="s">
        <v>1779</v>
      </c>
      <c r="E272" t="s">
        <v>1796</v>
      </c>
      <c r="F272" s="3">
        <v>64076</v>
      </c>
      <c r="G272">
        <v>13.28</v>
      </c>
      <c r="H272">
        <v>12</v>
      </c>
      <c r="I272" t="s">
        <v>1776</v>
      </c>
      <c r="J272" t="s">
        <v>1777</v>
      </c>
    </row>
    <row r="273" spans="1:10" x14ac:dyDescent="0.3">
      <c r="A273" t="s">
        <v>2060</v>
      </c>
      <c r="B273" t="s">
        <v>749</v>
      </c>
      <c r="C273" s="4">
        <v>46287</v>
      </c>
      <c r="D273" t="s">
        <v>1774</v>
      </c>
      <c r="E273" t="s">
        <v>1797</v>
      </c>
      <c r="F273" s="3">
        <v>713118</v>
      </c>
      <c r="G273">
        <v>11.09</v>
      </c>
      <c r="H273">
        <v>120</v>
      </c>
      <c r="I273" t="s">
        <v>1781</v>
      </c>
      <c r="J273" t="s">
        <v>111</v>
      </c>
    </row>
    <row r="274" spans="1:10" x14ac:dyDescent="0.3">
      <c r="A274" t="s">
        <v>2061</v>
      </c>
      <c r="B274" t="s">
        <v>246</v>
      </c>
      <c r="C274" s="4">
        <v>45824</v>
      </c>
      <c r="D274" t="s">
        <v>1787</v>
      </c>
      <c r="E274" t="s">
        <v>1788</v>
      </c>
      <c r="F274" s="3">
        <v>381603</v>
      </c>
      <c r="G274">
        <v>16.3</v>
      </c>
      <c r="H274">
        <v>120</v>
      </c>
      <c r="I274" t="s">
        <v>1785</v>
      </c>
      <c r="J274" t="s">
        <v>86</v>
      </c>
    </row>
    <row r="275" spans="1:10" x14ac:dyDescent="0.3">
      <c r="A275" t="s">
        <v>2062</v>
      </c>
      <c r="B275" t="s">
        <v>265</v>
      </c>
      <c r="C275" s="4">
        <v>46148</v>
      </c>
      <c r="D275" t="s">
        <v>1796</v>
      </c>
      <c r="E275" t="s">
        <v>1739</v>
      </c>
      <c r="F275" s="3">
        <v>338531</v>
      </c>
      <c r="G275">
        <v>19.149999999999999</v>
      </c>
      <c r="H275">
        <v>12</v>
      </c>
      <c r="I275" t="s">
        <v>1781</v>
      </c>
      <c r="J275" t="s">
        <v>1777</v>
      </c>
    </row>
    <row r="276" spans="1:10" x14ac:dyDescent="0.3">
      <c r="A276" t="s">
        <v>2063</v>
      </c>
      <c r="B276" t="s">
        <v>732</v>
      </c>
      <c r="C276" s="4">
        <v>45641</v>
      </c>
      <c r="D276" t="s">
        <v>1787</v>
      </c>
      <c r="E276" t="s">
        <v>1792</v>
      </c>
      <c r="F276" s="3">
        <v>100000</v>
      </c>
      <c r="G276">
        <v>12.8</v>
      </c>
      <c r="H276">
        <v>18</v>
      </c>
      <c r="I276" t="s">
        <v>1776</v>
      </c>
      <c r="J276" t="s">
        <v>74</v>
      </c>
    </row>
    <row r="277" spans="1:10" x14ac:dyDescent="0.3">
      <c r="A277" t="s">
        <v>2064</v>
      </c>
      <c r="B277" t="s">
        <v>1693</v>
      </c>
      <c r="C277" s="4">
        <v>45387</v>
      </c>
      <c r="D277" t="s">
        <v>1779</v>
      </c>
      <c r="E277" t="s">
        <v>1788</v>
      </c>
      <c r="F277" s="3">
        <v>441010</v>
      </c>
      <c r="G277">
        <v>13.38</v>
      </c>
      <c r="H277">
        <v>12</v>
      </c>
      <c r="I277" t="s">
        <v>1781</v>
      </c>
      <c r="J277" t="s">
        <v>111</v>
      </c>
    </row>
    <row r="278" spans="1:10" x14ac:dyDescent="0.3">
      <c r="A278" t="s">
        <v>2065</v>
      </c>
      <c r="B278" t="s">
        <v>102</v>
      </c>
      <c r="C278" s="4">
        <v>45307</v>
      </c>
      <c r="D278" t="s">
        <v>1783</v>
      </c>
      <c r="E278" t="s">
        <v>1797</v>
      </c>
      <c r="F278" s="3">
        <v>888027</v>
      </c>
      <c r="G278">
        <v>18.47</v>
      </c>
      <c r="H278">
        <v>18</v>
      </c>
      <c r="I278" t="s">
        <v>1799</v>
      </c>
      <c r="J278" t="s">
        <v>74</v>
      </c>
    </row>
    <row r="279" spans="1:10" x14ac:dyDescent="0.3">
      <c r="A279" t="s">
        <v>2066</v>
      </c>
      <c r="B279" t="s">
        <v>309</v>
      </c>
      <c r="C279" s="4">
        <v>45877</v>
      </c>
      <c r="D279" t="s">
        <v>1774</v>
      </c>
      <c r="E279" t="s">
        <v>1792</v>
      </c>
      <c r="F279" s="3">
        <v>75000</v>
      </c>
      <c r="G279">
        <v>11.7</v>
      </c>
      <c r="H279">
        <v>120</v>
      </c>
      <c r="I279" t="s">
        <v>1785</v>
      </c>
      <c r="J279" t="s">
        <v>74</v>
      </c>
    </row>
    <row r="280" spans="1:10" x14ac:dyDescent="0.3">
      <c r="A280" t="s">
        <v>2067</v>
      </c>
      <c r="B280" t="s">
        <v>616</v>
      </c>
      <c r="C280" s="4">
        <v>46162</v>
      </c>
      <c r="D280" t="s">
        <v>1783</v>
      </c>
      <c r="E280" t="s">
        <v>1792</v>
      </c>
      <c r="F280" s="3">
        <v>696451</v>
      </c>
      <c r="G280">
        <v>20.010000000000002</v>
      </c>
      <c r="H280">
        <v>84</v>
      </c>
      <c r="I280" t="s">
        <v>1799</v>
      </c>
      <c r="J280" t="s">
        <v>86</v>
      </c>
    </row>
    <row r="281" spans="1:10" x14ac:dyDescent="0.3">
      <c r="A281" t="s">
        <v>2068</v>
      </c>
      <c r="B281" t="s">
        <v>235</v>
      </c>
      <c r="C281" s="4">
        <v>45298</v>
      </c>
      <c r="D281" t="s">
        <v>1787</v>
      </c>
      <c r="E281" t="s">
        <v>1739</v>
      </c>
      <c r="F281" s="3">
        <v>578861</v>
      </c>
      <c r="G281">
        <v>19.39</v>
      </c>
      <c r="H281">
        <v>60</v>
      </c>
      <c r="I281" t="s">
        <v>1785</v>
      </c>
      <c r="J281" t="s">
        <v>86</v>
      </c>
    </row>
    <row r="282" spans="1:10" x14ac:dyDescent="0.3">
      <c r="A282" t="s">
        <v>2069</v>
      </c>
      <c r="B282" t="s">
        <v>213</v>
      </c>
      <c r="C282" s="4">
        <v>45411</v>
      </c>
      <c r="D282" t="s">
        <v>1787</v>
      </c>
      <c r="E282" t="s">
        <v>1796</v>
      </c>
      <c r="F282" s="3">
        <v>840329</v>
      </c>
      <c r="G282">
        <v>9.4</v>
      </c>
      <c r="H282">
        <v>24</v>
      </c>
      <c r="I282" t="s">
        <v>1781</v>
      </c>
      <c r="J282" t="s">
        <v>74</v>
      </c>
    </row>
    <row r="283" spans="1:10" x14ac:dyDescent="0.3">
      <c r="A283" t="s">
        <v>2070</v>
      </c>
      <c r="B283" t="s">
        <v>249</v>
      </c>
      <c r="C283" s="4">
        <v>46135</v>
      </c>
      <c r="D283" t="s">
        <v>1783</v>
      </c>
      <c r="E283" t="s">
        <v>1739</v>
      </c>
      <c r="F283" s="3">
        <v>66723</v>
      </c>
      <c r="G283">
        <v>14.83</v>
      </c>
      <c r="H283">
        <v>36</v>
      </c>
      <c r="I283" t="s">
        <v>1785</v>
      </c>
      <c r="J283" t="s">
        <v>86</v>
      </c>
    </row>
    <row r="284" spans="1:10" x14ac:dyDescent="0.3">
      <c r="A284" t="s">
        <v>2071</v>
      </c>
      <c r="B284" t="s">
        <v>736</v>
      </c>
      <c r="C284" s="4">
        <v>46170</v>
      </c>
      <c r="D284" t="s">
        <v>1779</v>
      </c>
      <c r="E284" t="s">
        <v>1792</v>
      </c>
      <c r="F284" s="3">
        <v>96962</v>
      </c>
      <c r="G284">
        <v>10.63</v>
      </c>
      <c r="H284">
        <v>120</v>
      </c>
      <c r="I284" t="s">
        <v>1785</v>
      </c>
      <c r="J284" t="s">
        <v>1777</v>
      </c>
    </row>
    <row r="285" spans="1:10" x14ac:dyDescent="0.3">
      <c r="A285" t="s">
        <v>2072</v>
      </c>
      <c r="B285" t="s">
        <v>249</v>
      </c>
      <c r="C285" s="4">
        <v>45949</v>
      </c>
      <c r="D285" t="s">
        <v>1796</v>
      </c>
      <c r="E285" t="s">
        <v>1796</v>
      </c>
      <c r="F285" s="3">
        <v>100000</v>
      </c>
      <c r="G285">
        <v>16.149999999999999</v>
      </c>
      <c r="H285">
        <v>36</v>
      </c>
      <c r="I285" t="s">
        <v>1785</v>
      </c>
      <c r="J285" t="s">
        <v>1777</v>
      </c>
    </row>
    <row r="286" spans="1:10" x14ac:dyDescent="0.3">
      <c r="A286" t="s">
        <v>2073</v>
      </c>
      <c r="B286" t="s">
        <v>771</v>
      </c>
      <c r="C286" s="4">
        <v>45743</v>
      </c>
      <c r="D286" t="s">
        <v>1774</v>
      </c>
      <c r="E286" t="s">
        <v>1784</v>
      </c>
      <c r="F286" s="3">
        <v>200000</v>
      </c>
      <c r="G286">
        <v>17.07</v>
      </c>
      <c r="H286">
        <v>84</v>
      </c>
      <c r="I286" t="s">
        <v>1781</v>
      </c>
      <c r="J286" t="s">
        <v>1777</v>
      </c>
    </row>
    <row r="287" spans="1:10" x14ac:dyDescent="0.3">
      <c r="A287" t="s">
        <v>2074</v>
      </c>
      <c r="B287" t="s">
        <v>196</v>
      </c>
      <c r="C287" s="4">
        <v>46073</v>
      </c>
      <c r="D287" t="s">
        <v>1787</v>
      </c>
      <c r="E287" t="s">
        <v>1796</v>
      </c>
      <c r="F287" s="3">
        <v>744007</v>
      </c>
      <c r="G287">
        <v>12.63</v>
      </c>
      <c r="H287">
        <v>120</v>
      </c>
      <c r="I287" t="s">
        <v>1781</v>
      </c>
      <c r="J287" t="s">
        <v>1777</v>
      </c>
    </row>
    <row r="288" spans="1:10" x14ac:dyDescent="0.3">
      <c r="A288" t="s">
        <v>2075</v>
      </c>
      <c r="B288" t="s">
        <v>708</v>
      </c>
      <c r="C288" s="4">
        <v>46034</v>
      </c>
      <c r="D288" t="s">
        <v>1783</v>
      </c>
      <c r="E288" t="s">
        <v>1796</v>
      </c>
      <c r="F288" s="3">
        <v>537171</v>
      </c>
      <c r="G288">
        <v>15.29</v>
      </c>
      <c r="H288">
        <v>12</v>
      </c>
      <c r="I288" t="s">
        <v>1799</v>
      </c>
      <c r="J288" t="s">
        <v>74</v>
      </c>
    </row>
    <row r="289" spans="1:10" x14ac:dyDescent="0.3">
      <c r="A289" t="s">
        <v>2076</v>
      </c>
      <c r="B289" t="s">
        <v>401</v>
      </c>
      <c r="C289" s="4">
        <v>45315</v>
      </c>
      <c r="D289" t="s">
        <v>1787</v>
      </c>
      <c r="E289" t="s">
        <v>1788</v>
      </c>
      <c r="F289" s="3">
        <v>1000000</v>
      </c>
      <c r="G289">
        <v>9.31</v>
      </c>
      <c r="H289">
        <v>24</v>
      </c>
      <c r="I289" t="s">
        <v>1785</v>
      </c>
      <c r="J289" t="s">
        <v>1777</v>
      </c>
    </row>
    <row r="290" spans="1:10" x14ac:dyDescent="0.3">
      <c r="A290" t="s">
        <v>2077</v>
      </c>
      <c r="B290" t="s">
        <v>714</v>
      </c>
      <c r="C290" s="4">
        <v>45529</v>
      </c>
      <c r="D290" t="s">
        <v>1796</v>
      </c>
      <c r="E290" t="s">
        <v>1797</v>
      </c>
      <c r="F290" s="3">
        <v>100000</v>
      </c>
      <c r="G290">
        <v>19.670000000000002</v>
      </c>
      <c r="H290">
        <v>24</v>
      </c>
      <c r="I290" t="s">
        <v>1785</v>
      </c>
      <c r="J290" t="s">
        <v>1777</v>
      </c>
    </row>
    <row r="291" spans="1:10" x14ac:dyDescent="0.3">
      <c r="A291" t="s">
        <v>2078</v>
      </c>
      <c r="B291" t="s">
        <v>166</v>
      </c>
      <c r="C291" s="4">
        <v>45403</v>
      </c>
      <c r="D291" t="s">
        <v>1783</v>
      </c>
      <c r="E291" t="s">
        <v>1796</v>
      </c>
      <c r="F291" s="3">
        <v>122995</v>
      </c>
      <c r="G291">
        <v>18.690000000000001</v>
      </c>
      <c r="H291">
        <v>18</v>
      </c>
      <c r="I291" t="s">
        <v>1789</v>
      </c>
      <c r="J291" t="s">
        <v>86</v>
      </c>
    </row>
    <row r="292" spans="1:10" x14ac:dyDescent="0.3">
      <c r="A292" t="s">
        <v>2079</v>
      </c>
      <c r="B292" t="s">
        <v>231</v>
      </c>
      <c r="C292" s="4">
        <v>45909</v>
      </c>
      <c r="D292" t="s">
        <v>1774</v>
      </c>
      <c r="E292" t="s">
        <v>1792</v>
      </c>
      <c r="F292" s="3">
        <v>500000</v>
      </c>
      <c r="G292">
        <v>13.56</v>
      </c>
      <c r="H292">
        <v>120</v>
      </c>
      <c r="I292" t="s">
        <v>1781</v>
      </c>
      <c r="J292" t="s">
        <v>74</v>
      </c>
    </row>
    <row r="293" spans="1:10" x14ac:dyDescent="0.3">
      <c r="A293" t="s">
        <v>2080</v>
      </c>
      <c r="B293" t="s">
        <v>1693</v>
      </c>
      <c r="C293" s="4">
        <v>45427</v>
      </c>
      <c r="D293" t="s">
        <v>1796</v>
      </c>
      <c r="E293" t="s">
        <v>1739</v>
      </c>
      <c r="F293" s="3">
        <v>612640</v>
      </c>
      <c r="G293">
        <v>9.9600000000000009</v>
      </c>
      <c r="H293">
        <v>24</v>
      </c>
      <c r="I293" t="s">
        <v>1776</v>
      </c>
      <c r="J293" t="s">
        <v>74</v>
      </c>
    </row>
    <row r="294" spans="1:10" x14ac:dyDescent="0.3">
      <c r="A294" t="s">
        <v>2081</v>
      </c>
      <c r="B294" t="s">
        <v>448</v>
      </c>
      <c r="C294" s="4">
        <v>45606</v>
      </c>
      <c r="D294" t="s">
        <v>1787</v>
      </c>
      <c r="E294" t="s">
        <v>1788</v>
      </c>
      <c r="F294" s="3">
        <v>50000</v>
      </c>
      <c r="G294">
        <v>9.07</v>
      </c>
      <c r="H294">
        <v>60</v>
      </c>
      <c r="I294" t="s">
        <v>1785</v>
      </c>
      <c r="J294" t="s">
        <v>86</v>
      </c>
    </row>
    <row r="295" spans="1:10" x14ac:dyDescent="0.3">
      <c r="A295" t="s">
        <v>2082</v>
      </c>
      <c r="B295" t="s">
        <v>314</v>
      </c>
      <c r="C295" s="4">
        <v>46288</v>
      </c>
      <c r="D295" t="s">
        <v>1796</v>
      </c>
      <c r="E295" t="s">
        <v>1784</v>
      </c>
      <c r="F295" s="3">
        <v>492103</v>
      </c>
      <c r="G295">
        <v>11.34</v>
      </c>
      <c r="H295">
        <v>24</v>
      </c>
      <c r="I295" t="s">
        <v>1789</v>
      </c>
      <c r="J295" t="s">
        <v>86</v>
      </c>
    </row>
    <row r="296" spans="1:10" x14ac:dyDescent="0.3">
      <c r="A296" t="s">
        <v>2083</v>
      </c>
      <c r="B296" t="s">
        <v>720</v>
      </c>
      <c r="C296" s="4">
        <v>45699</v>
      </c>
      <c r="D296" t="s">
        <v>1779</v>
      </c>
      <c r="E296" t="s">
        <v>1797</v>
      </c>
      <c r="F296" s="3">
        <v>153542</v>
      </c>
      <c r="G296">
        <v>17.989999999999998</v>
      </c>
      <c r="H296">
        <v>120</v>
      </c>
      <c r="I296" t="s">
        <v>1785</v>
      </c>
      <c r="J296" t="s">
        <v>111</v>
      </c>
    </row>
    <row r="297" spans="1:10" x14ac:dyDescent="0.3">
      <c r="A297" t="s">
        <v>2084</v>
      </c>
      <c r="B297" t="s">
        <v>242</v>
      </c>
      <c r="C297" s="4">
        <v>45368</v>
      </c>
      <c r="D297" t="s">
        <v>1783</v>
      </c>
      <c r="E297" t="s">
        <v>1739</v>
      </c>
      <c r="F297" s="3">
        <v>100000</v>
      </c>
      <c r="G297">
        <v>19.23</v>
      </c>
      <c r="H297">
        <v>120</v>
      </c>
      <c r="I297" t="s">
        <v>1781</v>
      </c>
      <c r="J297" t="s">
        <v>86</v>
      </c>
    </row>
    <row r="298" spans="1:10" x14ac:dyDescent="0.3">
      <c r="A298" t="s">
        <v>2085</v>
      </c>
      <c r="B298" t="s">
        <v>210</v>
      </c>
      <c r="C298" s="4">
        <v>45935</v>
      </c>
      <c r="D298" t="s">
        <v>1774</v>
      </c>
      <c r="E298" t="s">
        <v>1775</v>
      </c>
      <c r="F298" s="3">
        <v>1000000</v>
      </c>
      <c r="G298">
        <v>15.05</v>
      </c>
      <c r="H298">
        <v>84</v>
      </c>
      <c r="I298" t="s">
        <v>1781</v>
      </c>
      <c r="J298" t="s">
        <v>1777</v>
      </c>
    </row>
    <row r="299" spans="1:10" x14ac:dyDescent="0.3">
      <c r="A299" t="s">
        <v>2086</v>
      </c>
      <c r="B299" t="s">
        <v>568</v>
      </c>
      <c r="C299" s="4">
        <v>45531</v>
      </c>
      <c r="D299" t="s">
        <v>1774</v>
      </c>
      <c r="E299" t="s">
        <v>1784</v>
      </c>
      <c r="F299" s="3">
        <v>282880</v>
      </c>
      <c r="G299">
        <v>18.68</v>
      </c>
      <c r="H299">
        <v>18</v>
      </c>
      <c r="I299" t="s">
        <v>1789</v>
      </c>
      <c r="J299" t="s">
        <v>74</v>
      </c>
    </row>
    <row r="300" spans="1:10" x14ac:dyDescent="0.3">
      <c r="A300" t="s">
        <v>2087</v>
      </c>
      <c r="B300" t="s">
        <v>1693</v>
      </c>
      <c r="C300" s="4">
        <v>45710</v>
      </c>
      <c r="D300" t="s">
        <v>1779</v>
      </c>
      <c r="E300" t="s">
        <v>1797</v>
      </c>
      <c r="F300" s="3">
        <v>150000</v>
      </c>
      <c r="G300">
        <v>8.7799999999999994</v>
      </c>
      <c r="H300">
        <v>120</v>
      </c>
      <c r="I300" t="s">
        <v>1799</v>
      </c>
      <c r="J300" t="s">
        <v>1777</v>
      </c>
    </row>
    <row r="301" spans="1:10" x14ac:dyDescent="0.3">
      <c r="A301" t="s">
        <v>2088</v>
      </c>
      <c r="B301" t="s">
        <v>736</v>
      </c>
      <c r="C301" s="4">
        <v>45704</v>
      </c>
      <c r="D301" t="s">
        <v>1779</v>
      </c>
      <c r="E301" t="s">
        <v>1797</v>
      </c>
      <c r="F301" s="3">
        <v>164775</v>
      </c>
      <c r="G301">
        <v>9.23</v>
      </c>
      <c r="H301">
        <v>84</v>
      </c>
      <c r="I301" t="s">
        <v>1785</v>
      </c>
      <c r="J301" t="s">
        <v>1777</v>
      </c>
    </row>
  </sheetData>
  <autoFilter ref="A1:J30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3" customWidth="1"/>
    <col min="4" max="4" width="21" customWidth="1"/>
    <col min="5" max="7" width="13" customWidth="1"/>
  </cols>
  <sheetData>
    <row r="1" spans="1:7" ht="31.95" customHeight="1" x14ac:dyDescent="0.3">
      <c r="A1" s="1" t="s">
        <v>45</v>
      </c>
      <c r="B1" s="1" t="s">
        <v>44</v>
      </c>
      <c r="C1" s="1" t="s">
        <v>2089</v>
      </c>
      <c r="D1" s="1" t="s">
        <v>2090</v>
      </c>
      <c r="E1" s="1" t="s">
        <v>2091</v>
      </c>
      <c r="F1" s="1" t="s">
        <v>2092</v>
      </c>
      <c r="G1" s="1" t="s">
        <v>2093</v>
      </c>
    </row>
    <row r="2" spans="1:7" x14ac:dyDescent="0.3">
      <c r="A2" t="s">
        <v>171</v>
      </c>
      <c r="B2" t="s">
        <v>822</v>
      </c>
      <c r="C2" t="s">
        <v>2094</v>
      </c>
      <c r="D2" s="4">
        <v>45931</v>
      </c>
      <c r="E2" t="s">
        <v>2095</v>
      </c>
      <c r="F2" t="s">
        <v>2096</v>
      </c>
      <c r="G2" t="s">
        <v>2097</v>
      </c>
    </row>
    <row r="3" spans="1:7" x14ac:dyDescent="0.3">
      <c r="A3" t="s">
        <v>449</v>
      </c>
      <c r="B3" t="s">
        <v>320</v>
      </c>
      <c r="C3" t="s">
        <v>2094</v>
      </c>
      <c r="D3" s="4">
        <v>45074</v>
      </c>
      <c r="E3" t="s">
        <v>2095</v>
      </c>
      <c r="F3" t="s">
        <v>2098</v>
      </c>
      <c r="G3" t="s">
        <v>2097</v>
      </c>
    </row>
    <row r="4" spans="1:7" x14ac:dyDescent="0.3">
      <c r="A4" t="s">
        <v>106</v>
      </c>
      <c r="B4" t="s">
        <v>1058</v>
      </c>
      <c r="C4" t="s">
        <v>2099</v>
      </c>
      <c r="D4" s="4">
        <v>44513</v>
      </c>
      <c r="E4" t="s">
        <v>2095</v>
      </c>
      <c r="F4" t="s">
        <v>2100</v>
      </c>
      <c r="G4" t="s">
        <v>2101</v>
      </c>
    </row>
    <row r="5" spans="1:7" x14ac:dyDescent="0.3">
      <c r="A5" t="s">
        <v>1090</v>
      </c>
      <c r="B5" t="s">
        <v>261</v>
      </c>
      <c r="C5" t="s">
        <v>2094</v>
      </c>
      <c r="D5" s="4">
        <v>44351</v>
      </c>
      <c r="E5" t="s">
        <v>1781</v>
      </c>
      <c r="F5" t="s">
        <v>2100</v>
      </c>
      <c r="G5" t="s">
        <v>2097</v>
      </c>
    </row>
    <row r="6" spans="1:7" x14ac:dyDescent="0.3">
      <c r="A6" t="s">
        <v>722</v>
      </c>
      <c r="B6" t="s">
        <v>184</v>
      </c>
      <c r="C6" t="s">
        <v>2099</v>
      </c>
      <c r="D6" s="4">
        <v>45740</v>
      </c>
      <c r="E6" t="s">
        <v>2095</v>
      </c>
      <c r="F6" t="s">
        <v>2100</v>
      </c>
      <c r="G6" t="s">
        <v>2101</v>
      </c>
    </row>
    <row r="7" spans="1:7" x14ac:dyDescent="0.3">
      <c r="A7" t="s">
        <v>293</v>
      </c>
      <c r="B7" t="s">
        <v>113</v>
      </c>
      <c r="C7" t="s">
        <v>2099</v>
      </c>
      <c r="D7" s="4">
        <v>44875</v>
      </c>
      <c r="E7" t="s">
        <v>2095</v>
      </c>
      <c r="F7" t="s">
        <v>2100</v>
      </c>
      <c r="G7" t="s">
        <v>2101</v>
      </c>
    </row>
    <row r="8" spans="1:7" x14ac:dyDescent="0.3">
      <c r="A8" t="s">
        <v>120</v>
      </c>
      <c r="B8" t="s">
        <v>749</v>
      </c>
      <c r="C8" t="s">
        <v>2102</v>
      </c>
      <c r="D8" s="4">
        <v>45169</v>
      </c>
      <c r="E8" t="s">
        <v>2095</v>
      </c>
      <c r="F8" t="s">
        <v>2100</v>
      </c>
      <c r="G8" t="s">
        <v>2103</v>
      </c>
    </row>
    <row r="9" spans="1:7" x14ac:dyDescent="0.3">
      <c r="A9" t="s">
        <v>304</v>
      </c>
      <c r="B9" t="s">
        <v>680</v>
      </c>
      <c r="C9" t="s">
        <v>2099</v>
      </c>
      <c r="D9" s="4">
        <v>45155</v>
      </c>
      <c r="E9" t="s">
        <v>2095</v>
      </c>
      <c r="F9" t="s">
        <v>2096</v>
      </c>
      <c r="G9" t="s">
        <v>2097</v>
      </c>
    </row>
    <row r="10" spans="1:7" x14ac:dyDescent="0.3">
      <c r="A10" t="s">
        <v>1231</v>
      </c>
      <c r="B10" t="s">
        <v>477</v>
      </c>
      <c r="C10" t="s">
        <v>2102</v>
      </c>
      <c r="D10" s="4">
        <v>45703</v>
      </c>
      <c r="E10" t="s">
        <v>1781</v>
      </c>
      <c r="F10" t="s">
        <v>2096</v>
      </c>
      <c r="G10" t="s">
        <v>2103</v>
      </c>
    </row>
    <row r="11" spans="1:7" x14ac:dyDescent="0.3">
      <c r="A11" t="s">
        <v>698</v>
      </c>
      <c r="B11" t="s">
        <v>895</v>
      </c>
      <c r="C11" t="s">
        <v>2102</v>
      </c>
      <c r="D11" s="4">
        <v>45761</v>
      </c>
      <c r="E11" t="s">
        <v>2095</v>
      </c>
      <c r="F11" t="s">
        <v>2098</v>
      </c>
      <c r="G11" t="s">
        <v>2097</v>
      </c>
    </row>
    <row r="12" spans="1:7" x14ac:dyDescent="0.3">
      <c r="A12" t="s">
        <v>757</v>
      </c>
      <c r="B12" t="s">
        <v>309</v>
      </c>
      <c r="C12" t="s">
        <v>2099</v>
      </c>
      <c r="D12" s="4">
        <v>44763</v>
      </c>
      <c r="E12" t="s">
        <v>2095</v>
      </c>
      <c r="F12" t="s">
        <v>2096</v>
      </c>
      <c r="G12" t="s">
        <v>2101</v>
      </c>
    </row>
    <row r="13" spans="1:7" x14ac:dyDescent="0.3">
      <c r="A13" t="s">
        <v>1017</v>
      </c>
      <c r="B13" t="s">
        <v>461</v>
      </c>
      <c r="C13" t="s">
        <v>2099</v>
      </c>
      <c r="D13" s="4">
        <v>44617</v>
      </c>
      <c r="E13" t="s">
        <v>2095</v>
      </c>
      <c r="F13" t="s">
        <v>2098</v>
      </c>
      <c r="G13" t="s">
        <v>2103</v>
      </c>
    </row>
    <row r="14" spans="1:7" x14ac:dyDescent="0.3">
      <c r="A14" t="s">
        <v>1147</v>
      </c>
      <c r="B14" t="s">
        <v>77</v>
      </c>
      <c r="C14" t="s">
        <v>2099</v>
      </c>
      <c r="D14" s="4">
        <v>46037</v>
      </c>
      <c r="E14" t="s">
        <v>2104</v>
      </c>
      <c r="F14" t="s">
        <v>2098</v>
      </c>
      <c r="G14" t="s">
        <v>2097</v>
      </c>
    </row>
    <row r="15" spans="1:7" x14ac:dyDescent="0.3">
      <c r="A15" t="s">
        <v>2105</v>
      </c>
      <c r="B15" t="s">
        <v>116</v>
      </c>
      <c r="C15" t="s">
        <v>2099</v>
      </c>
      <c r="D15" s="4">
        <v>46044</v>
      </c>
      <c r="E15" t="s">
        <v>2095</v>
      </c>
      <c r="F15" t="s">
        <v>2096</v>
      </c>
      <c r="G15" t="s">
        <v>2101</v>
      </c>
    </row>
    <row r="16" spans="1:7" x14ac:dyDescent="0.3">
      <c r="A16" t="s">
        <v>334</v>
      </c>
      <c r="B16" t="s">
        <v>618</v>
      </c>
      <c r="C16" t="s">
        <v>2094</v>
      </c>
      <c r="D16" s="4">
        <v>45728</v>
      </c>
      <c r="E16" t="s">
        <v>1781</v>
      </c>
      <c r="F16" t="s">
        <v>2096</v>
      </c>
      <c r="G16" t="s">
        <v>2097</v>
      </c>
    </row>
    <row r="17" spans="1:7" x14ac:dyDescent="0.3">
      <c r="A17" t="s">
        <v>1273</v>
      </c>
      <c r="B17" t="s">
        <v>625</v>
      </c>
      <c r="C17" t="s">
        <v>2099</v>
      </c>
      <c r="D17" s="4">
        <v>44312</v>
      </c>
      <c r="E17" t="s">
        <v>2104</v>
      </c>
      <c r="F17" t="s">
        <v>2100</v>
      </c>
      <c r="G17" t="s">
        <v>2103</v>
      </c>
    </row>
    <row r="18" spans="1:7" x14ac:dyDescent="0.3">
      <c r="A18" t="s">
        <v>494</v>
      </c>
      <c r="B18" t="s">
        <v>953</v>
      </c>
      <c r="C18" t="s">
        <v>2099</v>
      </c>
      <c r="D18" s="4">
        <v>44795</v>
      </c>
      <c r="E18" t="s">
        <v>2095</v>
      </c>
      <c r="F18" t="s">
        <v>2096</v>
      </c>
      <c r="G18" t="s">
        <v>2101</v>
      </c>
    </row>
    <row r="19" spans="1:7" x14ac:dyDescent="0.3">
      <c r="A19" t="s">
        <v>2106</v>
      </c>
      <c r="B19" t="s">
        <v>324</v>
      </c>
      <c r="C19" t="s">
        <v>2094</v>
      </c>
      <c r="D19" s="4">
        <v>44765</v>
      </c>
      <c r="E19" t="s">
        <v>2095</v>
      </c>
      <c r="F19" t="s">
        <v>2098</v>
      </c>
      <c r="G19" t="s">
        <v>2097</v>
      </c>
    </row>
    <row r="20" spans="1:7" x14ac:dyDescent="0.3">
      <c r="A20" t="s">
        <v>432</v>
      </c>
      <c r="B20" t="s">
        <v>852</v>
      </c>
      <c r="C20" t="s">
        <v>2099</v>
      </c>
      <c r="D20" s="4">
        <v>45245</v>
      </c>
      <c r="E20" t="s">
        <v>2095</v>
      </c>
      <c r="F20" t="s">
        <v>2100</v>
      </c>
      <c r="G20" t="s">
        <v>2101</v>
      </c>
    </row>
    <row r="21" spans="1:7" x14ac:dyDescent="0.3">
      <c r="A21" t="s">
        <v>1184</v>
      </c>
      <c r="B21" t="s">
        <v>231</v>
      </c>
      <c r="C21" t="s">
        <v>2094</v>
      </c>
      <c r="D21" s="4">
        <v>45930</v>
      </c>
      <c r="E21" t="s">
        <v>2095</v>
      </c>
      <c r="F21" t="s">
        <v>2098</v>
      </c>
      <c r="G21" t="s">
        <v>2097</v>
      </c>
    </row>
    <row r="22" spans="1:7" x14ac:dyDescent="0.3">
      <c r="A22" t="s">
        <v>764</v>
      </c>
      <c r="B22" t="s">
        <v>210</v>
      </c>
      <c r="C22" t="s">
        <v>2102</v>
      </c>
      <c r="D22" s="4">
        <v>45173</v>
      </c>
      <c r="E22" t="s">
        <v>2104</v>
      </c>
      <c r="F22" t="s">
        <v>2096</v>
      </c>
      <c r="G22" t="s">
        <v>2097</v>
      </c>
    </row>
    <row r="23" spans="1:7" x14ac:dyDescent="0.3">
      <c r="A23" t="s">
        <v>694</v>
      </c>
      <c r="B23" t="s">
        <v>148</v>
      </c>
      <c r="C23" t="s">
        <v>2102</v>
      </c>
      <c r="D23" s="4">
        <v>44651</v>
      </c>
      <c r="E23" t="s">
        <v>2095</v>
      </c>
      <c r="F23" t="s">
        <v>2100</v>
      </c>
      <c r="G23" t="s">
        <v>2101</v>
      </c>
    </row>
    <row r="24" spans="1:7" x14ac:dyDescent="0.3">
      <c r="A24" t="s">
        <v>163</v>
      </c>
      <c r="B24" t="s">
        <v>720</v>
      </c>
      <c r="C24" t="s">
        <v>2094</v>
      </c>
      <c r="D24" s="4">
        <v>45187</v>
      </c>
      <c r="E24" t="s">
        <v>2095</v>
      </c>
      <c r="F24" t="s">
        <v>2100</v>
      </c>
      <c r="G24" t="s">
        <v>2103</v>
      </c>
    </row>
    <row r="25" spans="1:7" x14ac:dyDescent="0.3">
      <c r="A25" t="s">
        <v>174</v>
      </c>
      <c r="B25" t="s">
        <v>1693</v>
      </c>
      <c r="C25" t="s">
        <v>2094</v>
      </c>
      <c r="D25" s="4">
        <v>45182</v>
      </c>
      <c r="E25" t="s">
        <v>2095</v>
      </c>
      <c r="F25" t="s">
        <v>2100</v>
      </c>
      <c r="G25" t="s">
        <v>2097</v>
      </c>
    </row>
    <row r="26" spans="1:7" x14ac:dyDescent="0.3">
      <c r="A26" t="s">
        <v>832</v>
      </c>
      <c r="B26" t="s">
        <v>570</v>
      </c>
      <c r="C26" t="s">
        <v>2102</v>
      </c>
      <c r="D26" s="4">
        <v>45674</v>
      </c>
      <c r="E26" t="s">
        <v>2095</v>
      </c>
      <c r="F26" t="s">
        <v>2100</v>
      </c>
      <c r="G26" t="s">
        <v>2101</v>
      </c>
    </row>
    <row r="27" spans="1:7" x14ac:dyDescent="0.3">
      <c r="A27" t="s">
        <v>443</v>
      </c>
      <c r="B27" t="s">
        <v>213</v>
      </c>
      <c r="C27" t="s">
        <v>2094</v>
      </c>
      <c r="D27" s="4">
        <v>44280</v>
      </c>
      <c r="E27" t="s">
        <v>2095</v>
      </c>
      <c r="F27" t="s">
        <v>2096</v>
      </c>
      <c r="G27" t="s">
        <v>2103</v>
      </c>
    </row>
    <row r="28" spans="1:7" x14ac:dyDescent="0.3">
      <c r="A28" t="s">
        <v>312</v>
      </c>
      <c r="B28" t="s">
        <v>343</v>
      </c>
      <c r="C28" t="s">
        <v>2094</v>
      </c>
      <c r="D28" s="4">
        <v>45235</v>
      </c>
      <c r="E28" t="s">
        <v>2104</v>
      </c>
      <c r="F28" t="s">
        <v>2096</v>
      </c>
      <c r="G28" t="s">
        <v>2097</v>
      </c>
    </row>
    <row r="29" spans="1:7" x14ac:dyDescent="0.3">
      <c r="A29" t="s">
        <v>185</v>
      </c>
      <c r="B29" t="s">
        <v>811</v>
      </c>
      <c r="C29" t="s">
        <v>2102</v>
      </c>
      <c r="D29" s="4">
        <v>44621</v>
      </c>
      <c r="E29" t="s">
        <v>2104</v>
      </c>
      <c r="F29" t="s">
        <v>2098</v>
      </c>
      <c r="G29" t="s">
        <v>2097</v>
      </c>
    </row>
    <row r="30" spans="1:7" x14ac:dyDescent="0.3">
      <c r="A30" t="s">
        <v>1317</v>
      </c>
      <c r="B30" t="s">
        <v>437</v>
      </c>
      <c r="C30" t="s">
        <v>2094</v>
      </c>
      <c r="D30" s="4">
        <v>45640</v>
      </c>
      <c r="E30" t="s">
        <v>2104</v>
      </c>
      <c r="F30" t="s">
        <v>2098</v>
      </c>
      <c r="G30" t="s">
        <v>2101</v>
      </c>
    </row>
    <row r="31" spans="1:7" x14ac:dyDescent="0.3">
      <c r="A31" t="s">
        <v>659</v>
      </c>
      <c r="B31" t="s">
        <v>1005</v>
      </c>
      <c r="C31" t="s">
        <v>2094</v>
      </c>
      <c r="D31" s="4">
        <v>46100</v>
      </c>
      <c r="E31" t="s">
        <v>2095</v>
      </c>
      <c r="F31" t="s">
        <v>2098</v>
      </c>
      <c r="G31" t="s">
        <v>2097</v>
      </c>
    </row>
    <row r="32" spans="1:7" x14ac:dyDescent="0.3">
      <c r="A32" t="s">
        <v>409</v>
      </c>
      <c r="B32" t="s">
        <v>154</v>
      </c>
      <c r="C32" t="s">
        <v>2094</v>
      </c>
      <c r="D32" s="4">
        <v>46071</v>
      </c>
      <c r="E32" t="s">
        <v>2095</v>
      </c>
      <c r="F32" t="s">
        <v>2098</v>
      </c>
      <c r="G32" t="s">
        <v>2097</v>
      </c>
    </row>
    <row r="33" spans="1:7" x14ac:dyDescent="0.3">
      <c r="A33" t="s">
        <v>857</v>
      </c>
      <c r="B33" t="s">
        <v>138</v>
      </c>
      <c r="C33" t="s">
        <v>2102</v>
      </c>
      <c r="D33" s="4">
        <v>45489</v>
      </c>
      <c r="E33" t="s">
        <v>2095</v>
      </c>
      <c r="F33" t="s">
        <v>2100</v>
      </c>
      <c r="G33" t="s">
        <v>2103</v>
      </c>
    </row>
    <row r="34" spans="1:7" x14ac:dyDescent="0.3">
      <c r="A34" t="s">
        <v>325</v>
      </c>
      <c r="B34" t="s">
        <v>154</v>
      </c>
      <c r="C34" t="s">
        <v>2102</v>
      </c>
      <c r="D34" s="4">
        <v>45234</v>
      </c>
      <c r="E34" t="s">
        <v>2095</v>
      </c>
      <c r="F34" t="s">
        <v>2096</v>
      </c>
      <c r="G34" t="s">
        <v>2097</v>
      </c>
    </row>
    <row r="35" spans="1:7" x14ac:dyDescent="0.3">
      <c r="A35" t="s">
        <v>1267</v>
      </c>
      <c r="B35" t="s">
        <v>364</v>
      </c>
      <c r="C35" t="s">
        <v>2099</v>
      </c>
      <c r="D35" s="4">
        <v>45556</v>
      </c>
      <c r="E35" t="s">
        <v>2104</v>
      </c>
      <c r="F35" t="s">
        <v>2096</v>
      </c>
      <c r="G35" t="s">
        <v>2103</v>
      </c>
    </row>
    <row r="36" spans="1:7" x14ac:dyDescent="0.3">
      <c r="A36" t="s">
        <v>753</v>
      </c>
      <c r="B36" t="s">
        <v>708</v>
      </c>
      <c r="C36" t="s">
        <v>2094</v>
      </c>
      <c r="D36" s="4">
        <v>45998</v>
      </c>
      <c r="E36" t="s">
        <v>1781</v>
      </c>
      <c r="F36" t="s">
        <v>2096</v>
      </c>
      <c r="G36" t="s">
        <v>2101</v>
      </c>
    </row>
    <row r="37" spans="1:7" x14ac:dyDescent="0.3">
      <c r="A37" t="s">
        <v>456</v>
      </c>
      <c r="B37" t="s">
        <v>1170</v>
      </c>
      <c r="C37" t="s">
        <v>2102</v>
      </c>
      <c r="D37" s="4">
        <v>46234</v>
      </c>
      <c r="E37" t="s">
        <v>2095</v>
      </c>
      <c r="F37" t="s">
        <v>2098</v>
      </c>
      <c r="G37" t="s">
        <v>2101</v>
      </c>
    </row>
    <row r="38" spans="1:7" x14ac:dyDescent="0.3">
      <c r="A38" t="s">
        <v>70</v>
      </c>
      <c r="B38" t="s">
        <v>536</v>
      </c>
      <c r="C38" t="s">
        <v>2094</v>
      </c>
      <c r="D38" s="4">
        <v>45935</v>
      </c>
      <c r="E38" t="s">
        <v>2095</v>
      </c>
      <c r="F38" t="s">
        <v>2098</v>
      </c>
      <c r="G38" t="s">
        <v>2101</v>
      </c>
    </row>
    <row r="39" spans="1:7" x14ac:dyDescent="0.3">
      <c r="A39" t="s">
        <v>1081</v>
      </c>
      <c r="B39" t="s">
        <v>295</v>
      </c>
      <c r="C39" t="s">
        <v>2099</v>
      </c>
      <c r="D39" s="4">
        <v>45400</v>
      </c>
      <c r="E39" t="s">
        <v>2095</v>
      </c>
      <c r="F39" t="s">
        <v>2100</v>
      </c>
      <c r="G39" t="s">
        <v>2103</v>
      </c>
    </row>
    <row r="40" spans="1:7" x14ac:dyDescent="0.3">
      <c r="A40" t="s">
        <v>670</v>
      </c>
      <c r="B40" t="s">
        <v>590</v>
      </c>
      <c r="C40" t="s">
        <v>2102</v>
      </c>
      <c r="D40" s="4">
        <v>45452</v>
      </c>
      <c r="E40" t="s">
        <v>2095</v>
      </c>
      <c r="F40" t="s">
        <v>2098</v>
      </c>
      <c r="G40" t="s">
        <v>2101</v>
      </c>
    </row>
    <row r="41" spans="1:7" x14ac:dyDescent="0.3">
      <c r="A41" t="s">
        <v>692</v>
      </c>
      <c r="B41" t="s">
        <v>116</v>
      </c>
      <c r="C41" t="s">
        <v>2094</v>
      </c>
      <c r="D41" s="4">
        <v>46015</v>
      </c>
      <c r="E41" t="s">
        <v>2095</v>
      </c>
      <c r="F41" t="s">
        <v>2096</v>
      </c>
      <c r="G41" t="s">
        <v>2101</v>
      </c>
    </row>
    <row r="42" spans="1:7" x14ac:dyDescent="0.3">
      <c r="A42" t="s">
        <v>863</v>
      </c>
      <c r="B42" t="s">
        <v>314</v>
      </c>
      <c r="C42" t="s">
        <v>2102</v>
      </c>
      <c r="D42" s="4">
        <v>45978</v>
      </c>
      <c r="E42" t="s">
        <v>1781</v>
      </c>
      <c r="F42" t="s">
        <v>2098</v>
      </c>
      <c r="G42" t="s">
        <v>2097</v>
      </c>
    </row>
    <row r="43" spans="1:7" x14ac:dyDescent="0.3">
      <c r="A43" t="s">
        <v>537</v>
      </c>
      <c r="B43" t="s">
        <v>126</v>
      </c>
      <c r="C43" t="s">
        <v>2102</v>
      </c>
      <c r="D43" s="4">
        <v>45860</v>
      </c>
      <c r="E43" t="s">
        <v>2104</v>
      </c>
      <c r="F43" t="s">
        <v>2100</v>
      </c>
      <c r="G43" t="s">
        <v>2097</v>
      </c>
    </row>
    <row r="44" spans="1:7" x14ac:dyDescent="0.3">
      <c r="A44" t="s">
        <v>426</v>
      </c>
      <c r="B44" t="s">
        <v>720</v>
      </c>
      <c r="C44" t="s">
        <v>2102</v>
      </c>
      <c r="D44" s="4">
        <v>44324</v>
      </c>
      <c r="E44" t="s">
        <v>2095</v>
      </c>
      <c r="F44" t="s">
        <v>2096</v>
      </c>
      <c r="G44" t="s">
        <v>2097</v>
      </c>
    </row>
    <row r="45" spans="1:7" x14ac:dyDescent="0.3">
      <c r="A45" t="s">
        <v>497</v>
      </c>
      <c r="B45" t="s">
        <v>570</v>
      </c>
      <c r="C45" t="s">
        <v>2099</v>
      </c>
      <c r="D45" s="4">
        <v>44714</v>
      </c>
      <c r="E45" t="s">
        <v>2104</v>
      </c>
      <c r="F45" t="s">
        <v>2096</v>
      </c>
      <c r="G45" t="s">
        <v>2103</v>
      </c>
    </row>
    <row r="46" spans="1:7" x14ac:dyDescent="0.3">
      <c r="A46" t="s">
        <v>766</v>
      </c>
      <c r="B46" t="s">
        <v>582</v>
      </c>
      <c r="C46" t="s">
        <v>2099</v>
      </c>
      <c r="D46" s="4">
        <v>45765</v>
      </c>
      <c r="E46" t="s">
        <v>2095</v>
      </c>
      <c r="F46" t="s">
        <v>2100</v>
      </c>
      <c r="G46" t="s">
        <v>2103</v>
      </c>
    </row>
    <row r="47" spans="1:7" x14ac:dyDescent="0.3">
      <c r="A47" t="s">
        <v>240</v>
      </c>
      <c r="B47" t="s">
        <v>292</v>
      </c>
      <c r="C47" t="s">
        <v>2094</v>
      </c>
      <c r="D47" s="4">
        <v>45716</v>
      </c>
      <c r="E47" t="s">
        <v>2104</v>
      </c>
      <c r="F47" t="s">
        <v>2100</v>
      </c>
      <c r="G47" t="s">
        <v>2097</v>
      </c>
    </row>
    <row r="48" spans="1:7" x14ac:dyDescent="0.3">
      <c r="A48" t="s">
        <v>1069</v>
      </c>
      <c r="B48" t="s">
        <v>130</v>
      </c>
      <c r="C48" t="s">
        <v>2094</v>
      </c>
      <c r="D48" s="4">
        <v>45700</v>
      </c>
      <c r="E48" t="s">
        <v>2095</v>
      </c>
      <c r="F48" t="s">
        <v>2098</v>
      </c>
      <c r="G48" t="s">
        <v>2097</v>
      </c>
    </row>
    <row r="49" spans="1:7" x14ac:dyDescent="0.3">
      <c r="A49" t="s">
        <v>793</v>
      </c>
      <c r="B49" t="s">
        <v>1181</v>
      </c>
      <c r="C49" t="s">
        <v>2094</v>
      </c>
      <c r="D49" s="4">
        <v>44303</v>
      </c>
      <c r="E49" t="s">
        <v>2095</v>
      </c>
      <c r="F49" t="s">
        <v>2100</v>
      </c>
      <c r="G49" t="s">
        <v>2097</v>
      </c>
    </row>
    <row r="50" spans="1:7" x14ac:dyDescent="0.3">
      <c r="A50" t="s">
        <v>774</v>
      </c>
      <c r="B50" t="s">
        <v>781</v>
      </c>
      <c r="C50" t="s">
        <v>2102</v>
      </c>
      <c r="D50" s="4">
        <v>45269</v>
      </c>
      <c r="E50" t="s">
        <v>2095</v>
      </c>
      <c r="F50" t="s">
        <v>2100</v>
      </c>
      <c r="G50" t="s">
        <v>2103</v>
      </c>
    </row>
    <row r="51" spans="1:7" x14ac:dyDescent="0.3">
      <c r="A51" t="s">
        <v>557</v>
      </c>
      <c r="B51" t="s">
        <v>281</v>
      </c>
      <c r="C51" t="s">
        <v>2099</v>
      </c>
      <c r="D51" s="4">
        <v>46208</v>
      </c>
      <c r="E51" t="s">
        <v>2095</v>
      </c>
      <c r="F51" t="s">
        <v>2098</v>
      </c>
      <c r="G51" t="s">
        <v>2103</v>
      </c>
    </row>
    <row r="52" spans="1:7" x14ac:dyDescent="0.3">
      <c r="A52" t="s">
        <v>197</v>
      </c>
      <c r="B52" t="s">
        <v>749</v>
      </c>
      <c r="C52" t="s">
        <v>2099</v>
      </c>
      <c r="D52" s="4">
        <v>44904</v>
      </c>
      <c r="E52" t="s">
        <v>2104</v>
      </c>
      <c r="F52" t="s">
        <v>2096</v>
      </c>
      <c r="G52" t="s">
        <v>2101</v>
      </c>
    </row>
    <row r="53" spans="1:7" x14ac:dyDescent="0.3">
      <c r="A53" t="s">
        <v>211</v>
      </c>
      <c r="B53" t="s">
        <v>741</v>
      </c>
      <c r="C53" t="s">
        <v>2102</v>
      </c>
      <c r="D53" s="4">
        <v>45620</v>
      </c>
      <c r="E53" t="s">
        <v>2095</v>
      </c>
      <c r="F53" t="s">
        <v>2096</v>
      </c>
      <c r="G53" t="s">
        <v>2097</v>
      </c>
    </row>
    <row r="54" spans="1:7" x14ac:dyDescent="0.3">
      <c r="A54" t="s">
        <v>485</v>
      </c>
      <c r="B54" t="s">
        <v>359</v>
      </c>
      <c r="C54" t="s">
        <v>2102</v>
      </c>
      <c r="D54" s="4">
        <v>44910</v>
      </c>
      <c r="E54" t="s">
        <v>2095</v>
      </c>
      <c r="F54" t="s">
        <v>2098</v>
      </c>
      <c r="G54" t="s">
        <v>2097</v>
      </c>
    </row>
    <row r="55" spans="1:7" x14ac:dyDescent="0.3">
      <c r="A55" t="s">
        <v>653</v>
      </c>
      <c r="B55" t="s">
        <v>122</v>
      </c>
      <c r="C55" t="s">
        <v>2099</v>
      </c>
      <c r="D55" s="4">
        <v>45166</v>
      </c>
      <c r="E55" t="s">
        <v>2095</v>
      </c>
      <c r="F55" t="s">
        <v>2100</v>
      </c>
      <c r="G55" t="s">
        <v>2103</v>
      </c>
    </row>
    <row r="56" spans="1:7" x14ac:dyDescent="0.3">
      <c r="A56" t="s">
        <v>592</v>
      </c>
      <c r="B56" t="s">
        <v>390</v>
      </c>
      <c r="C56" t="s">
        <v>2099</v>
      </c>
      <c r="D56" s="4">
        <v>46111</v>
      </c>
      <c r="E56" t="s">
        <v>2095</v>
      </c>
      <c r="F56" t="s">
        <v>2098</v>
      </c>
      <c r="G56" t="s">
        <v>2097</v>
      </c>
    </row>
    <row r="57" spans="1:7" x14ac:dyDescent="0.3">
      <c r="A57" t="s">
        <v>1012</v>
      </c>
      <c r="B57" t="s">
        <v>130</v>
      </c>
      <c r="C57" t="s">
        <v>2102</v>
      </c>
      <c r="D57" s="4">
        <v>45463</v>
      </c>
      <c r="E57" t="s">
        <v>2095</v>
      </c>
      <c r="F57" t="s">
        <v>2100</v>
      </c>
      <c r="G57" t="s">
        <v>2103</v>
      </c>
    </row>
    <row r="58" spans="1:7" x14ac:dyDescent="0.3">
      <c r="A58" t="s">
        <v>417</v>
      </c>
      <c r="B58" t="s">
        <v>252</v>
      </c>
      <c r="C58" t="s">
        <v>2099</v>
      </c>
      <c r="D58" s="4">
        <v>45874</v>
      </c>
      <c r="E58" t="s">
        <v>2095</v>
      </c>
      <c r="F58" t="s">
        <v>2096</v>
      </c>
      <c r="G58" t="s">
        <v>2101</v>
      </c>
    </row>
    <row r="59" spans="1:7" x14ac:dyDescent="0.3">
      <c r="A59" t="s">
        <v>696</v>
      </c>
      <c r="B59" t="s">
        <v>530</v>
      </c>
      <c r="C59" t="s">
        <v>2094</v>
      </c>
      <c r="D59" s="4">
        <v>44500</v>
      </c>
      <c r="E59" t="s">
        <v>2095</v>
      </c>
      <c r="F59" t="s">
        <v>2096</v>
      </c>
      <c r="G59" t="s">
        <v>2097</v>
      </c>
    </row>
    <row r="60" spans="1:7" x14ac:dyDescent="0.3">
      <c r="A60" t="s">
        <v>344</v>
      </c>
      <c r="B60" t="s">
        <v>196</v>
      </c>
      <c r="C60" t="s">
        <v>2094</v>
      </c>
      <c r="D60" s="4">
        <v>44942</v>
      </c>
      <c r="E60" t="s">
        <v>2095</v>
      </c>
      <c r="F60" t="s">
        <v>2098</v>
      </c>
      <c r="G60" t="s">
        <v>2097</v>
      </c>
    </row>
    <row r="61" spans="1:7" x14ac:dyDescent="0.3">
      <c r="A61" t="s">
        <v>218</v>
      </c>
      <c r="B61" t="s">
        <v>948</v>
      </c>
      <c r="C61" t="s">
        <v>2099</v>
      </c>
      <c r="D61" s="4">
        <v>44823</v>
      </c>
      <c r="E61" t="s">
        <v>2095</v>
      </c>
      <c r="F61" t="s">
        <v>2100</v>
      </c>
      <c r="G61" t="s">
        <v>2097</v>
      </c>
    </row>
    <row r="62" spans="1:7" x14ac:dyDescent="0.3">
      <c r="A62" t="s">
        <v>354</v>
      </c>
      <c r="B62" t="s">
        <v>461</v>
      </c>
      <c r="C62" t="s">
        <v>2094</v>
      </c>
      <c r="D62" s="4">
        <v>45614</v>
      </c>
      <c r="E62" t="s">
        <v>1781</v>
      </c>
      <c r="F62" t="s">
        <v>2096</v>
      </c>
      <c r="G62" t="s">
        <v>2097</v>
      </c>
    </row>
    <row r="63" spans="1:7" x14ac:dyDescent="0.3">
      <c r="A63" t="s">
        <v>844</v>
      </c>
      <c r="B63" t="s">
        <v>239</v>
      </c>
      <c r="C63" t="s">
        <v>2102</v>
      </c>
      <c r="D63" s="4">
        <v>45321</v>
      </c>
      <c r="E63" t="s">
        <v>2095</v>
      </c>
      <c r="F63" t="s">
        <v>2100</v>
      </c>
      <c r="G63" t="s">
        <v>2097</v>
      </c>
    </row>
    <row r="64" spans="1:7" x14ac:dyDescent="0.3">
      <c r="A64" t="s">
        <v>467</v>
      </c>
      <c r="B64" t="s">
        <v>847</v>
      </c>
      <c r="C64" t="s">
        <v>2099</v>
      </c>
      <c r="D64" s="4">
        <v>46255</v>
      </c>
      <c r="E64" t="s">
        <v>2095</v>
      </c>
      <c r="F64" t="s">
        <v>2100</v>
      </c>
      <c r="G64" t="s">
        <v>2097</v>
      </c>
    </row>
    <row r="65" spans="1:7" x14ac:dyDescent="0.3">
      <c r="A65" t="s">
        <v>301</v>
      </c>
      <c r="B65" t="s">
        <v>620</v>
      </c>
      <c r="C65" t="s">
        <v>2102</v>
      </c>
      <c r="D65" s="4">
        <v>44898</v>
      </c>
      <c r="E65" t="s">
        <v>2104</v>
      </c>
      <c r="F65" t="s">
        <v>2100</v>
      </c>
      <c r="G65" t="s">
        <v>2103</v>
      </c>
    </row>
    <row r="66" spans="1:7" x14ac:dyDescent="0.3">
      <c r="A66" t="s">
        <v>462</v>
      </c>
      <c r="B66" t="s">
        <v>203</v>
      </c>
      <c r="C66" t="s">
        <v>2099</v>
      </c>
      <c r="D66" s="4">
        <v>44365</v>
      </c>
      <c r="E66" t="s">
        <v>2095</v>
      </c>
      <c r="F66" t="s">
        <v>2100</v>
      </c>
      <c r="G66" t="s">
        <v>2101</v>
      </c>
    </row>
    <row r="67" spans="1:7" x14ac:dyDescent="0.3">
      <c r="A67" t="s">
        <v>346</v>
      </c>
      <c r="B67" t="s">
        <v>398</v>
      </c>
      <c r="C67" t="s">
        <v>2099</v>
      </c>
      <c r="D67" s="4">
        <v>45281</v>
      </c>
      <c r="E67" t="s">
        <v>2104</v>
      </c>
      <c r="F67" t="s">
        <v>2096</v>
      </c>
      <c r="G67" t="s">
        <v>2101</v>
      </c>
    </row>
    <row r="68" spans="1:7" x14ac:dyDescent="0.3">
      <c r="A68" t="s">
        <v>315</v>
      </c>
      <c r="B68" t="s">
        <v>148</v>
      </c>
      <c r="C68" t="s">
        <v>2102</v>
      </c>
      <c r="D68" s="4">
        <v>44321</v>
      </c>
      <c r="E68" t="s">
        <v>2095</v>
      </c>
      <c r="F68" t="s">
        <v>2100</v>
      </c>
      <c r="G68" t="s">
        <v>2103</v>
      </c>
    </row>
    <row r="69" spans="1:7" x14ac:dyDescent="0.3">
      <c r="A69" t="s">
        <v>1207</v>
      </c>
      <c r="B69" t="s">
        <v>646</v>
      </c>
      <c r="C69" t="s">
        <v>2102</v>
      </c>
      <c r="D69" s="4">
        <v>46175</v>
      </c>
      <c r="E69" t="s">
        <v>2095</v>
      </c>
      <c r="F69" t="s">
        <v>2096</v>
      </c>
      <c r="G69" t="s">
        <v>2097</v>
      </c>
    </row>
    <row r="70" spans="1:7" x14ac:dyDescent="0.3">
      <c r="A70" t="s">
        <v>296</v>
      </c>
      <c r="B70" t="s">
        <v>919</v>
      </c>
      <c r="C70" t="s">
        <v>2094</v>
      </c>
      <c r="D70" s="4">
        <v>44442</v>
      </c>
      <c r="E70" t="s">
        <v>2095</v>
      </c>
      <c r="F70" t="s">
        <v>2096</v>
      </c>
      <c r="G70" t="s">
        <v>2097</v>
      </c>
    </row>
    <row r="71" spans="1:7" x14ac:dyDescent="0.3">
      <c r="A71" t="s">
        <v>214</v>
      </c>
      <c r="B71" t="s">
        <v>435</v>
      </c>
      <c r="C71" t="s">
        <v>2099</v>
      </c>
      <c r="D71" s="4">
        <v>45590</v>
      </c>
      <c r="E71" t="s">
        <v>2095</v>
      </c>
      <c r="F71" t="s">
        <v>2100</v>
      </c>
      <c r="G71" t="s">
        <v>2103</v>
      </c>
    </row>
    <row r="72" spans="1:7" x14ac:dyDescent="0.3">
      <c r="A72" t="s">
        <v>290</v>
      </c>
      <c r="B72" t="s">
        <v>521</v>
      </c>
      <c r="C72" t="s">
        <v>2099</v>
      </c>
      <c r="D72" s="4">
        <v>45611</v>
      </c>
      <c r="E72" t="s">
        <v>2104</v>
      </c>
      <c r="F72" t="s">
        <v>2100</v>
      </c>
      <c r="G72" t="s">
        <v>2101</v>
      </c>
    </row>
    <row r="73" spans="1:7" x14ac:dyDescent="0.3">
      <c r="A73" t="s">
        <v>522</v>
      </c>
      <c r="B73" t="s">
        <v>625</v>
      </c>
      <c r="C73" t="s">
        <v>2099</v>
      </c>
      <c r="D73" s="4">
        <v>44631</v>
      </c>
      <c r="E73" t="s">
        <v>2095</v>
      </c>
      <c r="F73" t="s">
        <v>2096</v>
      </c>
      <c r="G73" t="s">
        <v>2103</v>
      </c>
    </row>
    <row r="74" spans="1:7" x14ac:dyDescent="0.3">
      <c r="A74" t="s">
        <v>262</v>
      </c>
      <c r="B74" t="s">
        <v>720</v>
      </c>
      <c r="C74" t="s">
        <v>2099</v>
      </c>
      <c r="D74" s="4">
        <v>45212</v>
      </c>
      <c r="E74" t="s">
        <v>2095</v>
      </c>
      <c r="F74" t="s">
        <v>2096</v>
      </c>
      <c r="G74" t="s">
        <v>2101</v>
      </c>
    </row>
    <row r="75" spans="1:7" x14ac:dyDescent="0.3">
      <c r="A75" t="s">
        <v>711</v>
      </c>
      <c r="B75" t="s">
        <v>1103</v>
      </c>
      <c r="C75" t="s">
        <v>2099</v>
      </c>
      <c r="D75" s="4">
        <v>45909</v>
      </c>
      <c r="E75" t="s">
        <v>2104</v>
      </c>
      <c r="F75" t="s">
        <v>2100</v>
      </c>
      <c r="G75" t="s">
        <v>2101</v>
      </c>
    </row>
    <row r="76" spans="1:7" x14ac:dyDescent="0.3">
      <c r="A76" t="s">
        <v>634</v>
      </c>
      <c r="B76" t="s">
        <v>633</v>
      </c>
      <c r="C76" t="s">
        <v>2099</v>
      </c>
      <c r="D76" s="4">
        <v>45477</v>
      </c>
      <c r="E76" t="s">
        <v>2095</v>
      </c>
      <c r="F76" t="s">
        <v>2100</v>
      </c>
      <c r="G76" t="s">
        <v>2103</v>
      </c>
    </row>
    <row r="77" spans="1:7" x14ac:dyDescent="0.3">
      <c r="A77" t="s">
        <v>438</v>
      </c>
      <c r="B77" t="s">
        <v>187</v>
      </c>
      <c r="C77" t="s">
        <v>2094</v>
      </c>
      <c r="D77" s="4">
        <v>46239</v>
      </c>
      <c r="E77" t="s">
        <v>2095</v>
      </c>
      <c r="F77" t="s">
        <v>2096</v>
      </c>
      <c r="G77" t="s">
        <v>2101</v>
      </c>
    </row>
    <row r="78" spans="1:7" x14ac:dyDescent="0.3">
      <c r="A78" t="s">
        <v>528</v>
      </c>
      <c r="B78" t="s">
        <v>888</v>
      </c>
      <c r="C78" t="s">
        <v>2099</v>
      </c>
      <c r="D78" s="4">
        <v>46069</v>
      </c>
      <c r="E78" t="s">
        <v>2095</v>
      </c>
      <c r="F78" t="s">
        <v>2098</v>
      </c>
      <c r="G78" t="s">
        <v>2097</v>
      </c>
    </row>
    <row r="79" spans="1:7" x14ac:dyDescent="0.3">
      <c r="A79" t="s">
        <v>902</v>
      </c>
      <c r="B79" t="s">
        <v>122</v>
      </c>
      <c r="C79" t="s">
        <v>2102</v>
      </c>
      <c r="D79" s="4">
        <v>45349</v>
      </c>
      <c r="E79" t="s">
        <v>1781</v>
      </c>
      <c r="F79" t="s">
        <v>2100</v>
      </c>
      <c r="G79" t="s">
        <v>2101</v>
      </c>
    </row>
    <row r="80" spans="1:7" x14ac:dyDescent="0.3">
      <c r="A80" t="s">
        <v>489</v>
      </c>
      <c r="B80" t="s">
        <v>642</v>
      </c>
      <c r="C80" t="s">
        <v>2102</v>
      </c>
      <c r="D80" s="4">
        <v>46124</v>
      </c>
      <c r="E80" t="s">
        <v>2095</v>
      </c>
      <c r="F80" t="s">
        <v>2098</v>
      </c>
      <c r="G80" t="s">
        <v>2103</v>
      </c>
    </row>
    <row r="81" spans="1:7" x14ac:dyDescent="0.3">
      <c r="A81" t="s">
        <v>136</v>
      </c>
      <c r="B81" t="s">
        <v>352</v>
      </c>
      <c r="C81" t="s">
        <v>2102</v>
      </c>
      <c r="D81" s="4">
        <v>44745</v>
      </c>
      <c r="E81" t="s">
        <v>2095</v>
      </c>
      <c r="F81" t="s">
        <v>2096</v>
      </c>
      <c r="G81" t="s">
        <v>2103</v>
      </c>
    </row>
    <row r="82" spans="1:7" x14ac:dyDescent="0.3">
      <c r="A82" t="s">
        <v>110</v>
      </c>
      <c r="B82" t="s">
        <v>521</v>
      </c>
      <c r="C82" t="s">
        <v>2099</v>
      </c>
      <c r="D82" s="4">
        <v>44382</v>
      </c>
      <c r="E82" t="s">
        <v>2095</v>
      </c>
      <c r="F82" t="s">
        <v>2098</v>
      </c>
      <c r="G82" t="s">
        <v>2103</v>
      </c>
    </row>
    <row r="83" spans="1:7" x14ac:dyDescent="0.3">
      <c r="A83" t="s">
        <v>446</v>
      </c>
      <c r="B83" t="s">
        <v>255</v>
      </c>
      <c r="C83" t="s">
        <v>2094</v>
      </c>
      <c r="D83" s="4">
        <v>45379</v>
      </c>
      <c r="E83" t="s">
        <v>2095</v>
      </c>
      <c r="F83" t="s">
        <v>2100</v>
      </c>
      <c r="G83" t="s">
        <v>2103</v>
      </c>
    </row>
    <row r="84" spans="1:7" x14ac:dyDescent="0.3">
      <c r="A84" t="s">
        <v>768</v>
      </c>
      <c r="B84" t="s">
        <v>239</v>
      </c>
      <c r="C84" t="s">
        <v>2099</v>
      </c>
      <c r="D84" s="4">
        <v>44683</v>
      </c>
      <c r="E84" t="s">
        <v>2095</v>
      </c>
      <c r="F84" t="s">
        <v>2096</v>
      </c>
      <c r="G84" t="s">
        <v>2101</v>
      </c>
    </row>
    <row r="85" spans="1:7" x14ac:dyDescent="0.3">
      <c r="A85" t="s">
        <v>1489</v>
      </c>
      <c r="B85" t="s">
        <v>720</v>
      </c>
      <c r="C85" t="s">
        <v>2099</v>
      </c>
      <c r="D85" s="4">
        <v>45694</v>
      </c>
      <c r="E85" t="s">
        <v>2095</v>
      </c>
      <c r="F85" t="s">
        <v>2096</v>
      </c>
      <c r="G85" t="s">
        <v>2101</v>
      </c>
    </row>
    <row r="86" spans="1:7" x14ac:dyDescent="0.3">
      <c r="A86" t="s">
        <v>1204</v>
      </c>
      <c r="B86" t="s">
        <v>639</v>
      </c>
      <c r="C86" t="s">
        <v>2099</v>
      </c>
      <c r="D86" s="4">
        <v>44361</v>
      </c>
      <c r="E86" t="s">
        <v>2095</v>
      </c>
      <c r="F86" t="s">
        <v>2096</v>
      </c>
      <c r="G86" t="s">
        <v>2103</v>
      </c>
    </row>
    <row r="87" spans="1:7" x14ac:dyDescent="0.3">
      <c r="A87" t="s">
        <v>1219</v>
      </c>
      <c r="B87" t="s">
        <v>272</v>
      </c>
      <c r="C87" t="s">
        <v>2102</v>
      </c>
      <c r="D87" s="4">
        <v>46068</v>
      </c>
      <c r="E87" t="s">
        <v>1781</v>
      </c>
      <c r="F87" t="s">
        <v>2098</v>
      </c>
      <c r="G87" t="s">
        <v>2103</v>
      </c>
    </row>
    <row r="88" spans="1:7" x14ac:dyDescent="0.3">
      <c r="A88" t="s">
        <v>739</v>
      </c>
      <c r="B88" t="s">
        <v>761</v>
      </c>
      <c r="C88" t="s">
        <v>2094</v>
      </c>
      <c r="D88" s="4">
        <v>45501</v>
      </c>
      <c r="E88" t="s">
        <v>1781</v>
      </c>
      <c r="F88" t="s">
        <v>2100</v>
      </c>
      <c r="G88" t="s">
        <v>2103</v>
      </c>
    </row>
    <row r="89" spans="1:7" x14ac:dyDescent="0.3">
      <c r="A89" t="s">
        <v>256</v>
      </c>
      <c r="B89" t="s">
        <v>392</v>
      </c>
      <c r="C89" t="s">
        <v>2102</v>
      </c>
      <c r="D89" s="4">
        <v>45574</v>
      </c>
      <c r="E89" t="s">
        <v>2095</v>
      </c>
      <c r="F89" t="s">
        <v>2100</v>
      </c>
      <c r="G89" t="s">
        <v>2101</v>
      </c>
    </row>
    <row r="90" spans="1:7" x14ac:dyDescent="0.3">
      <c r="A90" t="s">
        <v>1300</v>
      </c>
      <c r="B90" t="s">
        <v>268</v>
      </c>
      <c r="C90" t="s">
        <v>2099</v>
      </c>
      <c r="D90" s="4">
        <v>45424</v>
      </c>
      <c r="E90" t="s">
        <v>2095</v>
      </c>
      <c r="F90" t="s">
        <v>2100</v>
      </c>
      <c r="G90" t="s">
        <v>2097</v>
      </c>
    </row>
    <row r="91" spans="1:7" x14ac:dyDescent="0.3">
      <c r="A91" t="s">
        <v>114</v>
      </c>
      <c r="B91" t="s">
        <v>217</v>
      </c>
      <c r="C91" t="s">
        <v>2094</v>
      </c>
      <c r="D91" s="4">
        <v>45903</v>
      </c>
      <c r="E91" t="s">
        <v>2104</v>
      </c>
      <c r="F91" t="s">
        <v>2100</v>
      </c>
      <c r="G91" t="s">
        <v>2101</v>
      </c>
    </row>
    <row r="92" spans="1:7" x14ac:dyDescent="0.3">
      <c r="A92" t="s">
        <v>1235</v>
      </c>
      <c r="B92" t="s">
        <v>804</v>
      </c>
      <c r="C92" t="s">
        <v>2094</v>
      </c>
      <c r="D92" s="4">
        <v>44306</v>
      </c>
      <c r="E92" t="s">
        <v>2095</v>
      </c>
      <c r="F92" t="s">
        <v>2100</v>
      </c>
      <c r="G92" t="s">
        <v>2101</v>
      </c>
    </row>
    <row r="93" spans="1:7" x14ac:dyDescent="0.3">
      <c r="A93" t="s">
        <v>362</v>
      </c>
      <c r="B93" t="s">
        <v>612</v>
      </c>
      <c r="C93" t="s">
        <v>2102</v>
      </c>
      <c r="D93" s="4">
        <v>45129</v>
      </c>
      <c r="E93" t="s">
        <v>2095</v>
      </c>
      <c r="F93" t="s">
        <v>2100</v>
      </c>
      <c r="G93" t="s">
        <v>2101</v>
      </c>
    </row>
    <row r="94" spans="1:7" x14ac:dyDescent="0.3">
      <c r="A94" t="s">
        <v>963</v>
      </c>
      <c r="B94" t="s">
        <v>524</v>
      </c>
      <c r="C94" t="s">
        <v>2102</v>
      </c>
      <c r="D94" s="4">
        <v>45754</v>
      </c>
      <c r="E94" t="s">
        <v>2095</v>
      </c>
      <c r="F94" t="s">
        <v>2100</v>
      </c>
      <c r="G94" t="s">
        <v>2101</v>
      </c>
    </row>
    <row r="95" spans="1:7" x14ac:dyDescent="0.3">
      <c r="A95" t="s">
        <v>487</v>
      </c>
      <c r="B95" t="s">
        <v>633</v>
      </c>
      <c r="C95" t="s">
        <v>2099</v>
      </c>
      <c r="D95" s="4">
        <v>44647</v>
      </c>
      <c r="E95" t="s">
        <v>2095</v>
      </c>
      <c r="F95" t="s">
        <v>2096</v>
      </c>
      <c r="G95" t="s">
        <v>2097</v>
      </c>
    </row>
    <row r="96" spans="1:7" x14ac:dyDescent="0.3">
      <c r="A96" t="s">
        <v>167</v>
      </c>
      <c r="B96" t="s">
        <v>119</v>
      </c>
      <c r="C96" t="s">
        <v>2099</v>
      </c>
      <c r="D96" s="4">
        <v>45888</v>
      </c>
      <c r="E96" t="s">
        <v>2095</v>
      </c>
      <c r="F96" t="s">
        <v>2100</v>
      </c>
      <c r="G96" t="s">
        <v>2103</v>
      </c>
    </row>
    <row r="97" spans="1:7" x14ac:dyDescent="0.3">
      <c r="A97" t="s">
        <v>145</v>
      </c>
      <c r="B97" t="s">
        <v>953</v>
      </c>
      <c r="C97" t="s">
        <v>2102</v>
      </c>
      <c r="D97" s="4">
        <v>44452</v>
      </c>
      <c r="E97" t="s">
        <v>2095</v>
      </c>
      <c r="F97" t="s">
        <v>2096</v>
      </c>
      <c r="G97" t="s">
        <v>2101</v>
      </c>
    </row>
    <row r="98" spans="1:7" x14ac:dyDescent="0.3">
      <c r="A98" t="s">
        <v>472</v>
      </c>
      <c r="B98" t="s">
        <v>227</v>
      </c>
      <c r="C98" t="s">
        <v>2094</v>
      </c>
      <c r="D98" s="4">
        <v>46156</v>
      </c>
      <c r="E98" t="s">
        <v>2095</v>
      </c>
      <c r="F98" t="s">
        <v>2098</v>
      </c>
      <c r="G98" t="s">
        <v>2103</v>
      </c>
    </row>
    <row r="99" spans="1:7" x14ac:dyDescent="0.3">
      <c r="A99" t="s">
        <v>204</v>
      </c>
      <c r="B99" t="s">
        <v>437</v>
      </c>
      <c r="C99" t="s">
        <v>2094</v>
      </c>
      <c r="D99" s="4">
        <v>45599</v>
      </c>
      <c r="E99" t="s">
        <v>2095</v>
      </c>
      <c r="F99" t="s">
        <v>2100</v>
      </c>
      <c r="G99" t="s">
        <v>2101</v>
      </c>
    </row>
    <row r="100" spans="1:7" x14ac:dyDescent="0.3">
      <c r="A100" t="s">
        <v>123</v>
      </c>
      <c r="B100" t="s">
        <v>574</v>
      </c>
      <c r="C100" t="s">
        <v>2094</v>
      </c>
      <c r="D100" s="4">
        <v>45279</v>
      </c>
      <c r="E100" t="s">
        <v>2095</v>
      </c>
      <c r="F100" t="s">
        <v>2098</v>
      </c>
      <c r="G100" t="s">
        <v>2103</v>
      </c>
    </row>
    <row r="101" spans="1:7" x14ac:dyDescent="0.3">
      <c r="A101" t="s">
        <v>730</v>
      </c>
      <c r="B101" t="s">
        <v>407</v>
      </c>
      <c r="C101" t="s">
        <v>2094</v>
      </c>
      <c r="D101" s="4">
        <v>45419</v>
      </c>
      <c r="E101" t="s">
        <v>2104</v>
      </c>
      <c r="F101" t="s">
        <v>2100</v>
      </c>
      <c r="G101" t="s">
        <v>2097</v>
      </c>
    </row>
    <row r="102" spans="1:7" x14ac:dyDescent="0.3">
      <c r="A102" t="s">
        <v>2107</v>
      </c>
      <c r="B102" t="s">
        <v>625</v>
      </c>
      <c r="C102" t="s">
        <v>2094</v>
      </c>
      <c r="D102" s="4">
        <v>46199</v>
      </c>
      <c r="E102" t="s">
        <v>2095</v>
      </c>
      <c r="F102" t="s">
        <v>2100</v>
      </c>
      <c r="G102" t="s">
        <v>2103</v>
      </c>
    </row>
    <row r="103" spans="1:7" x14ac:dyDescent="0.3">
      <c r="A103" t="s">
        <v>499</v>
      </c>
      <c r="B103" t="s">
        <v>93</v>
      </c>
      <c r="C103" t="s">
        <v>2102</v>
      </c>
      <c r="D103" s="4">
        <v>45375</v>
      </c>
      <c r="E103" t="s">
        <v>2095</v>
      </c>
      <c r="F103" t="s">
        <v>2096</v>
      </c>
      <c r="G103" t="s">
        <v>2103</v>
      </c>
    </row>
    <row r="104" spans="1:7" x14ac:dyDescent="0.3">
      <c r="A104" t="s">
        <v>586</v>
      </c>
      <c r="B104" t="s">
        <v>524</v>
      </c>
      <c r="C104" t="s">
        <v>2094</v>
      </c>
      <c r="D104" s="4">
        <v>45610</v>
      </c>
      <c r="E104" t="s">
        <v>2095</v>
      </c>
      <c r="F104" t="s">
        <v>2100</v>
      </c>
      <c r="G104" t="s">
        <v>2097</v>
      </c>
    </row>
    <row r="105" spans="1:7" x14ac:dyDescent="0.3">
      <c r="A105" t="s">
        <v>690</v>
      </c>
      <c r="B105" t="s">
        <v>749</v>
      </c>
      <c r="C105" t="s">
        <v>2102</v>
      </c>
      <c r="D105" s="4">
        <v>45615</v>
      </c>
      <c r="E105" t="s">
        <v>2095</v>
      </c>
      <c r="F105" t="s">
        <v>2096</v>
      </c>
      <c r="G105" t="s">
        <v>2097</v>
      </c>
    </row>
    <row r="106" spans="1:7" x14ac:dyDescent="0.3">
      <c r="A106" t="s">
        <v>331</v>
      </c>
      <c r="B106" t="s">
        <v>275</v>
      </c>
      <c r="C106" t="s">
        <v>2094</v>
      </c>
      <c r="D106" s="4">
        <v>45024</v>
      </c>
      <c r="E106" t="s">
        <v>1781</v>
      </c>
      <c r="F106" t="s">
        <v>2100</v>
      </c>
      <c r="G106" t="s">
        <v>2103</v>
      </c>
    </row>
    <row r="107" spans="1:7" x14ac:dyDescent="0.3">
      <c r="A107" t="s">
        <v>604</v>
      </c>
      <c r="B107" t="s">
        <v>287</v>
      </c>
      <c r="C107" t="s">
        <v>2102</v>
      </c>
      <c r="D107" s="4">
        <v>44759</v>
      </c>
      <c r="E107" t="s">
        <v>2104</v>
      </c>
      <c r="F107" t="s">
        <v>2098</v>
      </c>
      <c r="G107" t="s">
        <v>2097</v>
      </c>
    </row>
    <row r="108" spans="1:7" x14ac:dyDescent="0.3">
      <c r="A108" t="s">
        <v>405</v>
      </c>
      <c r="B108" t="s">
        <v>246</v>
      </c>
      <c r="C108" t="s">
        <v>2102</v>
      </c>
      <c r="D108" s="4">
        <v>44404</v>
      </c>
      <c r="E108" t="s">
        <v>2095</v>
      </c>
      <c r="F108" t="s">
        <v>2098</v>
      </c>
      <c r="G108" t="s">
        <v>2097</v>
      </c>
    </row>
    <row r="109" spans="1:7" x14ac:dyDescent="0.3">
      <c r="A109" t="s">
        <v>1309</v>
      </c>
      <c r="B109" t="s">
        <v>547</v>
      </c>
      <c r="C109" t="s">
        <v>2094</v>
      </c>
      <c r="D109" s="4">
        <v>44607</v>
      </c>
      <c r="E109" t="s">
        <v>2095</v>
      </c>
      <c r="F109" t="s">
        <v>2098</v>
      </c>
      <c r="G109" t="s">
        <v>2101</v>
      </c>
    </row>
    <row r="110" spans="1:7" x14ac:dyDescent="0.3">
      <c r="A110" t="s">
        <v>1056</v>
      </c>
      <c r="B110" t="s">
        <v>658</v>
      </c>
      <c r="C110" t="s">
        <v>2102</v>
      </c>
      <c r="D110" s="4">
        <v>44760</v>
      </c>
      <c r="E110" t="s">
        <v>1781</v>
      </c>
      <c r="F110" t="s">
        <v>2098</v>
      </c>
      <c r="G110" t="s">
        <v>2103</v>
      </c>
    </row>
    <row r="111" spans="1:7" x14ac:dyDescent="0.3">
      <c r="A111" t="s">
        <v>266</v>
      </c>
      <c r="B111" t="s">
        <v>515</v>
      </c>
      <c r="C111" t="s">
        <v>2102</v>
      </c>
      <c r="D111" s="4">
        <v>46145</v>
      </c>
      <c r="E111" t="s">
        <v>2095</v>
      </c>
      <c r="F111" t="s">
        <v>2096</v>
      </c>
      <c r="G111" t="s">
        <v>2103</v>
      </c>
    </row>
    <row r="112" spans="1:7" x14ac:dyDescent="0.3">
      <c r="A112" t="s">
        <v>827</v>
      </c>
      <c r="B112" t="s">
        <v>428</v>
      </c>
      <c r="C112" t="s">
        <v>2099</v>
      </c>
      <c r="D112" s="4">
        <v>45366</v>
      </c>
      <c r="E112" t="s">
        <v>1781</v>
      </c>
      <c r="F112" t="s">
        <v>2098</v>
      </c>
      <c r="G112" t="s">
        <v>2101</v>
      </c>
    </row>
    <row r="113" spans="1:7" x14ac:dyDescent="0.3">
      <c r="A113" t="s">
        <v>797</v>
      </c>
      <c r="B113" t="s">
        <v>680</v>
      </c>
      <c r="C113" t="s">
        <v>2102</v>
      </c>
      <c r="D113" s="4">
        <v>45148</v>
      </c>
      <c r="E113" t="s">
        <v>2104</v>
      </c>
      <c r="F113" t="s">
        <v>2098</v>
      </c>
      <c r="G113" t="s">
        <v>2097</v>
      </c>
    </row>
    <row r="114" spans="1:7" x14ac:dyDescent="0.3">
      <c r="A114" t="s">
        <v>1115</v>
      </c>
      <c r="B114" t="s">
        <v>474</v>
      </c>
      <c r="C114" t="s">
        <v>2099</v>
      </c>
      <c r="D114" s="4">
        <v>45908</v>
      </c>
      <c r="E114" t="s">
        <v>1781</v>
      </c>
      <c r="F114" t="s">
        <v>2096</v>
      </c>
      <c r="G114" t="s">
        <v>2103</v>
      </c>
    </row>
    <row r="115" spans="1:7" x14ac:dyDescent="0.3">
      <c r="A115" t="s">
        <v>1269</v>
      </c>
      <c r="B115" t="s">
        <v>599</v>
      </c>
      <c r="C115" t="s">
        <v>2099</v>
      </c>
      <c r="D115" s="4">
        <v>44960</v>
      </c>
      <c r="E115" t="s">
        <v>2095</v>
      </c>
      <c r="F115" t="s">
        <v>2100</v>
      </c>
      <c r="G115" t="s">
        <v>2101</v>
      </c>
    </row>
    <row r="116" spans="1:7" x14ac:dyDescent="0.3">
      <c r="A116" t="s">
        <v>451</v>
      </c>
      <c r="B116" t="s">
        <v>170</v>
      </c>
      <c r="C116" t="s">
        <v>2094</v>
      </c>
      <c r="D116" s="4">
        <v>44636</v>
      </c>
      <c r="E116" t="s">
        <v>2095</v>
      </c>
      <c r="F116" t="s">
        <v>2100</v>
      </c>
      <c r="G116" t="s">
        <v>2101</v>
      </c>
    </row>
    <row r="117" spans="1:7" x14ac:dyDescent="0.3">
      <c r="A117" t="s">
        <v>950</v>
      </c>
      <c r="B117" t="s">
        <v>64</v>
      </c>
      <c r="C117" t="s">
        <v>2102</v>
      </c>
      <c r="D117" s="4">
        <v>46220</v>
      </c>
      <c r="E117" t="s">
        <v>2095</v>
      </c>
      <c r="F117" t="s">
        <v>2098</v>
      </c>
      <c r="G117" t="s">
        <v>2097</v>
      </c>
    </row>
    <row r="118" spans="1:7" x14ac:dyDescent="0.3">
      <c r="A118" t="s">
        <v>149</v>
      </c>
      <c r="B118" t="s">
        <v>761</v>
      </c>
      <c r="C118" t="s">
        <v>2102</v>
      </c>
      <c r="D118" s="4">
        <v>45551</v>
      </c>
      <c r="E118" t="s">
        <v>2095</v>
      </c>
      <c r="F118" t="s">
        <v>2096</v>
      </c>
      <c r="G118" t="s">
        <v>2101</v>
      </c>
    </row>
    <row r="119" spans="1:7" x14ac:dyDescent="0.3">
      <c r="A119" t="s">
        <v>285</v>
      </c>
      <c r="B119" t="s">
        <v>338</v>
      </c>
      <c r="C119" t="s">
        <v>2102</v>
      </c>
      <c r="D119" s="4">
        <v>44959</v>
      </c>
      <c r="E119" t="s">
        <v>2095</v>
      </c>
      <c r="F119" t="s">
        <v>2096</v>
      </c>
      <c r="G119" t="s">
        <v>2101</v>
      </c>
    </row>
    <row r="120" spans="1:7" x14ac:dyDescent="0.3">
      <c r="A120" t="s">
        <v>188</v>
      </c>
      <c r="B120" t="s">
        <v>289</v>
      </c>
      <c r="C120" t="s">
        <v>2102</v>
      </c>
      <c r="D120" s="4">
        <v>44988</v>
      </c>
      <c r="E120" t="s">
        <v>1781</v>
      </c>
      <c r="F120" t="s">
        <v>2096</v>
      </c>
      <c r="G120" t="s">
        <v>2103</v>
      </c>
    </row>
    <row r="121" spans="1:7" x14ac:dyDescent="0.3">
      <c r="A121" t="s">
        <v>544</v>
      </c>
      <c r="B121" t="s">
        <v>379</v>
      </c>
      <c r="C121" t="s">
        <v>2094</v>
      </c>
      <c r="D121" s="4">
        <v>45540</v>
      </c>
      <c r="E121" t="s">
        <v>2095</v>
      </c>
      <c r="F121" t="s">
        <v>2098</v>
      </c>
      <c r="G121" t="s">
        <v>2097</v>
      </c>
    </row>
    <row r="122" spans="1:7" x14ac:dyDescent="0.3">
      <c r="A122" t="s">
        <v>904</v>
      </c>
      <c r="B122" t="s">
        <v>295</v>
      </c>
      <c r="C122" t="s">
        <v>2099</v>
      </c>
      <c r="D122" s="4">
        <v>46152</v>
      </c>
      <c r="E122" t="s">
        <v>2095</v>
      </c>
      <c r="F122" t="s">
        <v>2096</v>
      </c>
      <c r="G122" t="s">
        <v>2097</v>
      </c>
    </row>
    <row r="123" spans="1:7" x14ac:dyDescent="0.3">
      <c r="A123" t="s">
        <v>475</v>
      </c>
      <c r="B123" t="s">
        <v>307</v>
      </c>
      <c r="C123" t="s">
        <v>2094</v>
      </c>
      <c r="D123" s="4">
        <v>46026</v>
      </c>
      <c r="E123" t="s">
        <v>2095</v>
      </c>
      <c r="F123" t="s">
        <v>2100</v>
      </c>
      <c r="G123" t="s">
        <v>2101</v>
      </c>
    </row>
    <row r="124" spans="1:7" x14ac:dyDescent="0.3">
      <c r="A124" t="s">
        <v>228</v>
      </c>
      <c r="B124" t="s">
        <v>781</v>
      </c>
      <c r="C124" t="s">
        <v>2102</v>
      </c>
      <c r="D124" s="4">
        <v>44243</v>
      </c>
      <c r="E124" t="s">
        <v>2095</v>
      </c>
      <c r="F124" t="s">
        <v>2098</v>
      </c>
      <c r="G124" t="s">
        <v>2097</v>
      </c>
    </row>
    <row r="125" spans="1:7" x14ac:dyDescent="0.3">
      <c r="A125" t="s">
        <v>505</v>
      </c>
      <c r="B125" t="s">
        <v>411</v>
      </c>
      <c r="C125" t="s">
        <v>2094</v>
      </c>
      <c r="D125" s="4">
        <v>44681</v>
      </c>
      <c r="E125" t="s">
        <v>2095</v>
      </c>
      <c r="F125" t="s">
        <v>2100</v>
      </c>
      <c r="G125" t="s">
        <v>2101</v>
      </c>
    </row>
    <row r="126" spans="1:7" x14ac:dyDescent="0.3">
      <c r="A126" t="s">
        <v>595</v>
      </c>
      <c r="B126" t="s">
        <v>119</v>
      </c>
      <c r="C126" t="s">
        <v>2099</v>
      </c>
      <c r="D126" s="4">
        <v>45470</v>
      </c>
      <c r="E126" t="s">
        <v>2095</v>
      </c>
      <c r="F126" t="s">
        <v>2096</v>
      </c>
      <c r="G126" t="s">
        <v>2103</v>
      </c>
    </row>
    <row r="127" spans="1:7" x14ac:dyDescent="0.3">
      <c r="A127" t="s">
        <v>579</v>
      </c>
      <c r="B127" t="s">
        <v>441</v>
      </c>
      <c r="C127" t="s">
        <v>2099</v>
      </c>
      <c r="D127" s="4">
        <v>45101</v>
      </c>
      <c r="E127" t="s">
        <v>2095</v>
      </c>
      <c r="F127" t="s">
        <v>2096</v>
      </c>
      <c r="G127" t="s">
        <v>2101</v>
      </c>
    </row>
    <row r="128" spans="1:7" x14ac:dyDescent="0.3">
      <c r="A128" t="s">
        <v>909</v>
      </c>
      <c r="B128" t="s">
        <v>368</v>
      </c>
      <c r="C128" t="s">
        <v>2102</v>
      </c>
      <c r="D128" s="4">
        <v>45727</v>
      </c>
      <c r="E128" t="s">
        <v>2095</v>
      </c>
      <c r="F128" t="s">
        <v>2096</v>
      </c>
      <c r="G128" t="s">
        <v>2101</v>
      </c>
    </row>
    <row r="129" spans="1:7" x14ac:dyDescent="0.3">
      <c r="A129" t="s">
        <v>1050</v>
      </c>
      <c r="B129" t="s">
        <v>1103</v>
      </c>
      <c r="C129" t="s">
        <v>2102</v>
      </c>
      <c r="D129" s="4">
        <v>45091</v>
      </c>
      <c r="E129" t="s">
        <v>2104</v>
      </c>
      <c r="F129" t="s">
        <v>2098</v>
      </c>
      <c r="G129" t="s">
        <v>2101</v>
      </c>
    </row>
    <row r="130" spans="1:7" x14ac:dyDescent="0.3">
      <c r="A130" t="s">
        <v>160</v>
      </c>
      <c r="B130" t="s">
        <v>1342</v>
      </c>
      <c r="C130" t="s">
        <v>2102</v>
      </c>
      <c r="D130" s="4">
        <v>46026</v>
      </c>
      <c r="E130" t="s">
        <v>2095</v>
      </c>
      <c r="F130" t="s">
        <v>2100</v>
      </c>
      <c r="G130" t="s">
        <v>2097</v>
      </c>
    </row>
    <row r="131" spans="1:7" x14ac:dyDescent="0.3">
      <c r="A131" t="s">
        <v>131</v>
      </c>
      <c r="B131" t="s">
        <v>585</v>
      </c>
      <c r="C131" t="s">
        <v>2102</v>
      </c>
      <c r="D131" s="4">
        <v>44449</v>
      </c>
      <c r="E131" t="s">
        <v>2095</v>
      </c>
      <c r="F131" t="s">
        <v>2100</v>
      </c>
      <c r="G131" t="s">
        <v>2097</v>
      </c>
    </row>
    <row r="132" spans="1:7" x14ac:dyDescent="0.3">
      <c r="A132" t="s">
        <v>492</v>
      </c>
      <c r="B132" t="s">
        <v>162</v>
      </c>
      <c r="C132" t="s">
        <v>2102</v>
      </c>
      <c r="D132" s="4">
        <v>44870</v>
      </c>
      <c r="E132" t="s">
        <v>2095</v>
      </c>
      <c r="F132" t="s">
        <v>2100</v>
      </c>
      <c r="G132" t="s">
        <v>2097</v>
      </c>
    </row>
    <row r="133" spans="1:7" x14ac:dyDescent="0.3">
      <c r="A133" t="s">
        <v>299</v>
      </c>
      <c r="B133" t="s">
        <v>98</v>
      </c>
      <c r="C133" t="s">
        <v>2102</v>
      </c>
      <c r="D133" s="4">
        <v>46199</v>
      </c>
      <c r="E133" t="s">
        <v>2095</v>
      </c>
      <c r="F133" t="s">
        <v>2098</v>
      </c>
      <c r="G133" t="s">
        <v>2103</v>
      </c>
    </row>
    <row r="134" spans="1:7" x14ac:dyDescent="0.3">
      <c r="A134" t="s">
        <v>700</v>
      </c>
      <c r="B134" t="s">
        <v>77</v>
      </c>
      <c r="C134" t="s">
        <v>2094</v>
      </c>
      <c r="D134" s="4">
        <v>44737</v>
      </c>
      <c r="E134" t="s">
        <v>2095</v>
      </c>
      <c r="F134" t="s">
        <v>2098</v>
      </c>
      <c r="G134" t="s">
        <v>2101</v>
      </c>
    </row>
    <row r="135" spans="1:7" x14ac:dyDescent="0.3">
      <c r="A135" t="s">
        <v>805</v>
      </c>
      <c r="B135" t="s">
        <v>401</v>
      </c>
      <c r="C135" t="s">
        <v>2094</v>
      </c>
      <c r="D135" s="4">
        <v>46090</v>
      </c>
      <c r="E135" t="s">
        <v>2104</v>
      </c>
      <c r="F135" t="s">
        <v>2096</v>
      </c>
      <c r="G135" t="s">
        <v>2103</v>
      </c>
    </row>
    <row r="136" spans="1:7" x14ac:dyDescent="0.3">
      <c r="A136" t="s">
        <v>787</v>
      </c>
      <c r="B136" t="s">
        <v>852</v>
      </c>
      <c r="C136" t="s">
        <v>2102</v>
      </c>
      <c r="D136" s="4">
        <v>44209</v>
      </c>
      <c r="E136" t="s">
        <v>2095</v>
      </c>
      <c r="F136" t="s">
        <v>2096</v>
      </c>
      <c r="G136" t="s">
        <v>2103</v>
      </c>
    </row>
    <row r="137" spans="1:7" x14ac:dyDescent="0.3">
      <c r="A137" t="s">
        <v>571</v>
      </c>
      <c r="B137" t="s">
        <v>568</v>
      </c>
      <c r="C137" t="s">
        <v>2099</v>
      </c>
      <c r="D137" s="4">
        <v>44458</v>
      </c>
      <c r="E137" t="s">
        <v>1781</v>
      </c>
      <c r="F137" t="s">
        <v>2098</v>
      </c>
      <c r="G137" t="s">
        <v>2103</v>
      </c>
    </row>
    <row r="138" spans="1:7" x14ac:dyDescent="0.3">
      <c r="A138" t="s">
        <v>702</v>
      </c>
      <c r="B138" t="s">
        <v>642</v>
      </c>
      <c r="C138" t="s">
        <v>2094</v>
      </c>
      <c r="D138" s="4">
        <v>44326</v>
      </c>
      <c r="E138" t="s">
        <v>2095</v>
      </c>
      <c r="F138" t="s">
        <v>2098</v>
      </c>
      <c r="G138" t="s">
        <v>2101</v>
      </c>
    </row>
    <row r="139" spans="1:7" x14ac:dyDescent="0.3">
      <c r="A139" t="s">
        <v>1411</v>
      </c>
      <c r="B139" t="s">
        <v>292</v>
      </c>
      <c r="C139" t="s">
        <v>2094</v>
      </c>
      <c r="D139" s="4">
        <v>45918</v>
      </c>
      <c r="E139" t="s">
        <v>2095</v>
      </c>
      <c r="F139" t="s">
        <v>2096</v>
      </c>
      <c r="G139" t="s">
        <v>2103</v>
      </c>
    </row>
    <row r="140" spans="1:7" x14ac:dyDescent="0.3">
      <c r="A140" t="s">
        <v>423</v>
      </c>
      <c r="B140" t="s">
        <v>303</v>
      </c>
      <c r="C140" t="s">
        <v>2102</v>
      </c>
      <c r="D140" s="4">
        <v>44525</v>
      </c>
      <c r="E140" t="s">
        <v>1781</v>
      </c>
      <c r="F140" t="s">
        <v>2098</v>
      </c>
      <c r="G140" t="s">
        <v>2101</v>
      </c>
    </row>
    <row r="141" spans="1:7" x14ac:dyDescent="0.3">
      <c r="A141" t="s">
        <v>127</v>
      </c>
      <c r="B141" t="s">
        <v>159</v>
      </c>
      <c r="C141" t="s">
        <v>2099</v>
      </c>
      <c r="D141" s="4">
        <v>45621</v>
      </c>
      <c r="E141" t="s">
        <v>1781</v>
      </c>
      <c r="F141" t="s">
        <v>2096</v>
      </c>
      <c r="G141" t="s">
        <v>2101</v>
      </c>
    </row>
    <row r="142" spans="1:7" x14ac:dyDescent="0.3">
      <c r="A142" t="s">
        <v>89</v>
      </c>
      <c r="B142" t="s">
        <v>407</v>
      </c>
      <c r="C142" t="s">
        <v>2099</v>
      </c>
      <c r="D142" s="4">
        <v>44718</v>
      </c>
      <c r="E142" t="s">
        <v>2104</v>
      </c>
      <c r="F142" t="s">
        <v>2096</v>
      </c>
      <c r="G142" t="s">
        <v>2103</v>
      </c>
    </row>
    <row r="143" spans="1:7" x14ac:dyDescent="0.3">
      <c r="A143" t="s">
        <v>155</v>
      </c>
      <c r="B143" t="s">
        <v>680</v>
      </c>
      <c r="C143" t="s">
        <v>2094</v>
      </c>
      <c r="D143" s="4">
        <v>45934</v>
      </c>
      <c r="E143" t="s">
        <v>2104</v>
      </c>
      <c r="F143" t="s">
        <v>2098</v>
      </c>
      <c r="G143" t="s">
        <v>2103</v>
      </c>
    </row>
    <row r="144" spans="1:7" x14ac:dyDescent="0.3">
      <c r="A144" t="s">
        <v>2108</v>
      </c>
      <c r="B144" t="s">
        <v>184</v>
      </c>
      <c r="C144" t="s">
        <v>2094</v>
      </c>
      <c r="D144" s="4">
        <v>45614</v>
      </c>
      <c r="E144" t="s">
        <v>2095</v>
      </c>
      <c r="F144" t="s">
        <v>2100</v>
      </c>
      <c r="G144" t="s">
        <v>2097</v>
      </c>
    </row>
    <row r="145" spans="1:7" x14ac:dyDescent="0.3">
      <c r="A145" t="s">
        <v>384</v>
      </c>
      <c r="B145" t="s">
        <v>261</v>
      </c>
      <c r="C145" t="s">
        <v>2094</v>
      </c>
      <c r="D145" s="4">
        <v>44328</v>
      </c>
      <c r="E145" t="s">
        <v>2095</v>
      </c>
      <c r="F145" t="s">
        <v>2098</v>
      </c>
      <c r="G145" t="s">
        <v>2097</v>
      </c>
    </row>
    <row r="146" spans="1:7" x14ac:dyDescent="0.3">
      <c r="A146" t="s">
        <v>243</v>
      </c>
      <c r="B146" t="s">
        <v>570</v>
      </c>
      <c r="C146" t="s">
        <v>2099</v>
      </c>
      <c r="D146" s="4">
        <v>45041</v>
      </c>
      <c r="E146" t="s">
        <v>2095</v>
      </c>
      <c r="F146" t="s">
        <v>2096</v>
      </c>
      <c r="G146" t="s">
        <v>2101</v>
      </c>
    </row>
    <row r="147" spans="1:7" x14ac:dyDescent="0.3">
      <c r="A147" t="s">
        <v>627</v>
      </c>
      <c r="B147" t="s">
        <v>646</v>
      </c>
      <c r="C147" t="s">
        <v>2102</v>
      </c>
      <c r="D147" s="4">
        <v>44396</v>
      </c>
      <c r="E147" t="s">
        <v>2095</v>
      </c>
      <c r="F147" t="s">
        <v>2096</v>
      </c>
      <c r="G147" t="s">
        <v>2097</v>
      </c>
    </row>
    <row r="148" spans="1:7" x14ac:dyDescent="0.3">
      <c r="A148" t="s">
        <v>672</v>
      </c>
      <c r="B148" t="s">
        <v>298</v>
      </c>
      <c r="C148" t="s">
        <v>2099</v>
      </c>
      <c r="D148" s="4">
        <v>45086</v>
      </c>
      <c r="E148" t="s">
        <v>2095</v>
      </c>
      <c r="F148" t="s">
        <v>2096</v>
      </c>
      <c r="G148" t="s">
        <v>2097</v>
      </c>
    </row>
    <row r="149" spans="1:7" x14ac:dyDescent="0.3">
      <c r="A149" t="s">
        <v>533</v>
      </c>
      <c r="B149" t="s">
        <v>252</v>
      </c>
      <c r="C149" t="s">
        <v>2102</v>
      </c>
      <c r="D149" s="4">
        <v>45503</v>
      </c>
      <c r="E149" t="s">
        <v>2104</v>
      </c>
      <c r="F149" t="s">
        <v>2096</v>
      </c>
      <c r="G149" t="s">
        <v>2097</v>
      </c>
    </row>
    <row r="150" spans="1:7" x14ac:dyDescent="0.3">
      <c r="A150" t="s">
        <v>2109</v>
      </c>
      <c r="B150" t="s">
        <v>720</v>
      </c>
      <c r="C150" t="s">
        <v>2102</v>
      </c>
      <c r="D150" s="4">
        <v>45433</v>
      </c>
      <c r="E150" t="s">
        <v>2095</v>
      </c>
      <c r="F150" t="s">
        <v>2096</v>
      </c>
      <c r="G150" t="s">
        <v>2103</v>
      </c>
    </row>
    <row r="151" spans="1:7" x14ac:dyDescent="0.3">
      <c r="A151" t="s">
        <v>1254</v>
      </c>
      <c r="B151" t="s">
        <v>564</v>
      </c>
      <c r="C151" t="s">
        <v>2102</v>
      </c>
      <c r="D151" s="4">
        <v>45324</v>
      </c>
      <c r="E151" t="s">
        <v>1781</v>
      </c>
      <c r="F151" t="s">
        <v>2100</v>
      </c>
      <c r="G151" t="s">
        <v>2097</v>
      </c>
    </row>
    <row r="152" spans="1:7" x14ac:dyDescent="0.3">
      <c r="A152" t="s">
        <v>479</v>
      </c>
      <c r="B152" t="s">
        <v>194</v>
      </c>
      <c r="C152" t="s">
        <v>2094</v>
      </c>
      <c r="D152" s="4">
        <v>45946</v>
      </c>
      <c r="E152" t="s">
        <v>2095</v>
      </c>
      <c r="F152" t="s">
        <v>2096</v>
      </c>
      <c r="G152" t="s">
        <v>2101</v>
      </c>
    </row>
    <row r="153" spans="1:7" x14ac:dyDescent="0.3">
      <c r="A153" t="s">
        <v>178</v>
      </c>
      <c r="B153" t="s">
        <v>227</v>
      </c>
      <c r="C153" t="s">
        <v>2094</v>
      </c>
      <c r="D153" s="4">
        <v>45758</v>
      </c>
      <c r="E153" t="s">
        <v>2095</v>
      </c>
      <c r="F153" t="s">
        <v>2096</v>
      </c>
      <c r="G153" t="s">
        <v>2097</v>
      </c>
    </row>
    <row r="154" spans="1:7" x14ac:dyDescent="0.3">
      <c r="A154" t="s">
        <v>972</v>
      </c>
      <c r="B154" t="s">
        <v>968</v>
      </c>
      <c r="C154" t="s">
        <v>2099</v>
      </c>
      <c r="D154" s="4">
        <v>45425</v>
      </c>
      <c r="E154" t="s">
        <v>2104</v>
      </c>
      <c r="F154" t="s">
        <v>2096</v>
      </c>
      <c r="G154" t="s">
        <v>2097</v>
      </c>
    </row>
    <row r="155" spans="1:7" x14ac:dyDescent="0.3">
      <c r="A155" t="s">
        <v>482</v>
      </c>
      <c r="B155" t="s">
        <v>728</v>
      </c>
      <c r="C155" t="s">
        <v>2102</v>
      </c>
      <c r="D155" s="4">
        <v>45120</v>
      </c>
      <c r="E155" t="s">
        <v>2095</v>
      </c>
      <c r="F155" t="s">
        <v>2096</v>
      </c>
      <c r="G155" t="s">
        <v>2097</v>
      </c>
    </row>
    <row r="156" spans="1:7" x14ac:dyDescent="0.3">
      <c r="A156" t="s">
        <v>1002</v>
      </c>
      <c r="B156" t="s">
        <v>368</v>
      </c>
      <c r="C156" t="s">
        <v>2102</v>
      </c>
      <c r="D156" s="4">
        <v>45887</v>
      </c>
      <c r="E156" t="s">
        <v>2095</v>
      </c>
      <c r="F156" t="s">
        <v>2096</v>
      </c>
      <c r="G156" t="s">
        <v>2097</v>
      </c>
    </row>
    <row r="157" spans="1:7" x14ac:dyDescent="0.3">
      <c r="A157" t="s">
        <v>310</v>
      </c>
      <c r="B157" t="s">
        <v>55</v>
      </c>
      <c r="C157" t="s">
        <v>2094</v>
      </c>
      <c r="D157" s="4">
        <v>45241</v>
      </c>
      <c r="E157" t="s">
        <v>2095</v>
      </c>
      <c r="F157" t="s">
        <v>2096</v>
      </c>
      <c r="G157" t="s">
        <v>2103</v>
      </c>
    </row>
    <row r="158" spans="1:7" x14ac:dyDescent="0.3">
      <c r="A158" t="s">
        <v>737</v>
      </c>
      <c r="B158" t="s">
        <v>275</v>
      </c>
      <c r="C158" t="s">
        <v>2102</v>
      </c>
      <c r="D158" s="4">
        <v>44575</v>
      </c>
      <c r="E158" t="s">
        <v>2104</v>
      </c>
      <c r="F158" t="s">
        <v>2098</v>
      </c>
      <c r="G158" t="s">
        <v>2103</v>
      </c>
    </row>
    <row r="159" spans="1:7" x14ac:dyDescent="0.3">
      <c r="A159" t="s">
        <v>336</v>
      </c>
      <c r="B159" t="s">
        <v>401</v>
      </c>
      <c r="C159" t="s">
        <v>2102</v>
      </c>
      <c r="D159" s="4">
        <v>45741</v>
      </c>
      <c r="E159" t="s">
        <v>2095</v>
      </c>
      <c r="F159" t="s">
        <v>2098</v>
      </c>
      <c r="G159" t="s">
        <v>2097</v>
      </c>
    </row>
    <row r="160" spans="1:7" x14ac:dyDescent="0.3">
      <c r="A160" t="s">
        <v>207</v>
      </c>
      <c r="B160" t="s">
        <v>515</v>
      </c>
      <c r="C160" t="s">
        <v>2099</v>
      </c>
      <c r="D160" s="4">
        <v>45085</v>
      </c>
      <c r="E160" t="s">
        <v>1781</v>
      </c>
      <c r="F160" t="s">
        <v>2096</v>
      </c>
      <c r="G160" t="s">
        <v>2103</v>
      </c>
    </row>
    <row r="161" spans="1:7" x14ac:dyDescent="0.3">
      <c r="A161" t="s">
        <v>577</v>
      </c>
      <c r="B161" t="s">
        <v>491</v>
      </c>
      <c r="C161" t="s">
        <v>2099</v>
      </c>
      <c r="D161" s="4">
        <v>44259</v>
      </c>
      <c r="E161" t="s">
        <v>1781</v>
      </c>
      <c r="F161" t="s">
        <v>2098</v>
      </c>
      <c r="G161" t="s">
        <v>2101</v>
      </c>
    </row>
    <row r="162" spans="1:7" x14ac:dyDescent="0.3">
      <c r="A162" t="s">
        <v>583</v>
      </c>
      <c r="B162" t="s">
        <v>646</v>
      </c>
      <c r="C162" t="s">
        <v>2102</v>
      </c>
      <c r="D162" s="4">
        <v>46158</v>
      </c>
      <c r="E162" t="s">
        <v>2095</v>
      </c>
      <c r="F162" t="s">
        <v>2098</v>
      </c>
      <c r="G162" t="s">
        <v>2103</v>
      </c>
    </row>
    <row r="163" spans="1:7" x14ac:dyDescent="0.3">
      <c r="A163" t="s">
        <v>922</v>
      </c>
      <c r="B163" t="s">
        <v>390</v>
      </c>
      <c r="C163" t="s">
        <v>2094</v>
      </c>
      <c r="D163" s="4">
        <v>45177</v>
      </c>
      <c r="E163" t="s">
        <v>2104</v>
      </c>
      <c r="F163" t="s">
        <v>2096</v>
      </c>
      <c r="G163" t="s">
        <v>2103</v>
      </c>
    </row>
    <row r="164" spans="1:7" x14ac:dyDescent="0.3">
      <c r="A164" t="s">
        <v>84</v>
      </c>
      <c r="B164" t="s">
        <v>187</v>
      </c>
      <c r="C164" t="s">
        <v>2094</v>
      </c>
      <c r="D164" s="4">
        <v>45668</v>
      </c>
      <c r="E164" t="s">
        <v>2095</v>
      </c>
      <c r="F164" t="s">
        <v>2096</v>
      </c>
      <c r="G164" t="s">
        <v>2103</v>
      </c>
    </row>
    <row r="165" spans="1:7" x14ac:dyDescent="0.3">
      <c r="A165" t="s">
        <v>247</v>
      </c>
      <c r="B165" t="s">
        <v>324</v>
      </c>
      <c r="C165" t="s">
        <v>2094</v>
      </c>
      <c r="D165" s="4">
        <v>44600</v>
      </c>
      <c r="E165" t="s">
        <v>1781</v>
      </c>
      <c r="F165" t="s">
        <v>2096</v>
      </c>
      <c r="G165" t="s">
        <v>2103</v>
      </c>
    </row>
    <row r="166" spans="1:7" x14ac:dyDescent="0.3">
      <c r="A166" t="s">
        <v>357</v>
      </c>
      <c r="B166" t="s">
        <v>639</v>
      </c>
      <c r="C166" t="s">
        <v>2102</v>
      </c>
      <c r="D166" s="4">
        <v>45892</v>
      </c>
      <c r="E166" t="s">
        <v>1781</v>
      </c>
      <c r="F166" t="s">
        <v>2100</v>
      </c>
      <c r="G166" t="s">
        <v>2097</v>
      </c>
    </row>
    <row r="167" spans="1:7" x14ac:dyDescent="0.3">
      <c r="A167" t="s">
        <v>855</v>
      </c>
      <c r="B167" t="s">
        <v>781</v>
      </c>
      <c r="C167" t="s">
        <v>2102</v>
      </c>
      <c r="D167" s="4">
        <v>44263</v>
      </c>
      <c r="E167" t="s">
        <v>1781</v>
      </c>
      <c r="F167" t="s">
        <v>2100</v>
      </c>
      <c r="G167" t="s">
        <v>2101</v>
      </c>
    </row>
    <row r="168" spans="1:7" x14ac:dyDescent="0.3">
      <c r="A168" t="s">
        <v>253</v>
      </c>
      <c r="B168" t="s">
        <v>1058</v>
      </c>
      <c r="C168" t="s">
        <v>2099</v>
      </c>
      <c r="D168" s="4">
        <v>45907</v>
      </c>
      <c r="E168" t="s">
        <v>2095</v>
      </c>
      <c r="F168" t="s">
        <v>2098</v>
      </c>
      <c r="G168" t="s">
        <v>2103</v>
      </c>
    </row>
    <row r="169" spans="1:7" x14ac:dyDescent="0.3">
      <c r="A169" t="s">
        <v>99</v>
      </c>
      <c r="B169" t="s">
        <v>148</v>
      </c>
      <c r="C169" t="s">
        <v>2102</v>
      </c>
      <c r="D169" s="4">
        <v>45203</v>
      </c>
      <c r="E169" t="s">
        <v>2095</v>
      </c>
      <c r="F169" t="s">
        <v>2100</v>
      </c>
      <c r="G169" t="s">
        <v>2103</v>
      </c>
    </row>
    <row r="170" spans="1:7" x14ac:dyDescent="0.3">
      <c r="A170" t="s">
        <v>1275</v>
      </c>
      <c r="B170" t="s">
        <v>69</v>
      </c>
      <c r="C170" t="s">
        <v>2102</v>
      </c>
      <c r="D170" s="4">
        <v>45251</v>
      </c>
      <c r="E170" t="s">
        <v>2095</v>
      </c>
      <c r="F170" t="s">
        <v>2096</v>
      </c>
      <c r="G170" t="s">
        <v>2103</v>
      </c>
    </row>
    <row r="171" spans="1:7" x14ac:dyDescent="0.3">
      <c r="A171" t="s">
        <v>649</v>
      </c>
      <c r="B171" t="s">
        <v>220</v>
      </c>
      <c r="C171" t="s">
        <v>2099</v>
      </c>
      <c r="D171" s="4">
        <v>44886</v>
      </c>
      <c r="E171" t="s">
        <v>2095</v>
      </c>
      <c r="F171" t="s">
        <v>2100</v>
      </c>
      <c r="G171" t="s">
        <v>2103</v>
      </c>
    </row>
    <row r="172" spans="1:7" x14ac:dyDescent="0.3">
      <c r="A172" t="s">
        <v>777</v>
      </c>
      <c r="B172" t="s">
        <v>568</v>
      </c>
      <c r="C172" t="s">
        <v>2102</v>
      </c>
      <c r="D172" s="4">
        <v>44950</v>
      </c>
      <c r="E172" t="s">
        <v>1781</v>
      </c>
      <c r="F172" t="s">
        <v>2100</v>
      </c>
      <c r="G172" t="s">
        <v>2097</v>
      </c>
    </row>
    <row r="173" spans="1:7" x14ac:dyDescent="0.3">
      <c r="A173" t="s">
        <v>420</v>
      </c>
      <c r="B173" t="s">
        <v>246</v>
      </c>
      <c r="C173" t="s">
        <v>2099</v>
      </c>
      <c r="D173" s="4">
        <v>44501</v>
      </c>
      <c r="E173" t="s">
        <v>2104</v>
      </c>
      <c r="F173" t="s">
        <v>2096</v>
      </c>
      <c r="G173" t="s">
        <v>2097</v>
      </c>
    </row>
    <row r="174" spans="1:7" x14ac:dyDescent="0.3">
      <c r="A174" t="s">
        <v>518</v>
      </c>
      <c r="B174" t="s">
        <v>570</v>
      </c>
      <c r="C174" t="s">
        <v>2102</v>
      </c>
      <c r="D174" s="4">
        <v>45144</v>
      </c>
      <c r="E174" t="s">
        <v>2095</v>
      </c>
      <c r="F174" t="s">
        <v>2098</v>
      </c>
      <c r="G174" t="s">
        <v>2101</v>
      </c>
    </row>
    <row r="175" spans="1:7" x14ac:dyDescent="0.3">
      <c r="A175" t="s">
        <v>915</v>
      </c>
      <c r="B175" t="s">
        <v>292</v>
      </c>
      <c r="C175" t="s">
        <v>2099</v>
      </c>
      <c r="D175" s="4">
        <v>46064</v>
      </c>
      <c r="E175" t="s">
        <v>2095</v>
      </c>
      <c r="F175" t="s">
        <v>2100</v>
      </c>
      <c r="G175" t="s">
        <v>2101</v>
      </c>
    </row>
    <row r="176" spans="1:7" x14ac:dyDescent="0.3">
      <c r="A176" t="s">
        <v>883</v>
      </c>
      <c r="B176" t="s">
        <v>620</v>
      </c>
      <c r="C176" t="s">
        <v>2094</v>
      </c>
      <c r="D176" s="4">
        <v>46176</v>
      </c>
      <c r="E176" t="s">
        <v>2095</v>
      </c>
      <c r="F176" t="s">
        <v>2100</v>
      </c>
      <c r="G176" t="s">
        <v>2101</v>
      </c>
    </row>
    <row r="177" spans="1:7" x14ac:dyDescent="0.3">
      <c r="A177" t="s">
        <v>276</v>
      </c>
      <c r="B177" t="s">
        <v>338</v>
      </c>
      <c r="C177" t="s">
        <v>2099</v>
      </c>
      <c r="D177" s="4">
        <v>45881</v>
      </c>
      <c r="E177" t="s">
        <v>2095</v>
      </c>
      <c r="F177" t="s">
        <v>2096</v>
      </c>
      <c r="G177" t="s">
        <v>2101</v>
      </c>
    </row>
    <row r="178" spans="1:7" x14ac:dyDescent="0.3">
      <c r="A178" t="s">
        <v>1014</v>
      </c>
      <c r="B178" t="s">
        <v>343</v>
      </c>
      <c r="C178" t="s">
        <v>2102</v>
      </c>
      <c r="D178" s="4">
        <v>45371</v>
      </c>
      <c r="E178" t="s">
        <v>2104</v>
      </c>
      <c r="F178" t="s">
        <v>2100</v>
      </c>
      <c r="G178" t="s">
        <v>2103</v>
      </c>
    </row>
    <row r="179" spans="1:7" x14ac:dyDescent="0.3">
      <c r="A179" t="s">
        <v>861</v>
      </c>
      <c r="B179" t="s">
        <v>287</v>
      </c>
      <c r="C179" t="s">
        <v>2099</v>
      </c>
      <c r="D179" s="4">
        <v>44931</v>
      </c>
      <c r="E179" t="s">
        <v>2095</v>
      </c>
      <c r="F179" t="s">
        <v>2098</v>
      </c>
      <c r="G179" t="s">
        <v>2097</v>
      </c>
    </row>
    <row r="180" spans="1:7" x14ac:dyDescent="0.3">
      <c r="A180" t="s">
        <v>139</v>
      </c>
      <c r="B180" t="s">
        <v>220</v>
      </c>
      <c r="C180" t="s">
        <v>2094</v>
      </c>
      <c r="D180" s="4">
        <v>45230</v>
      </c>
      <c r="E180" t="s">
        <v>2104</v>
      </c>
      <c r="F180" t="s">
        <v>2098</v>
      </c>
      <c r="G180" t="s">
        <v>2103</v>
      </c>
    </row>
    <row r="181" spans="1:7" x14ac:dyDescent="0.3">
      <c r="A181" t="s">
        <v>396</v>
      </c>
      <c r="B181" t="s">
        <v>83</v>
      </c>
      <c r="C181" t="s">
        <v>2102</v>
      </c>
      <c r="D181" s="4">
        <v>45860</v>
      </c>
      <c r="E181" t="s">
        <v>2095</v>
      </c>
      <c r="F181" t="s">
        <v>2100</v>
      </c>
      <c r="G181" t="s">
        <v>2097</v>
      </c>
    </row>
    <row r="182" spans="1:7" x14ac:dyDescent="0.3">
      <c r="A182" t="s">
        <v>459</v>
      </c>
      <c r="B182" t="s">
        <v>684</v>
      </c>
      <c r="C182" t="s">
        <v>2099</v>
      </c>
      <c r="D182" s="4">
        <v>45425</v>
      </c>
      <c r="E182" t="s">
        <v>2095</v>
      </c>
      <c r="F182" t="s">
        <v>2100</v>
      </c>
      <c r="G182" t="s">
        <v>2097</v>
      </c>
    </row>
    <row r="183" spans="1:7" x14ac:dyDescent="0.3">
      <c r="A183" t="s">
        <v>412</v>
      </c>
      <c r="B183" t="s">
        <v>732</v>
      </c>
      <c r="C183" t="s">
        <v>2094</v>
      </c>
      <c r="D183" s="4">
        <v>44579</v>
      </c>
      <c r="E183" t="s">
        <v>2095</v>
      </c>
      <c r="F183" t="s">
        <v>2096</v>
      </c>
      <c r="G183" t="s">
        <v>2097</v>
      </c>
    </row>
    <row r="184" spans="1:7" x14ac:dyDescent="0.3">
      <c r="A184" t="s">
        <v>191</v>
      </c>
      <c r="B184" t="s">
        <v>180</v>
      </c>
      <c r="C184" t="s">
        <v>2099</v>
      </c>
      <c r="D184" s="4">
        <v>44235</v>
      </c>
      <c r="E184" t="s">
        <v>2095</v>
      </c>
      <c r="F184" t="s">
        <v>2096</v>
      </c>
      <c r="G184" t="s">
        <v>2101</v>
      </c>
    </row>
    <row r="185" spans="1:7" x14ac:dyDescent="0.3">
      <c r="A185" t="s">
        <v>687</v>
      </c>
      <c r="B185" t="s">
        <v>223</v>
      </c>
      <c r="C185" t="s">
        <v>2099</v>
      </c>
      <c r="D185" s="4">
        <v>45553</v>
      </c>
      <c r="E185" t="s">
        <v>1781</v>
      </c>
      <c r="F185" t="s">
        <v>2098</v>
      </c>
      <c r="G185" t="s">
        <v>2097</v>
      </c>
    </row>
    <row r="186" spans="1:7" x14ac:dyDescent="0.3">
      <c r="A186" t="s">
        <v>2110</v>
      </c>
      <c r="B186" t="s">
        <v>759</v>
      </c>
      <c r="C186" t="s">
        <v>2102</v>
      </c>
      <c r="D186" s="4">
        <v>45062</v>
      </c>
      <c r="E186" t="s">
        <v>2095</v>
      </c>
      <c r="F186" t="s">
        <v>2098</v>
      </c>
      <c r="G186" t="s">
        <v>2097</v>
      </c>
    </row>
    <row r="187" spans="1:7" x14ac:dyDescent="0.3">
      <c r="A187" t="s">
        <v>321</v>
      </c>
      <c r="B187" t="s">
        <v>437</v>
      </c>
      <c r="C187" t="s">
        <v>2102</v>
      </c>
      <c r="D187" s="4">
        <v>45345</v>
      </c>
      <c r="E187" t="s">
        <v>2095</v>
      </c>
      <c r="F187" t="s">
        <v>2098</v>
      </c>
      <c r="G187" t="s">
        <v>2103</v>
      </c>
    </row>
    <row r="188" spans="1:7" x14ac:dyDescent="0.3">
      <c r="A188" t="s">
        <v>841</v>
      </c>
      <c r="B188" t="s">
        <v>609</v>
      </c>
      <c r="C188" t="s">
        <v>2102</v>
      </c>
      <c r="D188" s="4">
        <v>44261</v>
      </c>
      <c r="E188" t="s">
        <v>2095</v>
      </c>
      <c r="F188" t="s">
        <v>2100</v>
      </c>
      <c r="G188" t="s">
        <v>2103</v>
      </c>
    </row>
    <row r="189" spans="1:7" x14ac:dyDescent="0.3">
      <c r="A189" t="s">
        <v>566</v>
      </c>
      <c r="B189" t="s">
        <v>728</v>
      </c>
      <c r="C189" t="s">
        <v>2099</v>
      </c>
      <c r="D189" s="4">
        <v>44512</v>
      </c>
      <c r="E189" t="s">
        <v>2095</v>
      </c>
      <c r="F189" t="s">
        <v>2100</v>
      </c>
      <c r="G189" t="s">
        <v>2103</v>
      </c>
    </row>
    <row r="190" spans="1:7" x14ac:dyDescent="0.3">
      <c r="A190" t="s">
        <v>509</v>
      </c>
      <c r="B190" t="s">
        <v>708</v>
      </c>
      <c r="C190" t="s">
        <v>2102</v>
      </c>
      <c r="D190" s="4">
        <v>45555</v>
      </c>
      <c r="E190" t="s">
        <v>2095</v>
      </c>
      <c r="F190" t="s">
        <v>2100</v>
      </c>
      <c r="G190" t="s">
        <v>2101</v>
      </c>
    </row>
    <row r="191" spans="1:7" x14ac:dyDescent="0.3">
      <c r="A191" t="s">
        <v>142</v>
      </c>
      <c r="B191" t="s">
        <v>895</v>
      </c>
      <c r="C191" t="s">
        <v>2102</v>
      </c>
      <c r="D191" s="4">
        <v>44518</v>
      </c>
      <c r="E191" t="s">
        <v>1781</v>
      </c>
      <c r="F191" t="s">
        <v>2098</v>
      </c>
      <c r="G191" t="s">
        <v>2097</v>
      </c>
    </row>
    <row r="192" spans="1:7" x14ac:dyDescent="0.3">
      <c r="A192" t="s">
        <v>531</v>
      </c>
      <c r="B192" t="s">
        <v>614</v>
      </c>
      <c r="C192" t="s">
        <v>2099</v>
      </c>
      <c r="D192" s="4">
        <v>45987</v>
      </c>
      <c r="E192" t="s">
        <v>2095</v>
      </c>
      <c r="F192" t="s">
        <v>2100</v>
      </c>
      <c r="G192" t="s">
        <v>2101</v>
      </c>
    </row>
    <row r="193" spans="1:7" x14ac:dyDescent="0.3">
      <c r="A193" t="s">
        <v>78</v>
      </c>
      <c r="B193" t="s">
        <v>162</v>
      </c>
      <c r="C193" t="s">
        <v>2099</v>
      </c>
      <c r="D193" s="4">
        <v>45821</v>
      </c>
      <c r="E193" t="s">
        <v>2095</v>
      </c>
      <c r="F193" t="s">
        <v>2096</v>
      </c>
      <c r="G193" t="s">
        <v>2103</v>
      </c>
    </row>
    <row r="194" spans="1:7" x14ac:dyDescent="0.3">
      <c r="A194" t="s">
        <v>273</v>
      </c>
      <c r="B194" t="s">
        <v>914</v>
      </c>
      <c r="C194" t="s">
        <v>2102</v>
      </c>
      <c r="D194" s="4">
        <v>45131</v>
      </c>
      <c r="E194" t="s">
        <v>1781</v>
      </c>
      <c r="F194" t="s">
        <v>2096</v>
      </c>
      <c r="G194" t="s">
        <v>2097</v>
      </c>
    </row>
    <row r="195" spans="1:7" x14ac:dyDescent="0.3">
      <c r="A195" t="s">
        <v>388</v>
      </c>
      <c r="B195" t="s">
        <v>135</v>
      </c>
      <c r="C195" t="s">
        <v>2102</v>
      </c>
      <c r="D195" s="4">
        <v>45753</v>
      </c>
      <c r="E195" t="s">
        <v>2095</v>
      </c>
      <c r="F195" t="s">
        <v>2098</v>
      </c>
      <c r="G195" t="s">
        <v>2101</v>
      </c>
    </row>
    <row r="196" spans="1:7" x14ac:dyDescent="0.3">
      <c r="A196" t="s">
        <v>651</v>
      </c>
      <c r="B196" t="s">
        <v>135</v>
      </c>
      <c r="C196" t="s">
        <v>2094</v>
      </c>
      <c r="D196" s="4">
        <v>44498</v>
      </c>
      <c r="E196" t="s">
        <v>2095</v>
      </c>
      <c r="F196" t="s">
        <v>2100</v>
      </c>
      <c r="G196" t="s">
        <v>2101</v>
      </c>
    </row>
    <row r="197" spans="1:7" x14ac:dyDescent="0.3">
      <c r="A197" t="s">
        <v>588</v>
      </c>
      <c r="B197" t="s">
        <v>213</v>
      </c>
      <c r="C197" t="s">
        <v>2094</v>
      </c>
      <c r="D197" s="4">
        <v>44828</v>
      </c>
      <c r="E197" t="s">
        <v>2095</v>
      </c>
      <c r="F197" t="s">
        <v>2098</v>
      </c>
      <c r="G197" t="s">
        <v>2097</v>
      </c>
    </row>
    <row r="198" spans="1:7" x14ac:dyDescent="0.3">
      <c r="A198" t="s">
        <v>640</v>
      </c>
      <c r="B198" t="s">
        <v>749</v>
      </c>
      <c r="C198" t="s">
        <v>2094</v>
      </c>
      <c r="D198" s="4">
        <v>45459</v>
      </c>
      <c r="E198" t="s">
        <v>2104</v>
      </c>
      <c r="F198" t="s">
        <v>2098</v>
      </c>
      <c r="G198" t="s">
        <v>2097</v>
      </c>
    </row>
    <row r="199" spans="1:7" x14ac:dyDescent="0.3">
      <c r="A199" t="s">
        <v>541</v>
      </c>
      <c r="B199" t="s">
        <v>1181</v>
      </c>
      <c r="C199" t="s">
        <v>2094</v>
      </c>
      <c r="D199" s="4">
        <v>44554</v>
      </c>
      <c r="E199" t="s">
        <v>2095</v>
      </c>
      <c r="F199" t="s">
        <v>2100</v>
      </c>
      <c r="G199" t="s">
        <v>2101</v>
      </c>
    </row>
    <row r="200" spans="1:7" x14ac:dyDescent="0.3">
      <c r="A200" t="s">
        <v>1200</v>
      </c>
      <c r="B200" t="s">
        <v>109</v>
      </c>
      <c r="C200" t="s">
        <v>2099</v>
      </c>
      <c r="D200" s="4">
        <v>45868</v>
      </c>
      <c r="E200" t="s">
        <v>2095</v>
      </c>
      <c r="F200" t="s">
        <v>2100</v>
      </c>
      <c r="G200" t="s">
        <v>2097</v>
      </c>
    </row>
    <row r="201" spans="1:7" x14ac:dyDescent="0.3">
      <c r="A201" t="s">
        <v>511</v>
      </c>
      <c r="B201" t="s">
        <v>708</v>
      </c>
      <c r="C201" t="s">
        <v>2099</v>
      </c>
      <c r="D201" s="4">
        <v>45525</v>
      </c>
      <c r="E201" t="s">
        <v>2095</v>
      </c>
      <c r="F201" t="s">
        <v>2096</v>
      </c>
      <c r="G201" t="s">
        <v>2097</v>
      </c>
    </row>
    <row r="202" spans="1:7" x14ac:dyDescent="0.3">
      <c r="A202" t="s">
        <v>415</v>
      </c>
      <c r="B202" t="s">
        <v>1693</v>
      </c>
      <c r="C202" t="s">
        <v>2102</v>
      </c>
      <c r="D202" s="4">
        <v>45191</v>
      </c>
      <c r="E202" t="s">
        <v>2095</v>
      </c>
      <c r="F202" t="s">
        <v>2096</v>
      </c>
      <c r="G202" t="s">
        <v>2097</v>
      </c>
    </row>
    <row r="203" spans="1:7" x14ac:dyDescent="0.3">
      <c r="A203" t="s">
        <v>600</v>
      </c>
      <c r="B203" t="s">
        <v>307</v>
      </c>
      <c r="C203" t="s">
        <v>2094</v>
      </c>
      <c r="D203" s="4">
        <v>44765</v>
      </c>
      <c r="E203" t="s">
        <v>2095</v>
      </c>
      <c r="F203" t="s">
        <v>2098</v>
      </c>
      <c r="G203" t="s">
        <v>2097</v>
      </c>
    </row>
    <row r="204" spans="1:7" x14ac:dyDescent="0.3">
      <c r="A204" t="s">
        <v>236</v>
      </c>
      <c r="B204" t="s">
        <v>235</v>
      </c>
      <c r="C204" t="s">
        <v>2094</v>
      </c>
      <c r="D204" s="4">
        <v>44881</v>
      </c>
      <c r="E204" t="s">
        <v>2095</v>
      </c>
      <c r="F204" t="s">
        <v>2096</v>
      </c>
      <c r="G204" t="s">
        <v>2097</v>
      </c>
    </row>
    <row r="205" spans="1:7" x14ac:dyDescent="0.3">
      <c r="A205" t="s">
        <v>561</v>
      </c>
      <c r="B205" t="s">
        <v>309</v>
      </c>
      <c r="C205" t="s">
        <v>2099</v>
      </c>
      <c r="D205" s="4">
        <v>45676</v>
      </c>
      <c r="E205" t="s">
        <v>2104</v>
      </c>
      <c r="F205" t="s">
        <v>2096</v>
      </c>
      <c r="G205" t="s">
        <v>2101</v>
      </c>
    </row>
    <row r="206" spans="1:7" x14ac:dyDescent="0.3">
      <c r="A206" t="s">
        <v>525</v>
      </c>
      <c r="B206" t="s">
        <v>83</v>
      </c>
      <c r="C206" t="s">
        <v>2099</v>
      </c>
      <c r="D206" s="4">
        <v>44997</v>
      </c>
      <c r="E206" t="s">
        <v>2095</v>
      </c>
      <c r="F206" t="s">
        <v>2098</v>
      </c>
      <c r="G206" t="s">
        <v>2103</v>
      </c>
    </row>
    <row r="207" spans="1:7" x14ac:dyDescent="0.3">
      <c r="A207" t="s">
        <v>360</v>
      </c>
      <c r="B207" t="s">
        <v>867</v>
      </c>
      <c r="C207" t="s">
        <v>2094</v>
      </c>
      <c r="D207" s="4">
        <v>45557</v>
      </c>
      <c r="E207" t="s">
        <v>2104</v>
      </c>
      <c r="F207" t="s">
        <v>2096</v>
      </c>
      <c r="G207" t="s">
        <v>2103</v>
      </c>
    </row>
    <row r="208" spans="1:7" x14ac:dyDescent="0.3">
      <c r="A208" t="s">
        <v>644</v>
      </c>
      <c r="B208" t="s">
        <v>258</v>
      </c>
      <c r="C208" t="s">
        <v>2102</v>
      </c>
      <c r="D208" s="4">
        <v>45568</v>
      </c>
      <c r="E208" t="s">
        <v>1781</v>
      </c>
      <c r="F208" t="s">
        <v>2098</v>
      </c>
      <c r="G208" t="s">
        <v>2103</v>
      </c>
    </row>
    <row r="209" spans="1:7" x14ac:dyDescent="0.3">
      <c r="A209" t="s">
        <v>1277</v>
      </c>
      <c r="B209" t="s">
        <v>395</v>
      </c>
      <c r="C209" t="s">
        <v>2102</v>
      </c>
      <c r="D209" s="4">
        <v>45510</v>
      </c>
      <c r="E209" t="s">
        <v>2095</v>
      </c>
      <c r="F209" t="s">
        <v>2096</v>
      </c>
      <c r="G209" t="s">
        <v>2097</v>
      </c>
    </row>
    <row r="210" spans="1:7" x14ac:dyDescent="0.3">
      <c r="A210" t="s">
        <v>56</v>
      </c>
      <c r="B210" t="s">
        <v>625</v>
      </c>
      <c r="C210" t="s">
        <v>2094</v>
      </c>
      <c r="D210" s="4">
        <v>45828</v>
      </c>
      <c r="E210" t="s">
        <v>2104</v>
      </c>
      <c r="F210" t="s">
        <v>2100</v>
      </c>
      <c r="G210" t="s">
        <v>2103</v>
      </c>
    </row>
    <row r="211" spans="1:7" x14ac:dyDescent="0.3">
      <c r="A211" t="s">
        <v>429</v>
      </c>
      <c r="B211" t="s">
        <v>162</v>
      </c>
      <c r="C211" t="s">
        <v>2094</v>
      </c>
      <c r="D211" s="4">
        <v>45189</v>
      </c>
      <c r="E211" t="s">
        <v>2095</v>
      </c>
      <c r="F211" t="s">
        <v>2096</v>
      </c>
      <c r="G211" t="s">
        <v>2103</v>
      </c>
    </row>
    <row r="212" spans="1:7" x14ac:dyDescent="0.3">
      <c r="A212" t="s">
        <v>282</v>
      </c>
      <c r="B212" t="s">
        <v>223</v>
      </c>
      <c r="C212" t="s">
        <v>2099</v>
      </c>
      <c r="D212" s="4">
        <v>44663</v>
      </c>
      <c r="E212" t="s">
        <v>2095</v>
      </c>
      <c r="F212" t="s">
        <v>2100</v>
      </c>
      <c r="G212" t="s">
        <v>2097</v>
      </c>
    </row>
    <row r="213" spans="1:7" x14ac:dyDescent="0.3">
      <c r="A213" t="s">
        <v>869</v>
      </c>
      <c r="B213" t="s">
        <v>166</v>
      </c>
      <c r="C213" t="s">
        <v>2102</v>
      </c>
      <c r="D213" s="4">
        <v>44307</v>
      </c>
      <c r="E213" t="s">
        <v>2095</v>
      </c>
      <c r="F213" t="s">
        <v>2096</v>
      </c>
      <c r="G213" t="s">
        <v>2101</v>
      </c>
    </row>
    <row r="214" spans="1:7" x14ac:dyDescent="0.3">
      <c r="A214" t="s">
        <v>181</v>
      </c>
      <c r="B214" t="s">
        <v>1087</v>
      </c>
      <c r="C214" t="s">
        <v>2102</v>
      </c>
      <c r="D214" s="4">
        <v>44480</v>
      </c>
      <c r="E214" t="s">
        <v>2095</v>
      </c>
      <c r="F214" t="s">
        <v>2100</v>
      </c>
      <c r="G214" t="s">
        <v>2103</v>
      </c>
    </row>
    <row r="215" spans="1:7" x14ac:dyDescent="0.3">
      <c r="A215" t="s">
        <v>365</v>
      </c>
      <c r="B215" t="s">
        <v>309</v>
      </c>
      <c r="C215" t="s">
        <v>2102</v>
      </c>
      <c r="D215" s="4">
        <v>45188</v>
      </c>
      <c r="E215" t="s">
        <v>2095</v>
      </c>
      <c r="F215" t="s">
        <v>2096</v>
      </c>
      <c r="G215" t="s">
        <v>2103</v>
      </c>
    </row>
    <row r="216" spans="1:7" x14ac:dyDescent="0.3">
      <c r="A216" t="s">
        <v>1059</v>
      </c>
      <c r="B216" t="s">
        <v>590</v>
      </c>
      <c r="C216" t="s">
        <v>2102</v>
      </c>
      <c r="D216" s="4">
        <v>44499</v>
      </c>
      <c r="E216" t="s">
        <v>2095</v>
      </c>
      <c r="F216" t="s">
        <v>2096</v>
      </c>
      <c r="G216" t="s">
        <v>2101</v>
      </c>
    </row>
    <row r="217" spans="1:7" x14ac:dyDescent="0.3">
      <c r="A217" t="s">
        <v>1242</v>
      </c>
      <c r="B217" t="s">
        <v>759</v>
      </c>
      <c r="C217" t="s">
        <v>2094</v>
      </c>
      <c r="D217" s="4">
        <v>46272</v>
      </c>
      <c r="E217" t="s">
        <v>2095</v>
      </c>
      <c r="F217" t="s">
        <v>2096</v>
      </c>
      <c r="G217" t="s">
        <v>2101</v>
      </c>
    </row>
    <row r="218" spans="1:7" x14ac:dyDescent="0.3">
      <c r="A218" t="s">
        <v>232</v>
      </c>
      <c r="B218" t="s">
        <v>287</v>
      </c>
      <c r="C218" t="s">
        <v>2099</v>
      </c>
      <c r="D218" s="4">
        <v>44545</v>
      </c>
      <c r="E218" t="s">
        <v>2095</v>
      </c>
      <c r="F218" t="s">
        <v>2096</v>
      </c>
      <c r="G218" t="s">
        <v>2097</v>
      </c>
    </row>
    <row r="219" spans="1:7" x14ac:dyDescent="0.3">
      <c r="A219" t="s">
        <v>906</v>
      </c>
      <c r="B219" t="s">
        <v>223</v>
      </c>
      <c r="C219" t="s">
        <v>2102</v>
      </c>
      <c r="D219" s="4">
        <v>44378</v>
      </c>
      <c r="E219" t="s">
        <v>2095</v>
      </c>
      <c r="F219" t="s">
        <v>2096</v>
      </c>
      <c r="G219" t="s">
        <v>2103</v>
      </c>
    </row>
    <row r="220" spans="1:7" x14ac:dyDescent="0.3">
      <c r="A220" t="s">
        <v>726</v>
      </c>
      <c r="B220" t="s">
        <v>287</v>
      </c>
      <c r="C220" t="s">
        <v>2099</v>
      </c>
      <c r="D220" s="4">
        <v>45960</v>
      </c>
      <c r="E220" t="s">
        <v>2095</v>
      </c>
      <c r="F220" t="s">
        <v>2098</v>
      </c>
      <c r="G220" t="s">
        <v>2101</v>
      </c>
    </row>
    <row r="221" spans="1:7" x14ac:dyDescent="0.3">
      <c r="A221" t="s">
        <v>380</v>
      </c>
      <c r="B221" t="s">
        <v>590</v>
      </c>
      <c r="C221" t="s">
        <v>2094</v>
      </c>
      <c r="D221" s="4">
        <v>45102</v>
      </c>
      <c r="E221" t="s">
        <v>2095</v>
      </c>
      <c r="F221" t="s">
        <v>2100</v>
      </c>
      <c r="G221" t="s">
        <v>2101</v>
      </c>
    </row>
    <row r="222" spans="1:7" x14ac:dyDescent="0.3">
      <c r="A222" t="s">
        <v>886</v>
      </c>
      <c r="B222" t="s">
        <v>272</v>
      </c>
      <c r="C222" t="s">
        <v>2094</v>
      </c>
      <c r="D222" s="4">
        <v>46246</v>
      </c>
      <c r="E222" t="s">
        <v>1781</v>
      </c>
      <c r="F222" t="s">
        <v>2096</v>
      </c>
      <c r="G222" t="s">
        <v>2097</v>
      </c>
    </row>
    <row r="223" spans="1:7" x14ac:dyDescent="0.3">
      <c r="A223" t="s">
        <v>1389</v>
      </c>
      <c r="B223" t="s">
        <v>368</v>
      </c>
      <c r="C223" t="s">
        <v>2099</v>
      </c>
      <c r="D223" s="4">
        <v>45407</v>
      </c>
      <c r="E223" t="s">
        <v>2095</v>
      </c>
      <c r="F223" t="s">
        <v>2100</v>
      </c>
      <c r="G223" t="s">
        <v>2097</v>
      </c>
    </row>
    <row r="224" spans="1:7" x14ac:dyDescent="0.3">
      <c r="A224" t="s">
        <v>1150</v>
      </c>
      <c r="B224" t="s">
        <v>138</v>
      </c>
      <c r="C224" t="s">
        <v>2094</v>
      </c>
      <c r="D224" s="4">
        <v>45623</v>
      </c>
      <c r="E224" t="s">
        <v>2095</v>
      </c>
      <c r="F224" t="s">
        <v>2098</v>
      </c>
      <c r="G224" t="s">
        <v>2101</v>
      </c>
    </row>
    <row r="225" spans="1:7" x14ac:dyDescent="0.3">
      <c r="A225" t="s">
        <v>374</v>
      </c>
      <c r="B225" t="s">
        <v>116</v>
      </c>
      <c r="C225" t="s">
        <v>2094</v>
      </c>
      <c r="D225" s="4">
        <v>46175</v>
      </c>
      <c r="E225" t="s">
        <v>2095</v>
      </c>
      <c r="F225" t="s">
        <v>2100</v>
      </c>
      <c r="G225" t="s">
        <v>2101</v>
      </c>
    </row>
    <row r="226" spans="1:7" x14ac:dyDescent="0.3">
      <c r="A226" t="s">
        <v>1311</v>
      </c>
      <c r="B226" t="s">
        <v>625</v>
      </c>
      <c r="C226" t="s">
        <v>2099</v>
      </c>
      <c r="D226" s="4">
        <v>46050</v>
      </c>
      <c r="E226" t="s">
        <v>2095</v>
      </c>
      <c r="F226" t="s">
        <v>2100</v>
      </c>
      <c r="G226" t="s">
        <v>2097</v>
      </c>
    </row>
    <row r="227" spans="1:7" x14ac:dyDescent="0.3">
      <c r="A227" t="s">
        <v>393</v>
      </c>
      <c r="B227" t="s">
        <v>320</v>
      </c>
      <c r="C227" t="s">
        <v>2102</v>
      </c>
      <c r="D227" s="4">
        <v>44289</v>
      </c>
      <c r="E227" t="s">
        <v>2095</v>
      </c>
      <c r="F227" t="s">
        <v>2098</v>
      </c>
      <c r="G227" t="s">
        <v>2101</v>
      </c>
    </row>
    <row r="228" spans="1:7" x14ac:dyDescent="0.3">
      <c r="A228" t="s">
        <v>850</v>
      </c>
      <c r="B228" t="s">
        <v>461</v>
      </c>
      <c r="C228" t="s">
        <v>2099</v>
      </c>
      <c r="D228" s="4">
        <v>45196</v>
      </c>
      <c r="E228" t="s">
        <v>2095</v>
      </c>
      <c r="F228" t="s">
        <v>2096</v>
      </c>
      <c r="G228" t="s">
        <v>2101</v>
      </c>
    </row>
    <row r="229" spans="1:7" x14ac:dyDescent="0.3">
      <c r="A229" t="s">
        <v>329</v>
      </c>
      <c r="B229" t="s">
        <v>166</v>
      </c>
      <c r="C229" t="s">
        <v>2099</v>
      </c>
      <c r="D229" s="4">
        <v>45943</v>
      </c>
      <c r="E229" t="s">
        <v>2104</v>
      </c>
      <c r="F229" t="s">
        <v>2100</v>
      </c>
      <c r="G229" t="s">
        <v>2097</v>
      </c>
    </row>
    <row r="230" spans="1:7" x14ac:dyDescent="0.3">
      <c r="A230" t="s">
        <v>339</v>
      </c>
      <c r="B230" t="s">
        <v>242</v>
      </c>
      <c r="C230" t="s">
        <v>2102</v>
      </c>
      <c r="D230" s="4">
        <v>44960</v>
      </c>
      <c r="E230" t="s">
        <v>2095</v>
      </c>
      <c r="F230" t="s">
        <v>2098</v>
      </c>
      <c r="G230" t="s">
        <v>2101</v>
      </c>
    </row>
    <row r="231" spans="1:7" x14ac:dyDescent="0.3">
      <c r="A231" t="s">
        <v>513</v>
      </c>
      <c r="B231" t="s">
        <v>530</v>
      </c>
      <c r="C231" t="s">
        <v>2102</v>
      </c>
      <c r="D231" s="4">
        <v>45005</v>
      </c>
      <c r="E231" t="s">
        <v>2095</v>
      </c>
      <c r="F231" t="s">
        <v>2098</v>
      </c>
      <c r="G231" t="s">
        <v>2101</v>
      </c>
    </row>
    <row r="232" spans="1:7" x14ac:dyDescent="0.3">
      <c r="A232" t="s">
        <v>813</v>
      </c>
      <c r="B232" t="s">
        <v>55</v>
      </c>
      <c r="C232" t="s">
        <v>2094</v>
      </c>
      <c r="D232" s="4">
        <v>45076</v>
      </c>
      <c r="E232" t="s">
        <v>2104</v>
      </c>
      <c r="F232" t="s">
        <v>2098</v>
      </c>
      <c r="G232" t="s">
        <v>2101</v>
      </c>
    </row>
    <row r="233" spans="1:7" x14ac:dyDescent="0.3">
      <c r="A233" t="s">
        <v>200</v>
      </c>
      <c r="B233" t="s">
        <v>275</v>
      </c>
      <c r="C233" t="s">
        <v>2099</v>
      </c>
      <c r="D233" s="4">
        <v>44613</v>
      </c>
      <c r="E233" t="s">
        <v>2095</v>
      </c>
      <c r="F233" t="s">
        <v>2098</v>
      </c>
      <c r="G233" t="s">
        <v>2103</v>
      </c>
    </row>
    <row r="234" spans="1:7" x14ac:dyDescent="0.3">
      <c r="A234" t="s">
        <v>734</v>
      </c>
      <c r="B234" t="s">
        <v>352</v>
      </c>
      <c r="C234" t="s">
        <v>2102</v>
      </c>
      <c r="D234" s="4">
        <v>44663</v>
      </c>
      <c r="E234" t="s">
        <v>1781</v>
      </c>
      <c r="F234" t="s">
        <v>2100</v>
      </c>
      <c r="G234" t="s">
        <v>2101</v>
      </c>
    </row>
    <row r="235" spans="1:7" x14ac:dyDescent="0.3">
      <c r="A235" t="s">
        <v>369</v>
      </c>
      <c r="B235" t="s">
        <v>804</v>
      </c>
      <c r="C235" t="s">
        <v>2094</v>
      </c>
      <c r="D235" s="4">
        <v>45480</v>
      </c>
      <c r="E235" t="s">
        <v>2095</v>
      </c>
      <c r="F235" t="s">
        <v>2100</v>
      </c>
      <c r="G235" t="s">
        <v>2097</v>
      </c>
    </row>
    <row r="236" spans="1:7" x14ac:dyDescent="0.3">
      <c r="A236" t="s">
        <v>677</v>
      </c>
      <c r="B236" t="s">
        <v>220</v>
      </c>
      <c r="C236" t="s">
        <v>2094</v>
      </c>
      <c r="D236" s="4">
        <v>45622</v>
      </c>
      <c r="E236" t="s">
        <v>2095</v>
      </c>
      <c r="F236" t="s">
        <v>2100</v>
      </c>
      <c r="G236" t="s">
        <v>2101</v>
      </c>
    </row>
    <row r="237" spans="1:7" x14ac:dyDescent="0.3">
      <c r="A237" t="s">
        <v>372</v>
      </c>
      <c r="B237" t="s">
        <v>206</v>
      </c>
      <c r="C237" t="s">
        <v>2102</v>
      </c>
      <c r="D237" s="4">
        <v>45415</v>
      </c>
      <c r="E237" t="s">
        <v>2095</v>
      </c>
      <c r="F237" t="s">
        <v>2098</v>
      </c>
      <c r="G237" t="s">
        <v>2103</v>
      </c>
    </row>
    <row r="238" spans="1:7" x14ac:dyDescent="0.3">
      <c r="A238" t="s">
        <v>1156</v>
      </c>
      <c r="B238" t="s">
        <v>888</v>
      </c>
      <c r="C238" t="s">
        <v>2094</v>
      </c>
      <c r="D238" s="4">
        <v>44679</v>
      </c>
      <c r="E238" t="s">
        <v>2095</v>
      </c>
      <c r="F238" t="s">
        <v>2096</v>
      </c>
      <c r="G238" t="s">
        <v>2101</v>
      </c>
    </row>
    <row r="239" spans="1:7" x14ac:dyDescent="0.3">
      <c r="A239" t="s">
        <v>94</v>
      </c>
      <c r="B239" t="s">
        <v>822</v>
      </c>
      <c r="C239" t="s">
        <v>2094</v>
      </c>
      <c r="D239" s="4">
        <v>44776</v>
      </c>
      <c r="E239" t="s">
        <v>2095</v>
      </c>
      <c r="F239" t="s">
        <v>2098</v>
      </c>
      <c r="G239" t="s">
        <v>2101</v>
      </c>
    </row>
    <row r="240" spans="1:7" x14ac:dyDescent="0.3">
      <c r="A240" t="s">
        <v>623</v>
      </c>
      <c r="B240" t="s">
        <v>1074</v>
      </c>
      <c r="C240" t="s">
        <v>2099</v>
      </c>
      <c r="D240" s="4">
        <v>45768</v>
      </c>
      <c r="E240" t="s">
        <v>2095</v>
      </c>
      <c r="F240" t="s">
        <v>2100</v>
      </c>
      <c r="G240" t="s">
        <v>2101</v>
      </c>
    </row>
    <row r="241" spans="1:7" x14ac:dyDescent="0.3">
      <c r="A241" t="s">
        <v>221</v>
      </c>
      <c r="B241" t="s">
        <v>194</v>
      </c>
      <c r="C241" t="s">
        <v>2099</v>
      </c>
      <c r="D241" s="4">
        <v>44906</v>
      </c>
      <c r="E241" t="s">
        <v>2095</v>
      </c>
      <c r="F241" t="s">
        <v>2098</v>
      </c>
      <c r="G241" t="s">
        <v>2097</v>
      </c>
    </row>
    <row r="242" spans="1:7" x14ac:dyDescent="0.3">
      <c r="A242" t="s">
        <v>516</v>
      </c>
      <c r="B242" t="s">
        <v>530</v>
      </c>
      <c r="C242" t="s">
        <v>2102</v>
      </c>
      <c r="D242" s="4">
        <v>45485</v>
      </c>
      <c r="E242" t="s">
        <v>2095</v>
      </c>
      <c r="F242" t="s">
        <v>2096</v>
      </c>
      <c r="G242" t="s">
        <v>2097</v>
      </c>
    </row>
    <row r="243" spans="1:7" x14ac:dyDescent="0.3">
      <c r="A243" t="s">
        <v>259</v>
      </c>
      <c r="B243" t="s">
        <v>64</v>
      </c>
      <c r="C243" t="s">
        <v>2099</v>
      </c>
      <c r="D243" s="4">
        <v>46181</v>
      </c>
      <c r="E243" t="s">
        <v>2104</v>
      </c>
      <c r="F243" t="s">
        <v>2100</v>
      </c>
      <c r="G243" t="s">
        <v>2101</v>
      </c>
    </row>
    <row r="244" spans="1:7" x14ac:dyDescent="0.3">
      <c r="A244" t="s">
        <v>224</v>
      </c>
      <c r="B244" t="s">
        <v>1087</v>
      </c>
      <c r="C244" t="s">
        <v>2102</v>
      </c>
      <c r="D244" s="4">
        <v>46224</v>
      </c>
      <c r="E244" t="s">
        <v>2095</v>
      </c>
      <c r="F244" t="s">
        <v>2100</v>
      </c>
      <c r="G244" t="s">
        <v>2103</v>
      </c>
    </row>
    <row r="245" spans="1:7" x14ac:dyDescent="0.3">
      <c r="A245" t="s">
        <v>279</v>
      </c>
      <c r="B245" t="s">
        <v>144</v>
      </c>
      <c r="C245" t="s">
        <v>2099</v>
      </c>
      <c r="D245" s="4">
        <v>46198</v>
      </c>
      <c r="E245" t="s">
        <v>2095</v>
      </c>
      <c r="F245" t="s">
        <v>2098</v>
      </c>
      <c r="G245" t="s">
        <v>2103</v>
      </c>
    </row>
    <row r="246" spans="1:7" x14ac:dyDescent="0.3">
      <c r="A246" t="s">
        <v>1027</v>
      </c>
      <c r="B246" t="s">
        <v>314</v>
      </c>
      <c r="C246" t="s">
        <v>2099</v>
      </c>
      <c r="D246" s="4">
        <v>44330</v>
      </c>
      <c r="E246" t="s">
        <v>2095</v>
      </c>
      <c r="F246" t="s">
        <v>2098</v>
      </c>
      <c r="G246" t="s">
        <v>2103</v>
      </c>
    </row>
    <row r="247" spans="1:7" x14ac:dyDescent="0.3">
      <c r="A247" t="s">
        <v>469</v>
      </c>
      <c r="B247" t="s">
        <v>585</v>
      </c>
      <c r="C247" t="s">
        <v>2102</v>
      </c>
      <c r="D247" s="4">
        <v>46225</v>
      </c>
      <c r="E247" t="s">
        <v>2095</v>
      </c>
      <c r="F247" t="s">
        <v>2098</v>
      </c>
      <c r="G247" t="s">
        <v>2103</v>
      </c>
    </row>
    <row r="248" spans="1:7" x14ac:dyDescent="0.3">
      <c r="A248" t="s">
        <v>65</v>
      </c>
      <c r="B248" t="s">
        <v>568</v>
      </c>
      <c r="C248" t="s">
        <v>2099</v>
      </c>
      <c r="D248" s="4">
        <v>45699</v>
      </c>
      <c r="E248" t="s">
        <v>2104</v>
      </c>
      <c r="F248" t="s">
        <v>2096</v>
      </c>
      <c r="G248" t="s">
        <v>2101</v>
      </c>
    </row>
    <row r="249" spans="1:7" x14ac:dyDescent="0.3">
      <c r="A249" t="s">
        <v>875</v>
      </c>
      <c r="B249" t="s">
        <v>1074</v>
      </c>
      <c r="C249" t="s">
        <v>2099</v>
      </c>
      <c r="D249" s="4">
        <v>45092</v>
      </c>
      <c r="E249" t="s">
        <v>2104</v>
      </c>
      <c r="F249" t="s">
        <v>2100</v>
      </c>
      <c r="G249" t="s">
        <v>2097</v>
      </c>
    </row>
    <row r="250" spans="1:7" x14ac:dyDescent="0.3">
      <c r="A250" t="s">
        <v>377</v>
      </c>
      <c r="B250" t="s">
        <v>664</v>
      </c>
      <c r="C250" t="s">
        <v>2094</v>
      </c>
      <c r="D250" s="4">
        <v>45416</v>
      </c>
      <c r="E250" t="s">
        <v>2095</v>
      </c>
      <c r="F250" t="s">
        <v>2098</v>
      </c>
      <c r="G250" t="s">
        <v>2103</v>
      </c>
    </row>
    <row r="251" spans="1:7" x14ac:dyDescent="0.3">
      <c r="A251" t="s">
        <v>399</v>
      </c>
      <c r="B251" t="s">
        <v>618</v>
      </c>
      <c r="C251" t="s">
        <v>2099</v>
      </c>
      <c r="D251" s="4">
        <v>44677</v>
      </c>
      <c r="E251" t="s">
        <v>2104</v>
      </c>
      <c r="F251" t="s">
        <v>2100</v>
      </c>
      <c r="G251" t="s">
        <v>2101</v>
      </c>
    </row>
  </sheetData>
  <autoFilter ref="A1:G25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Sheet1</vt:lpstr>
      <vt:lpstr>Transactions</vt:lpstr>
      <vt:lpstr>Customers</vt:lpstr>
      <vt:lpstr>Merchants</vt:lpstr>
      <vt:lpstr>Loans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Shreyanshi Jaiswal</cp:lastModifiedBy>
  <dcterms:created xsi:type="dcterms:W3CDTF">2026-10-09T16:58:39Z</dcterms:created>
  <dcterms:modified xsi:type="dcterms:W3CDTF">2026-10-18T16:45:36Z</dcterms:modified>
</cp:coreProperties>
</file>